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9.xml" ContentType="application/vnd.openxmlformats-officedocument.drawingml.chart+xml"/>
  <Override PartName="/xl/charts/chart43.xml" ContentType="application/vnd.openxmlformats-officedocument.drawingml.chart+xml"/>
  <Override PartName="/xl/charts/chart40.xml" ContentType="application/vnd.openxmlformats-officedocument.drawingml.chart+xml"/>
  <Override PartName="/xl/charts/chart6.xml" ContentType="application/vnd.openxmlformats-officedocument.drawingml.chart+xml"/>
  <Override PartName="/xl/charts/chart41.xml" ContentType="application/vnd.openxmlformats-officedocument.drawingml.chart+xml"/>
  <Override PartName="/xl/charts/chart7.xml" ContentType="application/vnd.openxmlformats-officedocument.drawingml.chart+xml"/>
  <Override PartName="/xl/charts/chart30.xml" ContentType="application/vnd.openxmlformats-officedocument.drawingml.chart+xml"/>
  <Override PartName="/xl/charts/chart42.xml" ContentType="application/vnd.openxmlformats-officedocument.drawingml.chart+xml"/>
  <Override PartName="/xl/charts/chart8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4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34.xml" ContentType="application/vnd.openxmlformats-officedocument.drawingml.chart+xml"/>
  <Override PartName="/xl/charts/chart46.xml" ContentType="application/vnd.openxmlformats-officedocument.drawingml.chart+xml"/>
  <Override PartName="/xl/charts/chart13.xml" ContentType="application/vnd.openxmlformats-officedocument.drawingml.chart+xml"/>
  <Override PartName="/xl/charts/chart11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12.xml" ContentType="application/vnd.openxmlformats-officedocument.drawingml.chart+xml"/>
  <Override PartName="/xl/charts/chart10.xml" ContentType="application/vnd.openxmlformats-officedocument.drawingml.chart+xml"/>
  <Override PartName="/xl/charts/chart47.xml" ContentType="application/vnd.openxmlformats-officedocument.drawingml.chart+xml"/>
  <Override PartName="/xl/charts/chart39.xml" ContentType="application/vnd.openxmlformats-officedocument.drawingml.chart+xml"/>
  <Override PartName="/xl/charts/chart5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Order Analytics" sheetId="2" state="visible" r:id="rId4"/>
    <sheet name="Restaurant Performance" sheetId="3" state="visible" r:id="rId5"/>
    <sheet name="Customer Analytics" sheetId="4" state="visible" r:id="rId6"/>
    <sheet name="Delivery Partner Analytics" sheetId="5" state="visible" r:id="rId7"/>
    <sheet name="Delivery Time" sheetId="6" state="visible" r:id="rId8"/>
    <sheet name="Cancellation Analysis" sheetId="7" state="visible" r:id="rId9"/>
    <sheet name="Rating &amp; Review" sheetId="8" state="visible" r:id="rId10"/>
    <sheet name="Revenue Dashboard" sheetId="9" state="visible" r:id="rId11"/>
    <sheet name="Explorer" sheetId="10" state="visible" r:id="rId12"/>
    <sheet name="Customers" sheetId="11" state="visible" r:id="rId13"/>
    <sheet name="Lists" sheetId="12" state="visible" r:id="rId14"/>
    <sheet name="Data" sheetId="13" state="visible" r:id="rId15"/>
  </sheets>
  <definedNames>
    <definedName function="false" hidden="false" name="d_Age" vbProcedure="false">Data!$E$2:$E$5000</definedName>
    <definedName function="false" hidden="false" name="d_City" vbProcedure="false">Data!$D$2:$D$5000</definedName>
    <definedName function="false" hidden="false" name="d_CRating" vbProcedure="false">Data!$Q$2:$Q$5000</definedName>
    <definedName function="false" hidden="false" name="d_Cuisine" vbProcedure="false">Data!$G$2:$G$5000</definedName>
    <definedName function="false" hidden="false" name="d_Cust" vbProcedure="false">Data!$B$2:$B$5000</definedName>
    <definedName function="false" hidden="false" name="d_Date" vbProcedure="false">Data!$C$2:$C$5000</definedName>
    <definedName function="false" hidden="false" name="d_Disc" vbProcedure="false">Data!$K$2:$K$5000</definedName>
    <definedName function="false" hidden="false" name="d_Dist" vbProcedure="false">Data!$P$2:$P$5000</definedName>
    <definedName function="false" hidden="false" name="d_Fee" vbProcedure="false">Data!$J$2:$J$5000</definedName>
    <definedName function="false" hidden="false" name="d_Gender" vbProcedure="false">Data!$F$2:$F$5000</definedName>
    <definedName function="false" hidden="false" name="d_Gross" vbProcedure="false">Data!$S$2:$S$5000</definedName>
    <definedName function="false" hidden="false" name="d_ID" vbProcedure="false">Data!$A$2:$A$5000</definedName>
    <definedName function="false" hidden="false" name="d_Net" vbProcedure="false">Data!$T$2:$T$5000</definedName>
    <definedName function="false" hidden="false" name="d_OV" vbProcedure="false">Data!$I$2:$I$5000</definedName>
    <definedName function="false" hidden="false" name="d_Pay" vbProcedure="false">Data!$L$2:$L$5000</definedName>
    <definedName function="false" hidden="false" name="d_Rest" vbProcedure="false">Data!$R$2:$R$5000</definedName>
    <definedName function="false" hidden="false" name="d_RRating" vbProcedure="false">Data!$H$2:$H$5000</definedName>
    <definedName function="false" hidden="false" name="d_Status" vbProcedure="false">Data!$M$2:$M$5000</definedName>
    <definedName function="false" hidden="false" name="d_Time" vbProcedure="false">Data!$O$2:$O$5000</definedName>
    <definedName function="false" hidden="false" name="d_Type" vbProcedure="false">Data!$N$2:$N$5000</definedName>
    <definedName function="false" hidden="false" name="d_Year" vbProcedure="false">Data!$V$2:$V$5000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<sst xmlns="http://schemas.openxmlformats.org/spreadsheetml/2006/main" count="13275" uniqueCount="1925">
  <si>
    <t xml:space="preserve">Food Delivery Analytics – Dashboard Hub</t>
  </si>
  <si>
    <t xml:space="preserve">1,200 orders · 350 customers · 12 restaurants · 12 cities · 1-Jan-2025 to 4-Feb-2026. Every number is a live formula on the Data sheet.</t>
  </si>
  <si>
    <t xml:space="preserve">TOTAL ORDERS</t>
  </si>
  <si>
    <t xml:space="preserve">NET REVENUE</t>
  </si>
  <si>
    <t xml:space="preserve">DELIVERY SUCCESS</t>
  </si>
  <si>
    <t xml:space="preserve">CANCELLATION RATE</t>
  </si>
  <si>
    <t xml:space="preserve">AVG DELIVERY TIME</t>
  </si>
  <si>
    <t xml:space="preserve">AVG CUSTOMER RATING</t>
  </si>
  <si>
    <t xml:space="preserve">All statuses</t>
  </si>
  <si>
    <t xml:space="preserve">Delivered orders</t>
  </si>
  <si>
    <t xml:space="preserve">Delivered ÷ all</t>
  </si>
  <si>
    <t xml:space="preserve">Cancelled ÷ all</t>
  </si>
  <si>
    <t xml:space="preserve">Out of 5</t>
  </si>
  <si>
    <t xml:space="preserve">Dashboards (click to open)</t>
  </si>
  <si>
    <t xml:space="preserve">1.  Order Analytics</t>
  </si>
  <si>
    <t xml:space="preserve">Volume, status mix, cuisine, payment, city</t>
  </si>
  <si>
    <t xml:space="preserve">2.  Restaurant Performance</t>
  </si>
  <si>
    <t xml:space="preserve">Revenue, ratings, speed, cancel rate per restaurant</t>
  </si>
  <si>
    <t xml:space="preserve">3.  Customer Analytics</t>
  </si>
  <si>
    <t xml:space="preserve">Repeat rate, age, gender, top customers</t>
  </si>
  <si>
    <t xml:space="preserve">4.  Delivery Partner Analytics</t>
  </si>
  <si>
    <t xml:space="preserve">Delivery fleet by city &amp; distance (no partner ID in data)</t>
  </si>
  <si>
    <t xml:space="preserve">5.  Delivery Time</t>
  </si>
  <si>
    <t xml:space="preserve">Time bands, SLA on-time %, city &amp; distance</t>
  </si>
  <si>
    <t xml:space="preserve">6.  Cancellation Analysis</t>
  </si>
  <si>
    <t xml:space="preserve">Rates by city, restaurant, payment, cuisine</t>
  </si>
  <si>
    <t xml:space="preserve">7.  Rating &amp; Review</t>
  </si>
  <si>
    <t xml:space="preserve">Rating distribution, by restaurant / cuisine / city</t>
  </si>
  <si>
    <t xml:space="preserve">8.  Revenue Dashboard</t>
  </si>
  <si>
    <t xml:space="preserve">Gross, discounts, net by month, city, cuisine</t>
  </si>
  <si>
    <t xml:space="preserve">9.  Explorer</t>
  </si>
  <si>
    <t xml:space="preserve">Pick any grouping + metric; chart rebuilds instantly</t>
  </si>
  <si>
    <t xml:space="preserve">Definitions &amp; assumptions</t>
  </si>
  <si>
    <t xml:space="preserve">•  Interactive: each dashboard has yellow dropdown filters (Year, City, Cuisine, Payment, Order type) in row 4 – every KPI, chart and table recalculates. Set to All to clear. Home KPIs are always unfiltered.</t>
  </si>
  <si>
    <t xml:space="preserve">•  Net revenue / gross revenue / discounts count Delivered orders only; Pending and Cancelled orders are reported separately.</t>
  </si>
  <si>
    <t xml:space="preserve">•  Delivery-time metrics use Delivered orders only. SLA target is an input on the Delivery Time sheet (assumed 45 min).</t>
  </si>
  <si>
    <t xml:space="preserve">•  Cancel rate = Cancelled ÷ all orders in the group. Lost value = Gross_Amount of cancelled orders.</t>
  </si>
  <si>
    <t xml:space="preserve">•  Delivery Partner Analytics: the source file has no partner/rider column, so Order_Type = Delivery is used as the fleet.</t>
  </si>
  <si>
    <t xml:space="preserve">•  Rating &amp; Review: the source has star ratings only (no review text). Restaurant_Rating varies per order, so averages are used.</t>
  </si>
  <si>
    <t xml:space="preserve">•  Blue font = editable inputs (month starts, band limits, SLA). Formulas read named ranges d_* on Data rows 2–5000, so appended rows are picked up.</t>
  </si>
  <si>
    <t xml:space="preserve">•  Customers helper sheet lists customer IDs; add new IDs there if new customers are appended. Feb-26 is a partial month.</t>
  </si>
  <si>
    <t xml:space="preserve">Order Analytics</t>
  </si>
  <si>
    <t xml:space="preserve">Order volume, status mix, order type, cuisines, payment methods and city demand. Source: Data sheet (1,200 orders, 1-Jan-2025 to 4-Feb-2026).  ▸ Use the yellow filters in row 4 – every KPI, chart and table updates.</t>
  </si>
  <si>
    <t xml:space="preserve">← Back to Home</t>
  </si>
  <si>
    <t xml:space="preserve">Year:</t>
  </si>
  <si>
    <t xml:space="preserve">All</t>
  </si>
  <si>
    <t xml:space="preserve">City:</t>
  </si>
  <si>
    <t xml:space="preserve">Cuisine:</t>
  </si>
  <si>
    <t xml:space="preserve">Payment:</t>
  </si>
  <si>
    <t xml:space="preserve">Order type:</t>
  </si>
  <si>
    <t xml:space="preserve">DELIVERED</t>
  </si>
  <si>
    <t xml:space="preserve">PENDING</t>
  </si>
  <si>
    <t xml:space="preserve">CANCELLED</t>
  </si>
  <si>
    <t xml:space="preserve">AVG ORDER VALUE</t>
  </si>
  <si>
    <t xml:space="preserve">DELIVERY SHARE</t>
  </si>
  <si>
    <t xml:space="preserve">Completed orders</t>
  </si>
  <si>
    <t xml:space="preserve">Not yet completed</t>
  </si>
  <si>
    <t xml:space="preserve">Cancelled orders</t>
  </si>
  <si>
    <t xml:space="preserve">Food value, all orders</t>
  </si>
  <si>
    <t xml:space="preserve">Delivery vs pickup</t>
  </si>
  <si>
    <t xml:space="preserve">Supporting data (feeds the charts above)</t>
  </si>
  <si>
    <t xml:space="preserve">Monthly order trend</t>
  </si>
  <si>
    <t xml:space="preserve">Month</t>
  </si>
  <si>
    <t xml:space="preserve">Month start</t>
  </si>
  <si>
    <t xml:space="preserve">Orders</t>
  </si>
  <si>
    <t xml:space="preserve">Delivered</t>
  </si>
  <si>
    <t xml:space="preserve">Pending</t>
  </si>
  <si>
    <t xml:space="preserve">Cancelled</t>
  </si>
  <si>
    <t xml:space="preserve">Avg order value</t>
  </si>
  <si>
    <t xml:space="preserve">Total / Overall</t>
  </si>
  <si>
    <t xml:space="preserve">Month start dates are inputs (blue). Feb-26 is a partial month (data ends 4-Feb-2026). Add rows if new months are appended.</t>
  </si>
  <si>
    <t xml:space="preserve">Order status mix</t>
  </si>
  <si>
    <t xml:space="preserve">Status</t>
  </si>
  <si>
    <t xml:space="preserve">% of orders</t>
  </si>
  <si>
    <t xml:space="preserve">Order type by status</t>
  </si>
  <si>
    <t xml:space="preserve">Order type</t>
  </si>
  <si>
    <t xml:space="preserve">Total</t>
  </si>
  <si>
    <t xml:space="preserve">Delivery</t>
  </si>
  <si>
    <t xml:space="preserve">Pickup</t>
  </si>
  <si>
    <t xml:space="preserve">Orders by cuisine</t>
  </si>
  <si>
    <t xml:space="preserve">Cuisine</t>
  </si>
  <si>
    <t xml:space="preserve">Burgers</t>
  </si>
  <si>
    <t xml:space="preserve">North Indian</t>
  </si>
  <si>
    <t xml:space="preserve">Desserts</t>
  </si>
  <si>
    <t xml:space="preserve">Fast Food</t>
  </si>
  <si>
    <t xml:space="preserve">Chinese</t>
  </si>
  <si>
    <t xml:space="preserve">Momos</t>
  </si>
  <si>
    <t xml:space="preserve">Biryani</t>
  </si>
  <si>
    <t xml:space="preserve">Healthy</t>
  </si>
  <si>
    <t xml:space="preserve">Pizza</t>
  </si>
  <si>
    <t xml:space="preserve">South Indian</t>
  </si>
  <si>
    <t xml:space="preserve">Orders by payment method</t>
  </si>
  <si>
    <t xml:space="preserve">Payment method</t>
  </si>
  <si>
    <t xml:space="preserve">UPI</t>
  </si>
  <si>
    <t xml:space="preserve">Credit Card</t>
  </si>
  <si>
    <t xml:space="preserve">Debit Card</t>
  </si>
  <si>
    <t xml:space="preserve">Cash</t>
  </si>
  <si>
    <t xml:space="preserve">Wallet</t>
  </si>
  <si>
    <t xml:space="preserve">Orders by city</t>
  </si>
  <si>
    <t xml:space="preserve">City</t>
  </si>
  <si>
    <t xml:space="preserve">Delhi</t>
  </si>
  <si>
    <t xml:space="preserve">Ahmedabad</t>
  </si>
  <si>
    <t xml:space="preserve">Bengaluru</t>
  </si>
  <si>
    <t xml:space="preserve">Chennai</t>
  </si>
  <si>
    <t xml:space="preserve">Noida</t>
  </si>
  <si>
    <t xml:space="preserve">Jaipur</t>
  </si>
  <si>
    <t xml:space="preserve">Hyderabad</t>
  </si>
  <si>
    <t xml:space="preserve">Pune</t>
  </si>
  <si>
    <t xml:space="preserve">Kolkata</t>
  </si>
  <si>
    <t xml:space="preserve">Lucknow</t>
  </si>
  <si>
    <t xml:space="preserve">Mumbai</t>
  </si>
  <si>
    <t xml:space="preserve">Gurugram</t>
  </si>
  <si>
    <t xml:space="preserve">Restaurant Performance</t>
  </si>
  <si>
    <t xml:space="preserve">Orders, revenue, ratings, speed and cancellations for each restaurant. Revenue = Net_Amount of Delivered orders.  ▸ Use the yellow filters in row 4 – every KPI, chart and table updates.</t>
  </si>
  <si>
    <t xml:space="preserve">RESTAURANTS</t>
  </si>
  <si>
    <t xml:space="preserve">TOP REVENUE RESTAURANT</t>
  </si>
  <si>
    <t xml:space="preserve">BEST RATED (CUSTOMERS)</t>
  </si>
  <si>
    <t xml:space="preserve">AVG RESTAURANT RATING</t>
  </si>
  <si>
    <t xml:space="preserve">HIGHEST CANCEL RATE</t>
  </si>
  <si>
    <t xml:space="preserve">In the data</t>
  </si>
  <si>
    <t xml:space="preserve">Highest net revenue</t>
  </si>
  <si>
    <t xml:space="preserve">Highest avg customer rating</t>
  </si>
  <si>
    <t xml:space="preserve">Restaurant to watch</t>
  </si>
  <si>
    <t xml:space="preserve">Restaurant scorecard</t>
  </si>
  <si>
    <t xml:space="preserve">Restaurant</t>
  </si>
  <si>
    <t xml:space="preserve">Cancel rate</t>
  </si>
  <si>
    <t xml:space="preserve">Net revenue</t>
  </si>
  <si>
    <t xml:space="preserve">Avg restaurant rating</t>
  </si>
  <si>
    <t xml:space="preserve">Avg customer rating</t>
  </si>
  <si>
    <t xml:space="preserve">Avg delivery time (min)</t>
  </si>
  <si>
    <t xml:space="preserve">Revenue rank</t>
  </si>
  <si>
    <t xml:space="preserve">Urban Tadka</t>
  </si>
  <si>
    <t xml:space="preserve">Taste Junction</t>
  </si>
  <si>
    <t xml:space="preserve">Cafe Aroma</t>
  </si>
  <si>
    <t xml:space="preserve">Delhi Zaika</t>
  </si>
  <si>
    <t xml:space="preserve">Burger House</t>
  </si>
  <si>
    <t xml:space="preserve">Spice Hub</t>
  </si>
  <si>
    <t xml:space="preserve">Pizza Point</t>
  </si>
  <si>
    <t xml:space="preserve">Green Bowl</t>
  </si>
  <si>
    <t xml:space="preserve">The Food Corner</t>
  </si>
  <si>
    <t xml:space="preserve">Royal Biryani</t>
  </si>
  <si>
    <t xml:space="preserve">Food Street</t>
  </si>
  <si>
    <t xml:space="preserve">Momo Nation</t>
  </si>
  <si>
    <t xml:space="preserve">Customer Analytics</t>
  </si>
  <si>
    <t xml:space="preserve">Who orders, how often and how much. Customer-level metrics come from the Customers helper sheet.  ▸ Use the yellow filters in row 4 – every KPI, chart and table updates.</t>
  </si>
  <si>
    <t xml:space="preserve">UNIQUE CUSTOMERS</t>
  </si>
  <si>
    <t xml:space="preserve">REPEAT CUSTOMERS</t>
  </si>
  <si>
    <t xml:space="preserve">REPEAT RATE</t>
  </si>
  <si>
    <t xml:space="preserve">ORDERS / CUSTOMER</t>
  </si>
  <si>
    <t xml:space="preserve">AVG CUSTOMER AGE</t>
  </si>
  <si>
    <t xml:space="preserve">AVG SPEND / CUSTOMER</t>
  </si>
  <si>
    <t xml:space="preserve">Distinct Customer_IDs</t>
  </si>
  <si>
    <t xml:space="preserve">Ordered 2+ times</t>
  </si>
  <si>
    <t xml:space="preserve">Repeat ÷ unique</t>
  </si>
  <si>
    <t xml:space="preserve">Average frequency</t>
  </si>
  <si>
    <t xml:space="preserve">Years</t>
  </si>
  <si>
    <t xml:space="preserve">Net spend, delivered</t>
  </si>
  <si>
    <t xml:space="preserve">Age-group analysis</t>
  </si>
  <si>
    <t xml:space="preserve">Age group</t>
  </si>
  <si>
    <t xml:space="preserve">Min age</t>
  </si>
  <si>
    <t xml:space="preserve">Max age</t>
  </si>
  <si>
    <t xml:space="preserve">Avg rating given</t>
  </si>
  <si>
    <t xml:space="preserve">18–24</t>
  </si>
  <si>
    <t xml:space="preserve">25–34</t>
  </si>
  <si>
    <t xml:space="preserve">35–44</t>
  </si>
  <si>
    <t xml:space="preserve">45–54</t>
  </si>
  <si>
    <t xml:space="preserve">55–60</t>
  </si>
  <si>
    <t xml:space="preserve">Age bounds are inputs (blue) – edit to re-band.</t>
  </si>
  <si>
    <t xml:space="preserve">Gender split</t>
  </si>
  <si>
    <t xml:space="preserve">Gender</t>
  </si>
  <si>
    <t xml:space="preserve">Female</t>
  </si>
  <si>
    <t xml:space="preserve">Male</t>
  </si>
  <si>
    <t xml:space="preserve">Other</t>
  </si>
  <si>
    <t xml:space="preserve">Order-frequency distribution</t>
  </si>
  <si>
    <t xml:space="preserve">Orders per customer</t>
  </si>
  <si>
    <t xml:space="preserve">Customers</t>
  </si>
  <si>
    <t xml:space="preserve">% of customers</t>
  </si>
  <si>
    <t xml:space="preserve">1 order</t>
  </si>
  <si>
    <t xml:space="preserve">2 orders</t>
  </si>
  <si>
    <t xml:space="preserve">3 orders</t>
  </si>
  <si>
    <t xml:space="preserve">4 orders</t>
  </si>
  <si>
    <t xml:space="preserve">5 orders</t>
  </si>
  <si>
    <t xml:space="preserve">6+ orders</t>
  </si>
  <si>
    <t xml:space="preserve">Top 10 customers by net spend</t>
  </si>
  <si>
    <t xml:space="preserve">Rank</t>
  </si>
  <si>
    <t xml:space="preserve">Customer ID</t>
  </si>
  <si>
    <t xml:space="preserve">Net spend</t>
  </si>
  <si>
    <t xml:space="preserve">Customers by city (orders)</t>
  </si>
  <si>
    <t xml:space="preserve">Delivery Partner Analytics</t>
  </si>
  <si>
    <t xml:space="preserve">The data has no delivery-partner ID, so this view analyses the delivery fleet (Order_Type = Delivery) by city, distance and status. Add a Partner_ID column to unlock per-partner scorecards.  ▸ Use the yellow filters in row 4 – every KPI, chart and table updates.</t>
  </si>
  <si>
    <t xml:space="preserve">DELIVERY ORDERS</t>
  </si>
  <si>
    <t xml:space="preserve">SUCCESS RATE</t>
  </si>
  <si>
    <t xml:space="preserve">AVG DISTANCE</t>
  </si>
  <si>
    <t xml:space="preserve">DELIVERY FEES EARNED</t>
  </si>
  <si>
    <t xml:space="preserve">Order_Type = Delivery</t>
  </si>
  <si>
    <t xml:space="preserve">Successfully delivered</t>
  </si>
  <si>
    <t xml:space="preserve">Delivered ÷ delivery orders</t>
  </si>
  <si>
    <t xml:space="preserve">Delivered deliveries</t>
  </si>
  <si>
    <t xml:space="preserve">All delivery orders</t>
  </si>
  <si>
    <t xml:space="preserve">Delivery fleet by city</t>
  </si>
  <si>
    <t xml:space="preserve">Delivery orders</t>
  </si>
  <si>
    <t xml:space="preserve">Success rate</t>
  </si>
  <si>
    <t xml:space="preserve">Avg distance (km)</t>
  </si>
  <si>
    <t xml:space="preserve">Delivery fees earned</t>
  </si>
  <si>
    <t xml:space="preserve">Avg delivery time and fees are for Delivered orders only; distance is for all delivery orders.</t>
  </si>
  <si>
    <t xml:space="preserve">Delivery fleet by distance band</t>
  </si>
  <si>
    <t xml:space="preserve">Distance band</t>
  </si>
  <si>
    <t xml:space="preserve">Min km (&gt;)</t>
  </si>
  <si>
    <t xml:space="preserve">Max km (&lt;=)</t>
  </si>
  <si>
    <t xml:space="preserve">Avg fee (₹)</t>
  </si>
  <si>
    <t xml:space="preserve">0–3 km</t>
  </si>
  <si>
    <t xml:space="preserve">3–6 km</t>
  </si>
  <si>
    <t xml:space="preserve">6–9 km</t>
  </si>
  <si>
    <t xml:space="preserve">9–12 km</t>
  </si>
  <si>
    <t xml:space="preserve">12–15 km</t>
  </si>
  <si>
    <t xml:space="preserve">Distance bounds are inputs (blue).</t>
  </si>
  <si>
    <t xml:space="preserve">Delivery-order status</t>
  </si>
  <si>
    <t xml:space="preserve">% of delivery orders</t>
  </si>
  <si>
    <t xml:space="preserve">Monthly delivery orders</t>
  </si>
  <si>
    <t xml:space="preserve">Delivery Time Analysis</t>
  </si>
  <si>
    <t xml:space="preserve">Speed of delivered orders (Order_Status = Delivered). Change the SLA target (blue cell M4) to re-score on-time performance.  ▸ Use the yellow filters in row 4 – every KPI, chart and table updates.</t>
  </si>
  <si>
    <t xml:space="preserve">SLA target (min):</t>
  </si>
  <si>
    <t xml:space="preserve">FASTEST</t>
  </si>
  <si>
    <t xml:space="preserve">SLOWEST</t>
  </si>
  <si>
    <t xml:space="preserve">ON-TIME RATE</t>
  </si>
  <si>
    <t xml:space="preserve">AVG MIN PER KM</t>
  </si>
  <si>
    <t xml:space="preserve">Shortest delivery</t>
  </si>
  <si>
    <t xml:space="preserve">Longest delivery</t>
  </si>
  <si>
    <t xml:space="preserve">Within SLA target</t>
  </si>
  <si>
    <t xml:space="preserve">Avg time ÷ avg distance</t>
  </si>
  <si>
    <t xml:space="preserve">Delivery-time distribution (Delivered orders)</t>
  </si>
  <si>
    <t xml:space="preserve">Time band</t>
  </si>
  <si>
    <t xml:space="preserve">Min (min)</t>
  </si>
  <si>
    <t xml:space="preserve">Max (min)</t>
  </si>
  <si>
    <t xml:space="preserve">% of delivered</t>
  </si>
  <si>
    <t xml:space="preserve">15–20 min</t>
  </si>
  <si>
    <t xml:space="preserve">21–30 min</t>
  </si>
  <si>
    <t xml:space="preserve">31–40 min</t>
  </si>
  <si>
    <t xml:space="preserve">41–50 min</t>
  </si>
  <si>
    <t xml:space="preserve">51–60 min</t>
  </si>
  <si>
    <t xml:space="preserve">61–70 min</t>
  </si>
  <si>
    <t xml:space="preserve">Band limits are inputs (blue). Lowest delivery time in data is 15 min, so the first band starts at 15.</t>
  </si>
  <si>
    <t xml:space="preserve">Avg delivery time by city</t>
  </si>
  <si>
    <t xml:space="preserve">Avg time (min)</t>
  </si>
  <si>
    <t xml:space="preserve">On-time % (≤ SLA)</t>
  </si>
  <si>
    <t xml:space="preserve">Avg delivery time by distance band</t>
  </si>
  <si>
    <t xml:space="preserve">Min per km</t>
  </si>
  <si>
    <t xml:space="preserve">Min per km uses the band mid-point distance.</t>
  </si>
  <si>
    <t xml:space="preserve">Monthly avg delivery time</t>
  </si>
  <si>
    <t xml:space="preserve">On-time %</t>
  </si>
  <si>
    <t xml:space="preserve">Delivery time by order type</t>
  </si>
  <si>
    <t xml:space="preserve">Cancellation Analysis</t>
  </si>
  <si>
    <t xml:space="preserve">Where and when orders get cancelled. Cancel rate = Cancelled ÷ all orders in the group. Lost value = Gross_Amount of cancelled orders.  ▸ Use the yellow filters in row 4 – every KPI, chart and table updates.</t>
  </si>
  <si>
    <t xml:space="preserve">CANCELLED ORDERS</t>
  </si>
  <si>
    <t xml:space="preserve">LOST ORDER VALUE</t>
  </si>
  <si>
    <t xml:space="preserve">AVG CANCELLED ORDER</t>
  </si>
  <si>
    <t xml:space="preserve">HIGHEST-RATE CITY</t>
  </si>
  <si>
    <t xml:space="preserve">PENDING ORDERS</t>
  </si>
  <si>
    <t xml:space="preserve">Total cancelled</t>
  </si>
  <si>
    <t xml:space="preserve">Cancelled ÷ all orders</t>
  </si>
  <si>
    <t xml:space="preserve">Gross value cancelled</t>
  </si>
  <si>
    <t xml:space="preserve">Gross value per order</t>
  </si>
  <si>
    <t xml:space="preserve">Highest cancel rate</t>
  </si>
  <si>
    <t xml:space="preserve">Could still convert / cancel</t>
  </si>
  <si>
    <t xml:space="preserve">Monthly cancellations</t>
  </si>
  <si>
    <t xml:space="preserve">Lost value</t>
  </si>
  <si>
    <t xml:space="preserve">Cancellations by city</t>
  </si>
  <si>
    <t xml:space="preserve">Cancellations by restaurant</t>
  </si>
  <si>
    <t xml:space="preserve">Cancellations by payment method</t>
  </si>
  <si>
    <t xml:space="preserve">Cancellations by cuisine</t>
  </si>
  <si>
    <t xml:space="preserve">Cancellations by order type</t>
  </si>
  <si>
    <t xml:space="preserve">Rating &amp; Review Analysis</t>
  </si>
  <si>
    <t xml:space="preserve">Customer ratings (1–5 stars per order) and restaurant ratings (2.5–5.0). The data has star ratings only – no written review text.  ▸ Use the yellow filters in row 4 – every KPI, chart and table updates.</t>
  </si>
  <si>
    <t xml:space="preserve">5-STAR SHARE</t>
  </si>
  <si>
    <t xml:space="preserve">SATISFIED (4–5★)</t>
  </si>
  <si>
    <t xml:space="preserve">LOW RATINGS (1–2★)</t>
  </si>
  <si>
    <t xml:space="preserve">RATINGS COLLECTED</t>
  </si>
  <si>
    <t xml:space="preserve">Out of 5 stars</t>
  </si>
  <si>
    <t xml:space="preserve">Orders rated 5</t>
  </si>
  <si>
    <t xml:space="preserve">Orders rated 4 or 5</t>
  </si>
  <si>
    <t xml:space="preserve">Orders rated 1 or 2</t>
  </si>
  <si>
    <t xml:space="preserve">Orders with a rating</t>
  </si>
  <si>
    <t xml:space="preserve">Customer rating distribution</t>
  </si>
  <si>
    <t xml:space="preserve">Stars</t>
  </si>
  <si>
    <t xml:space="preserve">1 star</t>
  </si>
  <si>
    <t xml:space="preserve">2 stars</t>
  </si>
  <si>
    <t xml:space="preserve">3 stars</t>
  </si>
  <si>
    <t xml:space="preserve">4 stars</t>
  </si>
  <si>
    <t xml:space="preserve">5 stars</t>
  </si>
  <si>
    <t xml:space="preserve">Restaurant rating bands</t>
  </si>
  <si>
    <t xml:space="preserve">Rating band</t>
  </si>
  <si>
    <t xml:space="preserve">Min (&gt;=)</t>
  </si>
  <si>
    <t xml:space="preserve">Max (&lt;)</t>
  </si>
  <si>
    <t xml:space="preserve">2.5–2.9</t>
  </si>
  <si>
    <t xml:space="preserve">3.0–3.4</t>
  </si>
  <si>
    <t xml:space="preserve">3.5–3.9</t>
  </si>
  <si>
    <t xml:space="preserve">4.0–4.4</t>
  </si>
  <si>
    <t xml:space="preserve">4.5–5.0</t>
  </si>
  <si>
    <t xml:space="preserve">Band limits are inputs (blue).</t>
  </si>
  <si>
    <t xml:space="preserve">Ratings by restaurant</t>
  </si>
  <si>
    <t xml:space="preserve">% 4–5 stars</t>
  </si>
  <si>
    <t xml:space="preserve">% 1–2 stars</t>
  </si>
  <si>
    <t xml:space="preserve">Ratings by cuisine</t>
  </si>
  <si>
    <t xml:space="preserve">Ratings by city</t>
  </si>
  <si>
    <t xml:space="preserve">Monthly average ratings</t>
  </si>
  <si>
    <t xml:space="preserve">Revenue Dashboard</t>
  </si>
  <si>
    <t xml:space="preserve">Realised revenue = Delivered orders only. Gross = order value + delivery fee; Net = Gross − discount (floored at 0), as in the Data sheet.  ▸ Use the yellow filters in row 4 – every KPI, chart and table updates.</t>
  </si>
  <si>
    <t xml:space="preserve">GROSS REVENUE</t>
  </si>
  <si>
    <t xml:space="preserve">DISCOUNTS GIVEN</t>
  </si>
  <si>
    <t xml:space="preserve">AVG NET / ORDER</t>
  </si>
  <si>
    <t xml:space="preserve">DISCOUNT RATE</t>
  </si>
  <si>
    <t xml:space="preserve">PENDING REVENUE</t>
  </si>
  <si>
    <t xml:space="preserve">On delivered orders</t>
  </si>
  <si>
    <t xml:space="preserve">Realised revenue</t>
  </si>
  <si>
    <t xml:space="preserve">Net ÷ delivered orders</t>
  </si>
  <si>
    <t xml:space="preserve">Discounts ÷ gross</t>
  </si>
  <si>
    <t xml:space="preserve">Net value not yet realised</t>
  </si>
  <si>
    <t xml:space="preserve">Monthly revenue (Delivered orders)</t>
  </si>
  <si>
    <t xml:space="preserve">Gross revenue</t>
  </si>
  <si>
    <t xml:space="preserve">Discounts</t>
  </si>
  <si>
    <t xml:space="preserve">Avg net / order</t>
  </si>
  <si>
    <t xml:space="preserve">Gross − Discounts may differ from Net by a few rupees where a discount exceeded the order amount (Net floored at 0 in source data).</t>
  </si>
  <si>
    <t xml:space="preserve">Revenue by city</t>
  </si>
  <si>
    <t xml:space="preserve">Share of net</t>
  </si>
  <si>
    <t xml:space="preserve">Revenue by cuisine</t>
  </si>
  <si>
    <t xml:space="preserve">Revenue by payment method</t>
  </si>
  <si>
    <t xml:space="preserve">Revenue by restaurant</t>
  </si>
  <si>
    <t xml:space="preserve">Revenue by order type</t>
  </si>
  <si>
    <t xml:space="preserve">Interactive Explorer</t>
  </si>
  <si>
    <t xml:space="preserve">Pick any grouping and any metric – the chart and table rebuild instantly. Combine with the yellow filters in row 4.  ▸ Use the yellow filters in row 4 – every KPI, chart and table updates.</t>
  </si>
  <si>
    <t xml:space="preserve">Group by:</t>
  </si>
  <si>
    <t xml:space="preserve">Metric:</t>
  </si>
  <si>
    <t xml:space="preserve">◂ choose a grouping and a metric</t>
  </si>
  <si>
    <t xml:space="preserve">Chart data (rebuilds from the two dropdowns above)</t>
  </si>
  <si>
    <t xml:space="preserve">Group</t>
  </si>
  <si>
    <t xml:space="preserve">Value</t>
  </si>
  <si>
    <t xml:space="preserve">Customer_ID</t>
  </si>
  <si>
    <t xml:space="preserve">Net spend (delivered)</t>
  </si>
  <si>
    <t xml:space="preserve">Sort key</t>
  </si>
  <si>
    <t xml:space="preserve">Spend rank</t>
  </si>
  <si>
    <t xml:space="preserve">C1001</t>
  </si>
  <si>
    <t xml:space="preserve">C1002</t>
  </si>
  <si>
    <t xml:space="preserve">C1003</t>
  </si>
  <si>
    <t xml:space="preserve">C1004</t>
  </si>
  <si>
    <t xml:space="preserve">C1005</t>
  </si>
  <si>
    <t xml:space="preserve">C1006</t>
  </si>
  <si>
    <t xml:space="preserve">C1007</t>
  </si>
  <si>
    <t xml:space="preserve">C1008</t>
  </si>
  <si>
    <t xml:space="preserve">C1009</t>
  </si>
  <si>
    <t xml:space="preserve">C1010</t>
  </si>
  <si>
    <t xml:space="preserve">C1011</t>
  </si>
  <si>
    <t xml:space="preserve">C1012</t>
  </si>
  <si>
    <t xml:space="preserve">C1013</t>
  </si>
  <si>
    <t xml:space="preserve">C1014</t>
  </si>
  <si>
    <t xml:space="preserve">C1015</t>
  </si>
  <si>
    <t xml:space="preserve">C1016</t>
  </si>
  <si>
    <t xml:space="preserve">C1017</t>
  </si>
  <si>
    <t xml:space="preserve">C1018</t>
  </si>
  <si>
    <t xml:space="preserve">C1019</t>
  </si>
  <si>
    <t xml:space="preserve">C1020</t>
  </si>
  <si>
    <t xml:space="preserve">C1021</t>
  </si>
  <si>
    <t xml:space="preserve">C1022</t>
  </si>
  <si>
    <t xml:space="preserve">C1023</t>
  </si>
  <si>
    <t xml:space="preserve">C1024</t>
  </si>
  <si>
    <t xml:space="preserve">C1025</t>
  </si>
  <si>
    <t xml:space="preserve">C1026</t>
  </si>
  <si>
    <t xml:space="preserve">C1027</t>
  </si>
  <si>
    <t xml:space="preserve">C1028</t>
  </si>
  <si>
    <t xml:space="preserve">C1029</t>
  </si>
  <si>
    <t xml:space="preserve">C1030</t>
  </si>
  <si>
    <t xml:space="preserve">C1031</t>
  </si>
  <si>
    <t xml:space="preserve">C1032</t>
  </si>
  <si>
    <t xml:space="preserve">C1033</t>
  </si>
  <si>
    <t xml:space="preserve">C1034</t>
  </si>
  <si>
    <t xml:space="preserve">C1035</t>
  </si>
  <si>
    <t xml:space="preserve">C1036</t>
  </si>
  <si>
    <t xml:space="preserve">C1037</t>
  </si>
  <si>
    <t xml:space="preserve">C1038</t>
  </si>
  <si>
    <t xml:space="preserve">C1039</t>
  </si>
  <si>
    <t xml:space="preserve">C1040</t>
  </si>
  <si>
    <t xml:space="preserve">C1041</t>
  </si>
  <si>
    <t xml:space="preserve">C1042</t>
  </si>
  <si>
    <t xml:space="preserve">C1043</t>
  </si>
  <si>
    <t xml:space="preserve">C1044</t>
  </si>
  <si>
    <t xml:space="preserve">C1045</t>
  </si>
  <si>
    <t xml:space="preserve">C1046</t>
  </si>
  <si>
    <t xml:space="preserve">C1047</t>
  </si>
  <si>
    <t xml:space="preserve">C1048</t>
  </si>
  <si>
    <t xml:space="preserve">C1049</t>
  </si>
  <si>
    <t xml:space="preserve">C1050</t>
  </si>
  <si>
    <t xml:space="preserve">C1051</t>
  </si>
  <si>
    <t xml:space="preserve">C1052</t>
  </si>
  <si>
    <t xml:space="preserve">C1053</t>
  </si>
  <si>
    <t xml:space="preserve">C1054</t>
  </si>
  <si>
    <t xml:space="preserve">C1055</t>
  </si>
  <si>
    <t xml:space="preserve">C1056</t>
  </si>
  <si>
    <t xml:space="preserve">C1057</t>
  </si>
  <si>
    <t xml:space="preserve">C1058</t>
  </si>
  <si>
    <t xml:space="preserve">C1059</t>
  </si>
  <si>
    <t xml:space="preserve">C1060</t>
  </si>
  <si>
    <t xml:space="preserve">C1061</t>
  </si>
  <si>
    <t xml:space="preserve">C1062</t>
  </si>
  <si>
    <t xml:space="preserve">C1063</t>
  </si>
  <si>
    <t xml:space="preserve">C1064</t>
  </si>
  <si>
    <t xml:space="preserve">C1065</t>
  </si>
  <si>
    <t xml:space="preserve">C1066</t>
  </si>
  <si>
    <t xml:space="preserve">C1067</t>
  </si>
  <si>
    <t xml:space="preserve">C1068</t>
  </si>
  <si>
    <t xml:space="preserve">C1069</t>
  </si>
  <si>
    <t xml:space="preserve">C1070</t>
  </si>
  <si>
    <t xml:space="preserve">C1071</t>
  </si>
  <si>
    <t xml:space="preserve">C1072</t>
  </si>
  <si>
    <t xml:space="preserve">C1073</t>
  </si>
  <si>
    <t xml:space="preserve">C1074</t>
  </si>
  <si>
    <t xml:space="preserve">C1075</t>
  </si>
  <si>
    <t xml:space="preserve">C1076</t>
  </si>
  <si>
    <t xml:space="preserve">C1077</t>
  </si>
  <si>
    <t xml:space="preserve">C1078</t>
  </si>
  <si>
    <t xml:space="preserve">C1079</t>
  </si>
  <si>
    <t xml:space="preserve">C1080</t>
  </si>
  <si>
    <t xml:space="preserve">C1081</t>
  </si>
  <si>
    <t xml:space="preserve">C1082</t>
  </si>
  <si>
    <t xml:space="preserve">C1083</t>
  </si>
  <si>
    <t xml:space="preserve">C1084</t>
  </si>
  <si>
    <t xml:space="preserve">C1085</t>
  </si>
  <si>
    <t xml:space="preserve">C1086</t>
  </si>
  <si>
    <t xml:space="preserve">C1087</t>
  </si>
  <si>
    <t xml:space="preserve">C1088</t>
  </si>
  <si>
    <t xml:space="preserve">C1089</t>
  </si>
  <si>
    <t xml:space="preserve">C1090</t>
  </si>
  <si>
    <t xml:space="preserve">C1091</t>
  </si>
  <si>
    <t xml:space="preserve">C1092</t>
  </si>
  <si>
    <t xml:space="preserve">C1093</t>
  </si>
  <si>
    <t xml:space="preserve">C1094</t>
  </si>
  <si>
    <t xml:space="preserve">C1095</t>
  </si>
  <si>
    <t xml:space="preserve">C1096</t>
  </si>
  <si>
    <t xml:space="preserve">C1097</t>
  </si>
  <si>
    <t xml:space="preserve">C1098</t>
  </si>
  <si>
    <t xml:space="preserve">C1099</t>
  </si>
  <si>
    <t xml:space="preserve">C1100</t>
  </si>
  <si>
    <t xml:space="preserve">C1101</t>
  </si>
  <si>
    <t xml:space="preserve">C1102</t>
  </si>
  <si>
    <t xml:space="preserve">C1103</t>
  </si>
  <si>
    <t xml:space="preserve">C1104</t>
  </si>
  <si>
    <t xml:space="preserve">C1105</t>
  </si>
  <si>
    <t xml:space="preserve">C1106</t>
  </si>
  <si>
    <t xml:space="preserve">C1107</t>
  </si>
  <si>
    <t xml:space="preserve">C1108</t>
  </si>
  <si>
    <t xml:space="preserve">C1109</t>
  </si>
  <si>
    <t xml:space="preserve">C1110</t>
  </si>
  <si>
    <t xml:space="preserve">C1111</t>
  </si>
  <si>
    <t xml:space="preserve">C1112</t>
  </si>
  <si>
    <t xml:space="preserve">C1113</t>
  </si>
  <si>
    <t xml:space="preserve">C1114</t>
  </si>
  <si>
    <t xml:space="preserve">C1115</t>
  </si>
  <si>
    <t xml:space="preserve">C1116</t>
  </si>
  <si>
    <t xml:space="preserve">C1117</t>
  </si>
  <si>
    <t xml:space="preserve">C1118</t>
  </si>
  <si>
    <t xml:space="preserve">C1119</t>
  </si>
  <si>
    <t xml:space="preserve">C1120</t>
  </si>
  <si>
    <t xml:space="preserve">C1121</t>
  </si>
  <si>
    <t xml:space="preserve">C1122</t>
  </si>
  <si>
    <t xml:space="preserve">C1123</t>
  </si>
  <si>
    <t xml:space="preserve">C1124</t>
  </si>
  <si>
    <t xml:space="preserve">C1125</t>
  </si>
  <si>
    <t xml:space="preserve">C1126</t>
  </si>
  <si>
    <t xml:space="preserve">C1127</t>
  </si>
  <si>
    <t xml:space="preserve">C1128</t>
  </si>
  <si>
    <t xml:space="preserve">C1129</t>
  </si>
  <si>
    <t xml:space="preserve">C1130</t>
  </si>
  <si>
    <t xml:space="preserve">C1131</t>
  </si>
  <si>
    <t xml:space="preserve">C1132</t>
  </si>
  <si>
    <t xml:space="preserve">C1133</t>
  </si>
  <si>
    <t xml:space="preserve">C1134</t>
  </si>
  <si>
    <t xml:space="preserve">C1135</t>
  </si>
  <si>
    <t xml:space="preserve">C1136</t>
  </si>
  <si>
    <t xml:space="preserve">C1137</t>
  </si>
  <si>
    <t xml:space="preserve">C1138</t>
  </si>
  <si>
    <t xml:space="preserve">C1139</t>
  </si>
  <si>
    <t xml:space="preserve">C1140</t>
  </si>
  <si>
    <t xml:space="preserve">C1141</t>
  </si>
  <si>
    <t xml:space="preserve">C1142</t>
  </si>
  <si>
    <t xml:space="preserve">C1143</t>
  </si>
  <si>
    <t xml:space="preserve">C1144</t>
  </si>
  <si>
    <t xml:space="preserve">C1145</t>
  </si>
  <si>
    <t xml:space="preserve">C1146</t>
  </si>
  <si>
    <t xml:space="preserve">C1147</t>
  </si>
  <si>
    <t xml:space="preserve">C1148</t>
  </si>
  <si>
    <t xml:space="preserve">C1149</t>
  </si>
  <si>
    <t xml:space="preserve">C1150</t>
  </si>
  <si>
    <t xml:space="preserve">C1151</t>
  </si>
  <si>
    <t xml:space="preserve">C1152</t>
  </si>
  <si>
    <t xml:space="preserve">C1153</t>
  </si>
  <si>
    <t xml:space="preserve">C1154</t>
  </si>
  <si>
    <t xml:space="preserve">C1155</t>
  </si>
  <si>
    <t xml:space="preserve">C1156</t>
  </si>
  <si>
    <t xml:space="preserve">C1157</t>
  </si>
  <si>
    <t xml:space="preserve">C1158</t>
  </si>
  <si>
    <t xml:space="preserve">C1159</t>
  </si>
  <si>
    <t xml:space="preserve">C1160</t>
  </si>
  <si>
    <t xml:space="preserve">C1161</t>
  </si>
  <si>
    <t xml:space="preserve">C1162</t>
  </si>
  <si>
    <t xml:space="preserve">C1163</t>
  </si>
  <si>
    <t xml:space="preserve">C1164</t>
  </si>
  <si>
    <t xml:space="preserve">C1165</t>
  </si>
  <si>
    <t xml:space="preserve">C1166</t>
  </si>
  <si>
    <t xml:space="preserve">C1167</t>
  </si>
  <si>
    <t xml:space="preserve">C1168</t>
  </si>
  <si>
    <t xml:space="preserve">C1169</t>
  </si>
  <si>
    <t xml:space="preserve">C1170</t>
  </si>
  <si>
    <t xml:space="preserve">C1171</t>
  </si>
  <si>
    <t xml:space="preserve">C1172</t>
  </si>
  <si>
    <t xml:space="preserve">C1173</t>
  </si>
  <si>
    <t xml:space="preserve">C1174</t>
  </si>
  <si>
    <t xml:space="preserve">C1175</t>
  </si>
  <si>
    <t xml:space="preserve">C1176</t>
  </si>
  <si>
    <t xml:space="preserve">C1177</t>
  </si>
  <si>
    <t xml:space="preserve">C1178</t>
  </si>
  <si>
    <t xml:space="preserve">C1179</t>
  </si>
  <si>
    <t xml:space="preserve">C1180</t>
  </si>
  <si>
    <t xml:space="preserve">C1181</t>
  </si>
  <si>
    <t xml:space="preserve">C1182</t>
  </si>
  <si>
    <t xml:space="preserve">C1183</t>
  </si>
  <si>
    <t xml:space="preserve">C1184</t>
  </si>
  <si>
    <t xml:space="preserve">C1185</t>
  </si>
  <si>
    <t xml:space="preserve">C1186</t>
  </si>
  <si>
    <t xml:space="preserve">C1187</t>
  </si>
  <si>
    <t xml:space="preserve">C1188</t>
  </si>
  <si>
    <t xml:space="preserve">C1189</t>
  </si>
  <si>
    <t xml:space="preserve">C1190</t>
  </si>
  <si>
    <t xml:space="preserve">C1191</t>
  </si>
  <si>
    <t xml:space="preserve">C1192</t>
  </si>
  <si>
    <t xml:space="preserve">C1193</t>
  </si>
  <si>
    <t xml:space="preserve">C1194</t>
  </si>
  <si>
    <t xml:space="preserve">C1195</t>
  </si>
  <si>
    <t xml:space="preserve">C1196</t>
  </si>
  <si>
    <t xml:space="preserve">C1197</t>
  </si>
  <si>
    <t xml:space="preserve">C1198</t>
  </si>
  <si>
    <t xml:space="preserve">C1199</t>
  </si>
  <si>
    <t xml:space="preserve">C1200</t>
  </si>
  <si>
    <t xml:space="preserve">C1201</t>
  </si>
  <si>
    <t xml:space="preserve">C1202</t>
  </si>
  <si>
    <t xml:space="preserve">C1203</t>
  </si>
  <si>
    <t xml:space="preserve">C1204</t>
  </si>
  <si>
    <t xml:space="preserve">C1205</t>
  </si>
  <si>
    <t xml:space="preserve">C1206</t>
  </si>
  <si>
    <t xml:space="preserve">C1207</t>
  </si>
  <si>
    <t xml:space="preserve">C1208</t>
  </si>
  <si>
    <t xml:space="preserve">C1209</t>
  </si>
  <si>
    <t xml:space="preserve">C1210</t>
  </si>
  <si>
    <t xml:space="preserve">C1211</t>
  </si>
  <si>
    <t xml:space="preserve">C1212</t>
  </si>
  <si>
    <t xml:space="preserve">C1213</t>
  </si>
  <si>
    <t xml:space="preserve">C1214</t>
  </si>
  <si>
    <t xml:space="preserve">C1215</t>
  </si>
  <si>
    <t xml:space="preserve">C1216</t>
  </si>
  <si>
    <t xml:space="preserve">C1217</t>
  </si>
  <si>
    <t xml:space="preserve">C1218</t>
  </si>
  <si>
    <t xml:space="preserve">C1219</t>
  </si>
  <si>
    <t xml:space="preserve">C1220</t>
  </si>
  <si>
    <t xml:space="preserve">C1221</t>
  </si>
  <si>
    <t xml:space="preserve">C1222</t>
  </si>
  <si>
    <t xml:space="preserve">C1223</t>
  </si>
  <si>
    <t xml:space="preserve">C1224</t>
  </si>
  <si>
    <t xml:space="preserve">C1225</t>
  </si>
  <si>
    <t xml:space="preserve">C1226</t>
  </si>
  <si>
    <t xml:space="preserve">C1227</t>
  </si>
  <si>
    <t xml:space="preserve">C1228</t>
  </si>
  <si>
    <t xml:space="preserve">C1229</t>
  </si>
  <si>
    <t xml:space="preserve">C1230</t>
  </si>
  <si>
    <t xml:space="preserve">C1231</t>
  </si>
  <si>
    <t xml:space="preserve">C1232</t>
  </si>
  <si>
    <t xml:space="preserve">C1233</t>
  </si>
  <si>
    <t xml:space="preserve">C1234</t>
  </si>
  <si>
    <t xml:space="preserve">C1235</t>
  </si>
  <si>
    <t xml:space="preserve">C1236</t>
  </si>
  <si>
    <t xml:space="preserve">C1237</t>
  </si>
  <si>
    <t xml:space="preserve">C1238</t>
  </si>
  <si>
    <t xml:space="preserve">C1239</t>
  </si>
  <si>
    <t xml:space="preserve">C1240</t>
  </si>
  <si>
    <t xml:space="preserve">C1241</t>
  </si>
  <si>
    <t xml:space="preserve">C1242</t>
  </si>
  <si>
    <t xml:space="preserve">C1243</t>
  </si>
  <si>
    <t xml:space="preserve">C1244</t>
  </si>
  <si>
    <t xml:space="preserve">C1245</t>
  </si>
  <si>
    <t xml:space="preserve">C1246</t>
  </si>
  <si>
    <t xml:space="preserve">C1247</t>
  </si>
  <si>
    <t xml:space="preserve">C1248</t>
  </si>
  <si>
    <t xml:space="preserve">C1249</t>
  </si>
  <si>
    <t xml:space="preserve">C1250</t>
  </si>
  <si>
    <t xml:space="preserve">C1251</t>
  </si>
  <si>
    <t xml:space="preserve">C1252</t>
  </si>
  <si>
    <t xml:space="preserve">C1253</t>
  </si>
  <si>
    <t xml:space="preserve">C1254</t>
  </si>
  <si>
    <t xml:space="preserve">C1255</t>
  </si>
  <si>
    <t xml:space="preserve">C1256</t>
  </si>
  <si>
    <t xml:space="preserve">C1257</t>
  </si>
  <si>
    <t xml:space="preserve">C1258</t>
  </si>
  <si>
    <t xml:space="preserve">C1259</t>
  </si>
  <si>
    <t xml:space="preserve">C1260</t>
  </si>
  <si>
    <t xml:space="preserve">C1261</t>
  </si>
  <si>
    <t xml:space="preserve">C1262</t>
  </si>
  <si>
    <t xml:space="preserve">C1263</t>
  </si>
  <si>
    <t xml:space="preserve">C1264</t>
  </si>
  <si>
    <t xml:space="preserve">C1265</t>
  </si>
  <si>
    <t xml:space="preserve">C1266</t>
  </si>
  <si>
    <t xml:space="preserve">C1267</t>
  </si>
  <si>
    <t xml:space="preserve">C1268</t>
  </si>
  <si>
    <t xml:space="preserve">C1269</t>
  </si>
  <si>
    <t xml:space="preserve">C1270</t>
  </si>
  <si>
    <t xml:space="preserve">C1271</t>
  </si>
  <si>
    <t xml:space="preserve">C1272</t>
  </si>
  <si>
    <t xml:space="preserve">C1273</t>
  </si>
  <si>
    <t xml:space="preserve">C1274</t>
  </si>
  <si>
    <t xml:space="preserve">C1275</t>
  </si>
  <si>
    <t xml:space="preserve">C1276</t>
  </si>
  <si>
    <t xml:space="preserve">C1277</t>
  </si>
  <si>
    <t xml:space="preserve">C1278</t>
  </si>
  <si>
    <t xml:space="preserve">C1279</t>
  </si>
  <si>
    <t xml:space="preserve">C1280</t>
  </si>
  <si>
    <t xml:space="preserve">C1281</t>
  </si>
  <si>
    <t xml:space="preserve">C1282</t>
  </si>
  <si>
    <t xml:space="preserve">C1283</t>
  </si>
  <si>
    <t xml:space="preserve">C1284</t>
  </si>
  <si>
    <t xml:space="preserve">C1285</t>
  </si>
  <si>
    <t xml:space="preserve">C1286</t>
  </si>
  <si>
    <t xml:space="preserve">C1287</t>
  </si>
  <si>
    <t xml:space="preserve">C1288</t>
  </si>
  <si>
    <t xml:space="preserve">C1289</t>
  </si>
  <si>
    <t xml:space="preserve">C1290</t>
  </si>
  <si>
    <t xml:space="preserve">C1291</t>
  </si>
  <si>
    <t xml:space="preserve">C1292</t>
  </si>
  <si>
    <t xml:space="preserve">C1293</t>
  </si>
  <si>
    <t xml:space="preserve">C1294</t>
  </si>
  <si>
    <t xml:space="preserve">C1295</t>
  </si>
  <si>
    <t xml:space="preserve">C1296</t>
  </si>
  <si>
    <t xml:space="preserve">C1297</t>
  </si>
  <si>
    <t xml:space="preserve">C1298</t>
  </si>
  <si>
    <t xml:space="preserve">C1299</t>
  </si>
  <si>
    <t xml:space="preserve">C1300</t>
  </si>
  <si>
    <t xml:space="preserve">C1301</t>
  </si>
  <si>
    <t xml:space="preserve">C1302</t>
  </si>
  <si>
    <t xml:space="preserve">C1303</t>
  </si>
  <si>
    <t xml:space="preserve">C1304</t>
  </si>
  <si>
    <t xml:space="preserve">C1305</t>
  </si>
  <si>
    <t xml:space="preserve">C1306</t>
  </si>
  <si>
    <t xml:space="preserve">C1307</t>
  </si>
  <si>
    <t xml:space="preserve">C1308</t>
  </si>
  <si>
    <t xml:space="preserve">C1309</t>
  </si>
  <si>
    <t xml:space="preserve">C1310</t>
  </si>
  <si>
    <t xml:space="preserve">C1311</t>
  </si>
  <si>
    <t xml:space="preserve">C1312</t>
  </si>
  <si>
    <t xml:space="preserve">C1313</t>
  </si>
  <si>
    <t xml:space="preserve">C1314</t>
  </si>
  <si>
    <t xml:space="preserve">C1315</t>
  </si>
  <si>
    <t xml:space="preserve">C1316</t>
  </si>
  <si>
    <t xml:space="preserve">C1317</t>
  </si>
  <si>
    <t xml:space="preserve">C1318</t>
  </si>
  <si>
    <t xml:space="preserve">C1319</t>
  </si>
  <si>
    <t xml:space="preserve">C1320</t>
  </si>
  <si>
    <t xml:space="preserve">C1321</t>
  </si>
  <si>
    <t xml:space="preserve">C1322</t>
  </si>
  <si>
    <t xml:space="preserve">C1323</t>
  </si>
  <si>
    <t xml:space="preserve">C1324</t>
  </si>
  <si>
    <t xml:space="preserve">C1325</t>
  </si>
  <si>
    <t xml:space="preserve">C1326</t>
  </si>
  <si>
    <t xml:space="preserve">C1327</t>
  </si>
  <si>
    <t xml:space="preserve">C1328</t>
  </si>
  <si>
    <t xml:space="preserve">C1329</t>
  </si>
  <si>
    <t xml:space="preserve">C1330</t>
  </si>
  <si>
    <t xml:space="preserve">C1331</t>
  </si>
  <si>
    <t xml:space="preserve">C1332</t>
  </si>
  <si>
    <t xml:space="preserve">C1333</t>
  </si>
  <si>
    <t xml:space="preserve">C1334</t>
  </si>
  <si>
    <t xml:space="preserve">C1335</t>
  </si>
  <si>
    <t xml:space="preserve">C1336</t>
  </si>
  <si>
    <t xml:space="preserve">C1337</t>
  </si>
  <si>
    <t xml:space="preserve">C1338</t>
  </si>
  <si>
    <t xml:space="preserve">C1339</t>
  </si>
  <si>
    <t xml:space="preserve">C1340</t>
  </si>
  <si>
    <t xml:space="preserve">C1341</t>
  </si>
  <si>
    <t xml:space="preserve">C1342</t>
  </si>
  <si>
    <t xml:space="preserve">C1343</t>
  </si>
  <si>
    <t xml:space="preserve">C1344</t>
  </si>
  <si>
    <t xml:space="preserve">C1345</t>
  </si>
  <si>
    <t xml:space="preserve">C1346</t>
  </si>
  <si>
    <t xml:space="preserve">C1347</t>
  </si>
  <si>
    <t xml:space="preserve">C1348</t>
  </si>
  <si>
    <t xml:space="preserve">C1349</t>
  </si>
  <si>
    <t xml:space="preserve">C1350</t>
  </si>
  <si>
    <t xml:space="preserve">Helper sheet for Customer Analytics. Customer IDs (col A) are copied from the Data sheet; add new IDs at the bottom and copy formulas down. Sort key = spend + tiny row-based tie-breaker so ranks are unique.</t>
  </si>
  <si>
    <t xml:space="preserve">Year</t>
  </si>
  <si>
    <t xml:space="preserve">Payment</t>
  </si>
  <si>
    <t xml:space="preserve">Metric</t>
  </si>
  <si>
    <t xml:space="preserve">Net revenue (₹)</t>
  </si>
  <si>
    <t xml:space="preserve">Avg order value (₹)</t>
  </si>
  <si>
    <t xml:space="preserve">Dropdown sources for the filters and the Explorer. Edit here if new cities / cuisines / restaurants / years appear in the data.</t>
  </si>
  <si>
    <t xml:space="preserve">Order_ID</t>
  </si>
  <si>
    <t xml:space="preserve">Order_Date</t>
  </si>
  <si>
    <t xml:space="preserve">Customer_Age</t>
  </si>
  <si>
    <t xml:space="preserve">Restaurant_Rating</t>
  </si>
  <si>
    <t xml:space="preserve">Order_Value</t>
  </si>
  <si>
    <t xml:space="preserve">Delivery_Fee</t>
  </si>
  <si>
    <t xml:space="preserve">Discount</t>
  </si>
  <si>
    <t xml:space="preserve">Payment_Method</t>
  </si>
  <si>
    <t xml:space="preserve">Order_Status</t>
  </si>
  <si>
    <t xml:space="preserve">Order_Type</t>
  </si>
  <si>
    <t xml:space="preserve">Delivery_Time_Min</t>
  </si>
  <si>
    <t xml:space="preserve">Distance_KM</t>
  </si>
  <si>
    <t xml:space="preserve">Customer_Rating</t>
  </si>
  <si>
    <t xml:space="preserve">Restaurant_Name</t>
  </si>
  <si>
    <t xml:space="preserve">Gross_Amount</t>
  </si>
  <si>
    <t xml:space="preserve">Net_Amount</t>
  </si>
  <si>
    <t xml:space="preserve">FD10001</t>
  </si>
  <si>
    <t xml:space="preserve">Jan</t>
  </si>
  <si>
    <t xml:space="preserve">FD10002</t>
  </si>
  <si>
    <t xml:space="preserve">FD10003</t>
  </si>
  <si>
    <t xml:space="preserve">FD10004</t>
  </si>
  <si>
    <t xml:space="preserve">FD10005</t>
  </si>
  <si>
    <t xml:space="preserve">FD10006</t>
  </si>
  <si>
    <t xml:space="preserve">FD10007</t>
  </si>
  <si>
    <t xml:space="preserve">FD10008</t>
  </si>
  <si>
    <t xml:space="preserve">FD10009</t>
  </si>
  <si>
    <t xml:space="preserve">FD10010</t>
  </si>
  <si>
    <t xml:space="preserve">FD10011</t>
  </si>
  <si>
    <t xml:space="preserve">FD10012</t>
  </si>
  <si>
    <t xml:space="preserve">FD10013</t>
  </si>
  <si>
    <t xml:space="preserve">FD10014</t>
  </si>
  <si>
    <t xml:space="preserve">FD10015</t>
  </si>
  <si>
    <t xml:space="preserve">FD10016</t>
  </si>
  <si>
    <t xml:space="preserve">FD10017</t>
  </si>
  <si>
    <t xml:space="preserve">FD10018</t>
  </si>
  <si>
    <t xml:space="preserve">FD10019</t>
  </si>
  <si>
    <t xml:space="preserve">FD10020</t>
  </si>
  <si>
    <t xml:space="preserve">FD10021</t>
  </si>
  <si>
    <t xml:space="preserve">FD10022</t>
  </si>
  <si>
    <t xml:space="preserve">FD10023</t>
  </si>
  <si>
    <t xml:space="preserve">FD10024</t>
  </si>
  <si>
    <t xml:space="preserve">FD10025</t>
  </si>
  <si>
    <t xml:space="preserve">FD10026</t>
  </si>
  <si>
    <t xml:space="preserve">FD10027</t>
  </si>
  <si>
    <t xml:space="preserve">FD10028</t>
  </si>
  <si>
    <t xml:space="preserve">FD10029</t>
  </si>
  <si>
    <t xml:space="preserve">FD10030</t>
  </si>
  <si>
    <t xml:space="preserve">FD10031</t>
  </si>
  <si>
    <t xml:space="preserve">FD10032</t>
  </si>
  <si>
    <t xml:space="preserve">FD10033</t>
  </si>
  <si>
    <t xml:space="preserve">FD10034</t>
  </si>
  <si>
    <t xml:space="preserve">FD10035</t>
  </si>
  <si>
    <t xml:space="preserve">FD10036</t>
  </si>
  <si>
    <t xml:space="preserve">FD10037</t>
  </si>
  <si>
    <t xml:space="preserve">FD10038</t>
  </si>
  <si>
    <t xml:space="preserve">FD10039</t>
  </si>
  <si>
    <t xml:space="preserve">FD10040</t>
  </si>
  <si>
    <t xml:space="preserve">FD10041</t>
  </si>
  <si>
    <t xml:space="preserve">FD10042</t>
  </si>
  <si>
    <t xml:space="preserve">FD10043</t>
  </si>
  <si>
    <t xml:space="preserve">FD10044</t>
  </si>
  <si>
    <t xml:space="preserve">FD10045</t>
  </si>
  <si>
    <t xml:space="preserve">FD10046</t>
  </si>
  <si>
    <t xml:space="preserve">FD10047</t>
  </si>
  <si>
    <t xml:space="preserve">FD10048</t>
  </si>
  <si>
    <t xml:space="preserve">FD10049</t>
  </si>
  <si>
    <t xml:space="preserve">FD10050</t>
  </si>
  <si>
    <t xml:space="preserve">FD10051</t>
  </si>
  <si>
    <t xml:space="preserve">FD10052</t>
  </si>
  <si>
    <t xml:space="preserve">FD10053</t>
  </si>
  <si>
    <t xml:space="preserve">FD10054</t>
  </si>
  <si>
    <t xml:space="preserve">FD10055</t>
  </si>
  <si>
    <t xml:space="preserve">FD10056</t>
  </si>
  <si>
    <t xml:space="preserve">FD10057</t>
  </si>
  <si>
    <t xml:space="preserve">FD10058</t>
  </si>
  <si>
    <t xml:space="preserve">FD10059</t>
  </si>
  <si>
    <t xml:space="preserve">FD10060</t>
  </si>
  <si>
    <t xml:space="preserve">FD10061</t>
  </si>
  <si>
    <t xml:space="preserve">FD10062</t>
  </si>
  <si>
    <t xml:space="preserve">FD10063</t>
  </si>
  <si>
    <t xml:space="preserve">FD10064</t>
  </si>
  <si>
    <t xml:space="preserve">FD10065</t>
  </si>
  <si>
    <t xml:space="preserve">FD10066</t>
  </si>
  <si>
    <t xml:space="preserve">FD10067</t>
  </si>
  <si>
    <t xml:space="preserve">FD10068</t>
  </si>
  <si>
    <t xml:space="preserve">FD10069</t>
  </si>
  <si>
    <t xml:space="preserve">FD10070</t>
  </si>
  <si>
    <t xml:space="preserve">FD10071</t>
  </si>
  <si>
    <t xml:space="preserve">FD10072</t>
  </si>
  <si>
    <t xml:space="preserve">FD10073</t>
  </si>
  <si>
    <t xml:space="preserve">FD10074</t>
  </si>
  <si>
    <t xml:space="preserve">FD10075</t>
  </si>
  <si>
    <t xml:space="preserve">FD10076</t>
  </si>
  <si>
    <t xml:space="preserve">FD10077</t>
  </si>
  <si>
    <t xml:space="preserve">FD10078</t>
  </si>
  <si>
    <t xml:space="preserve">FD10079</t>
  </si>
  <si>
    <t xml:space="preserve">FD10080</t>
  </si>
  <si>
    <t xml:space="preserve">FD10081</t>
  </si>
  <si>
    <t xml:space="preserve">FD10082</t>
  </si>
  <si>
    <t xml:space="preserve">FD10083</t>
  </si>
  <si>
    <t xml:space="preserve">FD10084</t>
  </si>
  <si>
    <t xml:space="preserve">FD10085</t>
  </si>
  <si>
    <t xml:space="preserve">FD10086</t>
  </si>
  <si>
    <t xml:space="preserve">FD10087</t>
  </si>
  <si>
    <t xml:space="preserve">FD10088</t>
  </si>
  <si>
    <t xml:space="preserve">FD10089</t>
  </si>
  <si>
    <t xml:space="preserve">FD10090</t>
  </si>
  <si>
    <t xml:space="preserve">FD10091</t>
  </si>
  <si>
    <t xml:space="preserve">FD10092</t>
  </si>
  <si>
    <t xml:space="preserve">FD10093</t>
  </si>
  <si>
    <t xml:space="preserve">FD10094</t>
  </si>
  <si>
    <t xml:space="preserve">Feb</t>
  </si>
  <si>
    <t xml:space="preserve">FD10095</t>
  </si>
  <si>
    <t xml:space="preserve">FD10096</t>
  </si>
  <si>
    <t xml:space="preserve">FD10097</t>
  </si>
  <si>
    <t xml:space="preserve">FD10098</t>
  </si>
  <si>
    <t xml:space="preserve">FD10099</t>
  </si>
  <si>
    <t xml:space="preserve">FD10100</t>
  </si>
  <si>
    <t xml:space="preserve">FD10101</t>
  </si>
  <si>
    <t xml:space="preserve">FD10102</t>
  </si>
  <si>
    <t xml:space="preserve">FD10103</t>
  </si>
  <si>
    <t xml:space="preserve">FD10104</t>
  </si>
  <si>
    <t xml:space="preserve">FD10105</t>
  </si>
  <si>
    <t xml:space="preserve">FD10106</t>
  </si>
  <si>
    <t xml:space="preserve">FD10107</t>
  </si>
  <si>
    <t xml:space="preserve">FD10108</t>
  </si>
  <si>
    <t xml:space="preserve">FD10109</t>
  </si>
  <si>
    <t xml:space="preserve">FD10110</t>
  </si>
  <si>
    <t xml:space="preserve">FD10111</t>
  </si>
  <si>
    <t xml:space="preserve">FD10112</t>
  </si>
  <si>
    <t xml:space="preserve">FD10113</t>
  </si>
  <si>
    <t xml:space="preserve">FD10114</t>
  </si>
  <si>
    <t xml:space="preserve">FD10115</t>
  </si>
  <si>
    <t xml:space="preserve">FD10116</t>
  </si>
  <si>
    <t xml:space="preserve">FD10117</t>
  </si>
  <si>
    <t xml:space="preserve">FD10118</t>
  </si>
  <si>
    <t xml:space="preserve">FD10119</t>
  </si>
  <si>
    <t xml:space="preserve">FD10120</t>
  </si>
  <si>
    <t xml:space="preserve">FD10121</t>
  </si>
  <si>
    <t xml:space="preserve">FD10122</t>
  </si>
  <si>
    <t xml:space="preserve">FD10123</t>
  </si>
  <si>
    <t xml:space="preserve">FD10124</t>
  </si>
  <si>
    <t xml:space="preserve">FD10125</t>
  </si>
  <si>
    <t xml:space="preserve">FD10126</t>
  </si>
  <si>
    <t xml:space="preserve">FD10127</t>
  </si>
  <si>
    <t xml:space="preserve">FD10128</t>
  </si>
  <si>
    <t xml:space="preserve">FD10129</t>
  </si>
  <si>
    <t xml:space="preserve">FD10130</t>
  </si>
  <si>
    <t xml:space="preserve">FD10131</t>
  </si>
  <si>
    <t xml:space="preserve">FD10132</t>
  </si>
  <si>
    <t xml:space="preserve">FD10133</t>
  </si>
  <si>
    <t xml:space="preserve">FD10134</t>
  </si>
  <si>
    <t xml:space="preserve">FD10135</t>
  </si>
  <si>
    <t xml:space="preserve">FD10136</t>
  </si>
  <si>
    <t xml:space="preserve">FD10137</t>
  </si>
  <si>
    <t xml:space="preserve">FD10138</t>
  </si>
  <si>
    <t xml:space="preserve">FD10139</t>
  </si>
  <si>
    <t xml:space="preserve">FD10140</t>
  </si>
  <si>
    <t xml:space="preserve">FD10141</t>
  </si>
  <si>
    <t xml:space="preserve">FD10142</t>
  </si>
  <si>
    <t xml:space="preserve">FD10143</t>
  </si>
  <si>
    <t xml:space="preserve">FD10144</t>
  </si>
  <si>
    <t xml:space="preserve">FD10145</t>
  </si>
  <si>
    <t xml:space="preserve">FD10146</t>
  </si>
  <si>
    <t xml:space="preserve">FD10147</t>
  </si>
  <si>
    <t xml:space="preserve">FD10148</t>
  </si>
  <si>
    <t xml:space="preserve">FD10149</t>
  </si>
  <si>
    <t xml:space="preserve">FD10150</t>
  </si>
  <si>
    <t xml:space="preserve">FD10151</t>
  </si>
  <si>
    <t xml:space="preserve">FD10152</t>
  </si>
  <si>
    <t xml:space="preserve">FD10153</t>
  </si>
  <si>
    <t xml:space="preserve">FD10154</t>
  </si>
  <si>
    <t xml:space="preserve">FD10155</t>
  </si>
  <si>
    <t xml:space="preserve">FD10156</t>
  </si>
  <si>
    <t xml:space="preserve">FD10157</t>
  </si>
  <si>
    <t xml:space="preserve">FD10158</t>
  </si>
  <si>
    <t xml:space="preserve">FD10159</t>
  </si>
  <si>
    <t xml:space="preserve">FD10160</t>
  </si>
  <si>
    <t xml:space="preserve">FD10161</t>
  </si>
  <si>
    <t xml:space="preserve">FD10162</t>
  </si>
  <si>
    <t xml:space="preserve">FD10163</t>
  </si>
  <si>
    <t xml:space="preserve">FD10164</t>
  </si>
  <si>
    <t xml:space="preserve">FD10165</t>
  </si>
  <si>
    <t xml:space="preserve">FD10166</t>
  </si>
  <si>
    <t xml:space="preserve">FD10167</t>
  </si>
  <si>
    <t xml:space="preserve">FD10168</t>
  </si>
  <si>
    <t xml:space="preserve">FD10169</t>
  </si>
  <si>
    <t xml:space="preserve">FD10170</t>
  </si>
  <si>
    <t xml:space="preserve">FD10171</t>
  </si>
  <si>
    <t xml:space="preserve">FD10172</t>
  </si>
  <si>
    <t xml:space="preserve">FD10173</t>
  </si>
  <si>
    <t xml:space="preserve">FD10174</t>
  </si>
  <si>
    <t xml:space="preserve">FD10175</t>
  </si>
  <si>
    <t xml:space="preserve">FD10176</t>
  </si>
  <si>
    <t xml:space="preserve">FD10177</t>
  </si>
  <si>
    <t xml:space="preserve">FD10178</t>
  </si>
  <si>
    <t xml:space="preserve">Mar</t>
  </si>
  <si>
    <t xml:space="preserve">FD10179</t>
  </si>
  <si>
    <t xml:space="preserve">FD10180</t>
  </si>
  <si>
    <t xml:space="preserve">FD10181</t>
  </si>
  <si>
    <t xml:space="preserve">FD10182</t>
  </si>
  <si>
    <t xml:space="preserve">FD10183</t>
  </si>
  <si>
    <t xml:space="preserve">FD10184</t>
  </si>
  <si>
    <t xml:space="preserve">FD10185</t>
  </si>
  <si>
    <t xml:space="preserve">FD10186</t>
  </si>
  <si>
    <t xml:space="preserve">FD10187</t>
  </si>
  <si>
    <t xml:space="preserve">FD10188</t>
  </si>
  <si>
    <t xml:space="preserve">FD10189</t>
  </si>
  <si>
    <t xml:space="preserve">FD10190</t>
  </si>
  <si>
    <t xml:space="preserve">FD10191</t>
  </si>
  <si>
    <t xml:space="preserve">FD10192</t>
  </si>
  <si>
    <t xml:space="preserve">FD10193</t>
  </si>
  <si>
    <t xml:space="preserve">FD10194</t>
  </si>
  <si>
    <t xml:space="preserve">FD10195</t>
  </si>
  <si>
    <t xml:space="preserve">FD10196</t>
  </si>
  <si>
    <t xml:space="preserve">FD10197</t>
  </si>
  <si>
    <t xml:space="preserve">FD10198</t>
  </si>
  <si>
    <t xml:space="preserve">FD10199</t>
  </si>
  <si>
    <t xml:space="preserve">FD10200</t>
  </si>
  <si>
    <t xml:space="preserve">FD10201</t>
  </si>
  <si>
    <t xml:space="preserve">FD10202</t>
  </si>
  <si>
    <t xml:space="preserve">FD10203</t>
  </si>
  <si>
    <t xml:space="preserve">FD10204</t>
  </si>
  <si>
    <t xml:space="preserve">FD10205</t>
  </si>
  <si>
    <t xml:space="preserve">FD10206</t>
  </si>
  <si>
    <t xml:space="preserve">FD10207</t>
  </si>
  <si>
    <t xml:space="preserve">FD10208</t>
  </si>
  <si>
    <t xml:space="preserve">FD10209</t>
  </si>
  <si>
    <t xml:space="preserve">FD10210</t>
  </si>
  <si>
    <t xml:space="preserve">FD10211</t>
  </si>
  <si>
    <t xml:space="preserve">FD10212</t>
  </si>
  <si>
    <t xml:space="preserve">FD10213</t>
  </si>
  <si>
    <t xml:space="preserve">FD10214</t>
  </si>
  <si>
    <t xml:space="preserve">FD10215</t>
  </si>
  <si>
    <t xml:space="preserve">FD10216</t>
  </si>
  <si>
    <t xml:space="preserve">FD10217</t>
  </si>
  <si>
    <t xml:space="preserve">FD10218</t>
  </si>
  <si>
    <t xml:space="preserve">FD10219</t>
  </si>
  <si>
    <t xml:space="preserve">FD10220</t>
  </si>
  <si>
    <t xml:space="preserve">FD10221</t>
  </si>
  <si>
    <t xml:space="preserve">FD10222</t>
  </si>
  <si>
    <t xml:space="preserve">FD10223</t>
  </si>
  <si>
    <t xml:space="preserve">FD10224</t>
  </si>
  <si>
    <t xml:space="preserve">FD10225</t>
  </si>
  <si>
    <t xml:space="preserve">FD10226</t>
  </si>
  <si>
    <t xml:space="preserve">FD10227</t>
  </si>
  <si>
    <t xml:space="preserve">FD10228</t>
  </si>
  <si>
    <t xml:space="preserve">FD10229</t>
  </si>
  <si>
    <t xml:space="preserve">FD10230</t>
  </si>
  <si>
    <t xml:space="preserve">FD10231</t>
  </si>
  <si>
    <t xml:space="preserve">FD10232</t>
  </si>
  <si>
    <t xml:space="preserve">FD10233</t>
  </si>
  <si>
    <t xml:space="preserve">FD10234</t>
  </si>
  <si>
    <t xml:space="preserve">FD10235</t>
  </si>
  <si>
    <t xml:space="preserve">FD10236</t>
  </si>
  <si>
    <t xml:space="preserve">FD10237</t>
  </si>
  <si>
    <t xml:space="preserve">FD10238</t>
  </si>
  <si>
    <t xml:space="preserve">FD10239</t>
  </si>
  <si>
    <t xml:space="preserve">FD10240</t>
  </si>
  <si>
    <t xml:space="preserve">FD10241</t>
  </si>
  <si>
    <t xml:space="preserve">FD10242</t>
  </si>
  <si>
    <t xml:space="preserve">FD10243</t>
  </si>
  <si>
    <t xml:space="preserve">FD10244</t>
  </si>
  <si>
    <t xml:space="preserve">FD10245</t>
  </si>
  <si>
    <t xml:space="preserve">FD10246</t>
  </si>
  <si>
    <t xml:space="preserve">FD10247</t>
  </si>
  <si>
    <t xml:space="preserve">FD10248</t>
  </si>
  <si>
    <t xml:space="preserve">FD10249</t>
  </si>
  <si>
    <t xml:space="preserve">FD10250</t>
  </si>
  <si>
    <t xml:space="preserve">FD10251</t>
  </si>
  <si>
    <t xml:space="preserve">FD10252</t>
  </si>
  <si>
    <t xml:space="preserve">FD10253</t>
  </si>
  <si>
    <t xml:space="preserve">FD10254</t>
  </si>
  <si>
    <t xml:space="preserve">FD10255</t>
  </si>
  <si>
    <t xml:space="preserve">FD10256</t>
  </si>
  <si>
    <t xml:space="preserve">FD10257</t>
  </si>
  <si>
    <t xml:space="preserve">FD10258</t>
  </si>
  <si>
    <t xml:space="preserve">FD10259</t>
  </si>
  <si>
    <t xml:space="preserve">FD10260</t>
  </si>
  <si>
    <t xml:space="preserve">FD10261</t>
  </si>
  <si>
    <t xml:space="preserve">FD10262</t>
  </si>
  <si>
    <t xml:space="preserve">FD10263</t>
  </si>
  <si>
    <t xml:space="preserve">FD10264</t>
  </si>
  <si>
    <t xml:space="preserve">FD10265</t>
  </si>
  <si>
    <t xml:space="preserve">FD10266</t>
  </si>
  <si>
    <t xml:space="preserve">FD10267</t>
  </si>
  <si>
    <t xml:space="preserve">FD10268</t>
  </si>
  <si>
    <t xml:space="preserve">FD10269</t>
  </si>
  <si>
    <t xml:space="preserve">FD10270</t>
  </si>
  <si>
    <t xml:space="preserve">FD10271</t>
  </si>
  <si>
    <t xml:space="preserve">Apr</t>
  </si>
  <si>
    <t xml:space="preserve">FD10272</t>
  </si>
  <si>
    <t xml:space="preserve">FD10273</t>
  </si>
  <si>
    <t xml:space="preserve">FD10274</t>
  </si>
  <si>
    <t xml:space="preserve">FD10275</t>
  </si>
  <si>
    <t xml:space="preserve">FD10276</t>
  </si>
  <si>
    <t xml:space="preserve">FD10277</t>
  </si>
  <si>
    <t xml:space="preserve">FD10278</t>
  </si>
  <si>
    <t xml:space="preserve">FD10279</t>
  </si>
  <si>
    <t xml:space="preserve">FD10280</t>
  </si>
  <si>
    <t xml:space="preserve">FD10281</t>
  </si>
  <si>
    <t xml:space="preserve">FD10282</t>
  </si>
  <si>
    <t xml:space="preserve">FD10283</t>
  </si>
  <si>
    <t xml:space="preserve">FD10284</t>
  </si>
  <si>
    <t xml:space="preserve">FD10285</t>
  </si>
  <si>
    <t xml:space="preserve">FD10286</t>
  </si>
  <si>
    <t xml:space="preserve">FD10287</t>
  </si>
  <si>
    <t xml:space="preserve">FD10288</t>
  </si>
  <si>
    <t xml:space="preserve">FD10289</t>
  </si>
  <si>
    <t xml:space="preserve">FD10290</t>
  </si>
  <si>
    <t xml:space="preserve">FD10291</t>
  </si>
  <si>
    <t xml:space="preserve">FD10292</t>
  </si>
  <si>
    <t xml:space="preserve">FD10293</t>
  </si>
  <si>
    <t xml:space="preserve">FD10294</t>
  </si>
  <si>
    <t xml:space="preserve">FD10295</t>
  </si>
  <si>
    <t xml:space="preserve">FD10296</t>
  </si>
  <si>
    <t xml:space="preserve">FD10297</t>
  </si>
  <si>
    <t xml:space="preserve">FD10298</t>
  </si>
  <si>
    <t xml:space="preserve">FD10299</t>
  </si>
  <si>
    <t xml:space="preserve">FD10300</t>
  </si>
  <si>
    <t xml:space="preserve">FD10301</t>
  </si>
  <si>
    <t xml:space="preserve">FD10302</t>
  </si>
  <si>
    <t xml:space="preserve">FD10303</t>
  </si>
  <si>
    <t xml:space="preserve">FD10304</t>
  </si>
  <si>
    <t xml:space="preserve">FD10305</t>
  </si>
  <si>
    <t xml:space="preserve">FD10306</t>
  </si>
  <si>
    <t xml:space="preserve">FD10307</t>
  </si>
  <si>
    <t xml:space="preserve">FD10308</t>
  </si>
  <si>
    <t xml:space="preserve">FD10309</t>
  </si>
  <si>
    <t xml:space="preserve">FD10310</t>
  </si>
  <si>
    <t xml:space="preserve">FD10311</t>
  </si>
  <si>
    <t xml:space="preserve">FD10312</t>
  </si>
  <si>
    <t xml:space="preserve">FD10313</t>
  </si>
  <si>
    <t xml:space="preserve">FD10314</t>
  </si>
  <si>
    <t xml:space="preserve">FD10315</t>
  </si>
  <si>
    <t xml:space="preserve">FD10316</t>
  </si>
  <si>
    <t xml:space="preserve">FD10317</t>
  </si>
  <si>
    <t xml:space="preserve">FD10318</t>
  </si>
  <si>
    <t xml:space="preserve">FD10319</t>
  </si>
  <si>
    <t xml:space="preserve">FD10320</t>
  </si>
  <si>
    <t xml:space="preserve">FD10321</t>
  </si>
  <si>
    <t xml:space="preserve">FD10322</t>
  </si>
  <si>
    <t xml:space="preserve">FD10323</t>
  </si>
  <si>
    <t xml:space="preserve">FD10324</t>
  </si>
  <si>
    <t xml:space="preserve">FD10325</t>
  </si>
  <si>
    <t xml:space="preserve">FD10326</t>
  </si>
  <si>
    <t xml:space="preserve">FD10327</t>
  </si>
  <si>
    <t xml:space="preserve">FD10328</t>
  </si>
  <si>
    <t xml:space="preserve">FD10329</t>
  </si>
  <si>
    <t xml:space="preserve">FD10330</t>
  </si>
  <si>
    <t xml:space="preserve">FD10331</t>
  </si>
  <si>
    <t xml:space="preserve">FD10332</t>
  </si>
  <si>
    <t xml:space="preserve">FD10333</t>
  </si>
  <si>
    <t xml:space="preserve">FD10334</t>
  </si>
  <si>
    <t xml:space="preserve">FD10335</t>
  </si>
  <si>
    <t xml:space="preserve">FD10336</t>
  </si>
  <si>
    <t xml:space="preserve">FD10337</t>
  </si>
  <si>
    <t xml:space="preserve">FD10338</t>
  </si>
  <si>
    <t xml:space="preserve">FD10339</t>
  </si>
  <si>
    <t xml:space="preserve">FD10340</t>
  </si>
  <si>
    <t xml:space="preserve">FD10341</t>
  </si>
  <si>
    <t xml:space="preserve">FD10342</t>
  </si>
  <si>
    <t xml:space="preserve">FD10343</t>
  </si>
  <si>
    <t xml:space="preserve">FD10344</t>
  </si>
  <si>
    <t xml:space="preserve">FD10345</t>
  </si>
  <si>
    <t xml:space="preserve">FD10346</t>
  </si>
  <si>
    <t xml:space="preserve">FD10347</t>
  </si>
  <si>
    <t xml:space="preserve">FD10348</t>
  </si>
  <si>
    <t xml:space="preserve">FD10349</t>
  </si>
  <si>
    <t xml:space="preserve">FD10350</t>
  </si>
  <si>
    <t xml:space="preserve">FD10351</t>
  </si>
  <si>
    <t xml:space="preserve">FD10352</t>
  </si>
  <si>
    <t xml:space="preserve">FD10353</t>
  </si>
  <si>
    <t xml:space="preserve">FD10354</t>
  </si>
  <si>
    <t xml:space="preserve">FD10355</t>
  </si>
  <si>
    <t xml:space="preserve">FD10356</t>
  </si>
  <si>
    <t xml:space="preserve">FD10357</t>
  </si>
  <si>
    <t xml:space="preserve">FD10358</t>
  </si>
  <si>
    <t xml:space="preserve">FD10359</t>
  </si>
  <si>
    <t xml:space="preserve">FD10360</t>
  </si>
  <si>
    <t xml:space="preserve">FD10361</t>
  </si>
  <si>
    <t xml:space="preserve">May</t>
  </si>
  <si>
    <t xml:space="preserve">FD10362</t>
  </si>
  <si>
    <t xml:space="preserve">FD10363</t>
  </si>
  <si>
    <t xml:space="preserve">FD10364</t>
  </si>
  <si>
    <t xml:space="preserve">FD10365</t>
  </si>
  <si>
    <t xml:space="preserve">FD10366</t>
  </si>
  <si>
    <t xml:space="preserve">FD10367</t>
  </si>
  <si>
    <t xml:space="preserve">FD10368</t>
  </si>
  <si>
    <t xml:space="preserve">FD10369</t>
  </si>
  <si>
    <t xml:space="preserve">FD10370</t>
  </si>
  <si>
    <t xml:space="preserve">FD10371</t>
  </si>
  <si>
    <t xml:space="preserve">FD10372</t>
  </si>
  <si>
    <t xml:space="preserve">FD10373</t>
  </si>
  <si>
    <t xml:space="preserve">FD10374</t>
  </si>
  <si>
    <t xml:space="preserve">FD10375</t>
  </si>
  <si>
    <t xml:space="preserve">FD10376</t>
  </si>
  <si>
    <t xml:space="preserve">FD10377</t>
  </si>
  <si>
    <t xml:space="preserve">FD10378</t>
  </si>
  <si>
    <t xml:space="preserve">FD10379</t>
  </si>
  <si>
    <t xml:space="preserve">FD10380</t>
  </si>
  <si>
    <t xml:space="preserve">FD10381</t>
  </si>
  <si>
    <t xml:space="preserve">FD10382</t>
  </si>
  <si>
    <t xml:space="preserve">FD10383</t>
  </si>
  <si>
    <t xml:space="preserve">FD10384</t>
  </si>
  <si>
    <t xml:space="preserve">FD10385</t>
  </si>
  <si>
    <t xml:space="preserve">FD10386</t>
  </si>
  <si>
    <t xml:space="preserve">FD10387</t>
  </si>
  <si>
    <t xml:space="preserve">FD10388</t>
  </si>
  <si>
    <t xml:space="preserve">FD10389</t>
  </si>
  <si>
    <t xml:space="preserve">FD10390</t>
  </si>
  <si>
    <t xml:space="preserve">FD10391</t>
  </si>
  <si>
    <t xml:space="preserve">FD10392</t>
  </si>
  <si>
    <t xml:space="preserve">FD10393</t>
  </si>
  <si>
    <t xml:space="preserve">FD10394</t>
  </si>
  <si>
    <t xml:space="preserve">FD10395</t>
  </si>
  <si>
    <t xml:space="preserve">FD10396</t>
  </si>
  <si>
    <t xml:space="preserve">FD10397</t>
  </si>
  <si>
    <t xml:space="preserve">FD10398</t>
  </si>
  <si>
    <t xml:space="preserve">FD10399</t>
  </si>
  <si>
    <t xml:space="preserve">FD10400</t>
  </si>
  <si>
    <t xml:space="preserve">FD10401</t>
  </si>
  <si>
    <t xml:space="preserve">FD10402</t>
  </si>
  <si>
    <t xml:space="preserve">FD10403</t>
  </si>
  <si>
    <t xml:space="preserve">FD10404</t>
  </si>
  <si>
    <t xml:space="preserve">FD10405</t>
  </si>
  <si>
    <t xml:space="preserve">FD10406</t>
  </si>
  <si>
    <t xml:space="preserve">FD10407</t>
  </si>
  <si>
    <t xml:space="preserve">FD10408</t>
  </si>
  <si>
    <t xml:space="preserve">FD10409</t>
  </si>
  <si>
    <t xml:space="preserve">FD10410</t>
  </si>
  <si>
    <t xml:space="preserve">FD10411</t>
  </si>
  <si>
    <t xml:space="preserve">FD10412</t>
  </si>
  <si>
    <t xml:space="preserve">FD10413</t>
  </si>
  <si>
    <t xml:space="preserve">FD10414</t>
  </si>
  <si>
    <t xml:space="preserve">FD10415</t>
  </si>
  <si>
    <t xml:space="preserve">FD10416</t>
  </si>
  <si>
    <t xml:space="preserve">FD10417</t>
  </si>
  <si>
    <t xml:space="preserve">FD10418</t>
  </si>
  <si>
    <t xml:space="preserve">FD10419</t>
  </si>
  <si>
    <t xml:space="preserve">FD10420</t>
  </si>
  <si>
    <t xml:space="preserve">FD10421</t>
  </si>
  <si>
    <t xml:space="preserve">FD10422</t>
  </si>
  <si>
    <t xml:space="preserve">FD10423</t>
  </si>
  <si>
    <t xml:space="preserve">FD10424</t>
  </si>
  <si>
    <t xml:space="preserve">FD10425</t>
  </si>
  <si>
    <t xml:space="preserve">FD10426</t>
  </si>
  <si>
    <t xml:space="preserve">FD10427</t>
  </si>
  <si>
    <t xml:space="preserve">FD10428</t>
  </si>
  <si>
    <t xml:space="preserve">FD10429</t>
  </si>
  <si>
    <t xml:space="preserve">FD10430</t>
  </si>
  <si>
    <t xml:space="preserve">FD10431</t>
  </si>
  <si>
    <t xml:space="preserve">FD10432</t>
  </si>
  <si>
    <t xml:space="preserve">FD10433</t>
  </si>
  <si>
    <t xml:space="preserve">FD10434</t>
  </si>
  <si>
    <t xml:space="preserve">FD10435</t>
  </si>
  <si>
    <t xml:space="preserve">FD10436</t>
  </si>
  <si>
    <t xml:space="preserve">FD10437</t>
  </si>
  <si>
    <t xml:space="preserve">FD10438</t>
  </si>
  <si>
    <t xml:space="preserve">FD10439</t>
  </si>
  <si>
    <t xml:space="preserve">FD10440</t>
  </si>
  <si>
    <t xml:space="preserve">FD10441</t>
  </si>
  <si>
    <t xml:space="preserve">FD10442</t>
  </si>
  <si>
    <t xml:space="preserve">FD10443</t>
  </si>
  <si>
    <t xml:space="preserve">FD10444</t>
  </si>
  <si>
    <t xml:space="preserve">FD10445</t>
  </si>
  <si>
    <t xml:space="preserve">FD10446</t>
  </si>
  <si>
    <t xml:space="preserve">FD10447</t>
  </si>
  <si>
    <t xml:space="preserve">FD10448</t>
  </si>
  <si>
    <t xml:space="preserve">FD10449</t>
  </si>
  <si>
    <t xml:space="preserve">FD10450</t>
  </si>
  <si>
    <t xml:space="preserve">FD10451</t>
  </si>
  <si>
    <t xml:space="preserve">FD10452</t>
  </si>
  <si>
    <t xml:space="preserve">FD10453</t>
  </si>
  <si>
    <t xml:space="preserve">FD10454</t>
  </si>
  <si>
    <t xml:space="preserve">Jun</t>
  </si>
  <si>
    <t xml:space="preserve">FD10455</t>
  </si>
  <si>
    <t xml:space="preserve">FD10456</t>
  </si>
  <si>
    <t xml:space="preserve">FD10457</t>
  </si>
  <si>
    <t xml:space="preserve">FD10458</t>
  </si>
  <si>
    <t xml:space="preserve">FD10459</t>
  </si>
  <si>
    <t xml:space="preserve">FD10460</t>
  </si>
  <si>
    <t xml:space="preserve">FD10461</t>
  </si>
  <si>
    <t xml:space="preserve">FD10462</t>
  </si>
  <si>
    <t xml:space="preserve">FD10463</t>
  </si>
  <si>
    <t xml:space="preserve">FD10464</t>
  </si>
  <si>
    <t xml:space="preserve">FD10465</t>
  </si>
  <si>
    <t xml:space="preserve">FD10466</t>
  </si>
  <si>
    <t xml:space="preserve">FD10467</t>
  </si>
  <si>
    <t xml:space="preserve">FD10468</t>
  </si>
  <si>
    <t xml:space="preserve">FD10469</t>
  </si>
  <si>
    <t xml:space="preserve">FD10470</t>
  </si>
  <si>
    <t xml:space="preserve">FD10471</t>
  </si>
  <si>
    <t xml:space="preserve">FD10472</t>
  </si>
  <si>
    <t xml:space="preserve">FD10473</t>
  </si>
  <si>
    <t xml:space="preserve">FD10474</t>
  </si>
  <si>
    <t xml:space="preserve">FD10475</t>
  </si>
  <si>
    <t xml:space="preserve">FD10476</t>
  </si>
  <si>
    <t xml:space="preserve">FD10477</t>
  </si>
  <si>
    <t xml:space="preserve">FD10478</t>
  </si>
  <si>
    <t xml:space="preserve">FD10479</t>
  </si>
  <si>
    <t xml:space="preserve">FD10480</t>
  </si>
  <si>
    <t xml:space="preserve">FD10481</t>
  </si>
  <si>
    <t xml:space="preserve">FD10482</t>
  </si>
  <si>
    <t xml:space="preserve">FD10483</t>
  </si>
  <si>
    <t xml:space="preserve">FD10484</t>
  </si>
  <si>
    <t xml:space="preserve">FD10485</t>
  </si>
  <si>
    <t xml:space="preserve">FD10486</t>
  </si>
  <si>
    <t xml:space="preserve">FD10487</t>
  </si>
  <si>
    <t xml:space="preserve">FD10488</t>
  </si>
  <si>
    <t xml:space="preserve">FD10489</t>
  </si>
  <si>
    <t xml:space="preserve">FD10490</t>
  </si>
  <si>
    <t xml:space="preserve">FD10491</t>
  </si>
  <si>
    <t xml:space="preserve">FD10492</t>
  </si>
  <si>
    <t xml:space="preserve">FD10493</t>
  </si>
  <si>
    <t xml:space="preserve">FD10494</t>
  </si>
  <si>
    <t xml:space="preserve">FD10495</t>
  </si>
  <si>
    <t xml:space="preserve">FD10496</t>
  </si>
  <si>
    <t xml:space="preserve">FD10497</t>
  </si>
  <si>
    <t xml:space="preserve">FD10498</t>
  </si>
  <si>
    <t xml:space="preserve">FD10499</t>
  </si>
  <si>
    <t xml:space="preserve">FD10500</t>
  </si>
  <si>
    <t xml:space="preserve">FD10501</t>
  </si>
  <si>
    <t xml:space="preserve">FD10502</t>
  </si>
  <si>
    <t xml:space="preserve">FD10503</t>
  </si>
  <si>
    <t xml:space="preserve">FD10504</t>
  </si>
  <si>
    <t xml:space="preserve">FD10505</t>
  </si>
  <si>
    <t xml:space="preserve">FD10506</t>
  </si>
  <si>
    <t xml:space="preserve">FD10507</t>
  </si>
  <si>
    <t xml:space="preserve">FD10508</t>
  </si>
  <si>
    <t xml:space="preserve">FD10509</t>
  </si>
  <si>
    <t xml:space="preserve">FD10510</t>
  </si>
  <si>
    <t xml:space="preserve">FD10511</t>
  </si>
  <si>
    <t xml:space="preserve">FD10512</t>
  </si>
  <si>
    <t xml:space="preserve">FD10513</t>
  </si>
  <si>
    <t xml:space="preserve">FD10514</t>
  </si>
  <si>
    <t xml:space="preserve">FD10515</t>
  </si>
  <si>
    <t xml:space="preserve">FD10516</t>
  </si>
  <si>
    <t xml:space="preserve">FD10517</t>
  </si>
  <si>
    <t xml:space="preserve">FD10518</t>
  </si>
  <si>
    <t xml:space="preserve">FD10519</t>
  </si>
  <si>
    <t xml:space="preserve">FD10520</t>
  </si>
  <si>
    <t xml:space="preserve">FD10521</t>
  </si>
  <si>
    <t xml:space="preserve">FD10522</t>
  </si>
  <si>
    <t xml:space="preserve">FD10523</t>
  </si>
  <si>
    <t xml:space="preserve">FD10524</t>
  </si>
  <si>
    <t xml:space="preserve">FD10525</t>
  </si>
  <si>
    <t xml:space="preserve">FD10526</t>
  </si>
  <si>
    <t xml:space="preserve">FD10527</t>
  </si>
  <si>
    <t xml:space="preserve">FD10528</t>
  </si>
  <si>
    <t xml:space="preserve">FD10529</t>
  </si>
  <si>
    <t xml:space="preserve">FD10530</t>
  </si>
  <si>
    <t xml:space="preserve">FD10531</t>
  </si>
  <si>
    <t xml:space="preserve">FD10532</t>
  </si>
  <si>
    <t xml:space="preserve">FD10533</t>
  </si>
  <si>
    <t xml:space="preserve">FD10534</t>
  </si>
  <si>
    <t xml:space="preserve">FD10535</t>
  </si>
  <si>
    <t xml:space="preserve">FD10536</t>
  </si>
  <si>
    <t xml:space="preserve">FD10537</t>
  </si>
  <si>
    <t xml:space="preserve">FD10538</t>
  </si>
  <si>
    <t xml:space="preserve">FD10539</t>
  </si>
  <si>
    <t xml:space="preserve">FD10540</t>
  </si>
  <si>
    <t xml:space="preserve">FD10541</t>
  </si>
  <si>
    <t xml:space="preserve">FD10542</t>
  </si>
  <si>
    <t xml:space="preserve">FD10543</t>
  </si>
  <si>
    <t xml:space="preserve">FD10544</t>
  </si>
  <si>
    <t xml:space="preserve">Jul</t>
  </si>
  <si>
    <t xml:space="preserve">FD10545</t>
  </si>
  <si>
    <t xml:space="preserve">FD10546</t>
  </si>
  <si>
    <t xml:space="preserve">FD10547</t>
  </si>
  <si>
    <t xml:space="preserve">FD10548</t>
  </si>
  <si>
    <t xml:space="preserve">FD10549</t>
  </si>
  <si>
    <t xml:space="preserve">FD10550</t>
  </si>
  <si>
    <t xml:space="preserve">FD10551</t>
  </si>
  <si>
    <t xml:space="preserve">FD10552</t>
  </si>
  <si>
    <t xml:space="preserve">FD10553</t>
  </si>
  <si>
    <t xml:space="preserve">FD10554</t>
  </si>
  <si>
    <t xml:space="preserve">FD10555</t>
  </si>
  <si>
    <t xml:space="preserve">FD10556</t>
  </si>
  <si>
    <t xml:space="preserve">FD10557</t>
  </si>
  <si>
    <t xml:space="preserve">FD10558</t>
  </si>
  <si>
    <t xml:space="preserve">FD10559</t>
  </si>
  <si>
    <t xml:space="preserve">FD10560</t>
  </si>
  <si>
    <t xml:space="preserve">FD10561</t>
  </si>
  <si>
    <t xml:space="preserve">FD10562</t>
  </si>
  <si>
    <t xml:space="preserve">FD10563</t>
  </si>
  <si>
    <t xml:space="preserve">FD10564</t>
  </si>
  <si>
    <t xml:space="preserve">FD10565</t>
  </si>
  <si>
    <t xml:space="preserve">FD10566</t>
  </si>
  <si>
    <t xml:space="preserve">FD10567</t>
  </si>
  <si>
    <t xml:space="preserve">FD10568</t>
  </si>
  <si>
    <t xml:space="preserve">FD10569</t>
  </si>
  <si>
    <t xml:space="preserve">FD10570</t>
  </si>
  <si>
    <t xml:space="preserve">FD10571</t>
  </si>
  <si>
    <t xml:space="preserve">FD10572</t>
  </si>
  <si>
    <t xml:space="preserve">FD10573</t>
  </si>
  <si>
    <t xml:space="preserve">FD10574</t>
  </si>
  <si>
    <t xml:space="preserve">FD10575</t>
  </si>
  <si>
    <t xml:space="preserve">FD10576</t>
  </si>
  <si>
    <t xml:space="preserve">FD10577</t>
  </si>
  <si>
    <t xml:space="preserve">FD10578</t>
  </si>
  <si>
    <t xml:space="preserve">FD10579</t>
  </si>
  <si>
    <t xml:space="preserve">FD10580</t>
  </si>
  <si>
    <t xml:space="preserve">FD10581</t>
  </si>
  <si>
    <t xml:space="preserve">FD10582</t>
  </si>
  <si>
    <t xml:space="preserve">FD10583</t>
  </si>
  <si>
    <t xml:space="preserve">FD10584</t>
  </si>
  <si>
    <t xml:space="preserve">FD10585</t>
  </si>
  <si>
    <t xml:space="preserve">FD10586</t>
  </si>
  <si>
    <t xml:space="preserve">FD10587</t>
  </si>
  <si>
    <t xml:space="preserve">FD10588</t>
  </si>
  <si>
    <t xml:space="preserve">FD10589</t>
  </si>
  <si>
    <t xml:space="preserve">FD10590</t>
  </si>
  <si>
    <t xml:space="preserve">FD10591</t>
  </si>
  <si>
    <t xml:space="preserve">FD10592</t>
  </si>
  <si>
    <t xml:space="preserve">FD10593</t>
  </si>
  <si>
    <t xml:space="preserve">FD10594</t>
  </si>
  <si>
    <t xml:space="preserve">FD10595</t>
  </si>
  <si>
    <t xml:space="preserve">FD10596</t>
  </si>
  <si>
    <t xml:space="preserve">FD10597</t>
  </si>
  <si>
    <t xml:space="preserve">FD10598</t>
  </si>
  <si>
    <t xml:space="preserve">FD10599</t>
  </si>
  <si>
    <t xml:space="preserve">FD10600</t>
  </si>
  <si>
    <t xml:space="preserve">FD10601</t>
  </si>
  <si>
    <t xml:space="preserve">FD10602</t>
  </si>
  <si>
    <t xml:space="preserve">FD10603</t>
  </si>
  <si>
    <t xml:space="preserve">FD10604</t>
  </si>
  <si>
    <t xml:space="preserve">FD10605</t>
  </si>
  <si>
    <t xml:space="preserve">FD10606</t>
  </si>
  <si>
    <t xml:space="preserve">FD10607</t>
  </si>
  <si>
    <t xml:space="preserve">FD10608</t>
  </si>
  <si>
    <t xml:space="preserve">FD10609</t>
  </si>
  <si>
    <t xml:space="preserve">FD10610</t>
  </si>
  <si>
    <t xml:space="preserve">FD10611</t>
  </si>
  <si>
    <t xml:space="preserve">FD10612</t>
  </si>
  <si>
    <t xml:space="preserve">FD10613</t>
  </si>
  <si>
    <t xml:space="preserve">FD10614</t>
  </si>
  <si>
    <t xml:space="preserve">FD10615</t>
  </si>
  <si>
    <t xml:space="preserve">FD10616</t>
  </si>
  <si>
    <t xml:space="preserve">FD10617</t>
  </si>
  <si>
    <t xml:space="preserve">FD10618</t>
  </si>
  <si>
    <t xml:space="preserve">FD10619</t>
  </si>
  <si>
    <t xml:space="preserve">FD10620</t>
  </si>
  <si>
    <t xml:space="preserve">FD10621</t>
  </si>
  <si>
    <t xml:space="preserve">FD10622</t>
  </si>
  <si>
    <t xml:space="preserve">FD10623</t>
  </si>
  <si>
    <t xml:space="preserve">FD10624</t>
  </si>
  <si>
    <t xml:space="preserve">FD10625</t>
  </si>
  <si>
    <t xml:space="preserve">FD10626</t>
  </si>
  <si>
    <t xml:space="preserve">FD10627</t>
  </si>
  <si>
    <t xml:space="preserve">FD10628</t>
  </si>
  <si>
    <t xml:space="preserve">FD10629</t>
  </si>
  <si>
    <t xml:space="preserve">FD10630</t>
  </si>
  <si>
    <t xml:space="preserve">FD10631</t>
  </si>
  <si>
    <t xml:space="preserve">FD10632</t>
  </si>
  <si>
    <t xml:space="preserve">FD10633</t>
  </si>
  <si>
    <t xml:space="preserve">FD10634</t>
  </si>
  <si>
    <t xml:space="preserve">FD10635</t>
  </si>
  <si>
    <t xml:space="preserve">FD10636</t>
  </si>
  <si>
    <t xml:space="preserve">FD10637</t>
  </si>
  <si>
    <t xml:space="preserve">Aug</t>
  </si>
  <si>
    <t xml:space="preserve">FD10638</t>
  </si>
  <si>
    <t xml:space="preserve">FD10639</t>
  </si>
  <si>
    <t xml:space="preserve">FD10640</t>
  </si>
  <si>
    <t xml:space="preserve">FD10641</t>
  </si>
  <si>
    <t xml:space="preserve">FD10642</t>
  </si>
  <si>
    <t xml:space="preserve">FD10643</t>
  </si>
  <si>
    <t xml:space="preserve">FD10644</t>
  </si>
  <si>
    <t xml:space="preserve">FD10645</t>
  </si>
  <si>
    <t xml:space="preserve">FD10646</t>
  </si>
  <si>
    <t xml:space="preserve">FD10647</t>
  </si>
  <si>
    <t xml:space="preserve">FD10648</t>
  </si>
  <si>
    <t xml:space="preserve">FD10649</t>
  </si>
  <si>
    <t xml:space="preserve">FD10650</t>
  </si>
  <si>
    <t xml:space="preserve">FD10651</t>
  </si>
  <si>
    <t xml:space="preserve">FD10652</t>
  </si>
  <si>
    <t xml:space="preserve">FD10653</t>
  </si>
  <si>
    <t xml:space="preserve">FD10654</t>
  </si>
  <si>
    <t xml:space="preserve">FD10655</t>
  </si>
  <si>
    <t xml:space="preserve">FD10656</t>
  </si>
  <si>
    <t xml:space="preserve">FD10657</t>
  </si>
  <si>
    <t xml:space="preserve">FD10658</t>
  </si>
  <si>
    <t xml:space="preserve">FD10659</t>
  </si>
  <si>
    <t xml:space="preserve">FD10660</t>
  </si>
  <si>
    <t xml:space="preserve">FD10661</t>
  </si>
  <si>
    <t xml:space="preserve">FD10662</t>
  </si>
  <si>
    <t xml:space="preserve">FD10663</t>
  </si>
  <si>
    <t xml:space="preserve">FD10664</t>
  </si>
  <si>
    <t xml:space="preserve">FD10665</t>
  </si>
  <si>
    <t xml:space="preserve">FD10666</t>
  </si>
  <si>
    <t xml:space="preserve">FD10667</t>
  </si>
  <si>
    <t xml:space="preserve">FD10668</t>
  </si>
  <si>
    <t xml:space="preserve">FD10669</t>
  </si>
  <si>
    <t xml:space="preserve">FD10670</t>
  </si>
  <si>
    <t xml:space="preserve">FD10671</t>
  </si>
  <si>
    <t xml:space="preserve">FD10672</t>
  </si>
  <si>
    <t xml:space="preserve">FD10673</t>
  </si>
  <si>
    <t xml:space="preserve">FD10674</t>
  </si>
  <si>
    <t xml:space="preserve">FD10675</t>
  </si>
  <si>
    <t xml:space="preserve">FD10676</t>
  </si>
  <si>
    <t xml:space="preserve">FD10677</t>
  </si>
  <si>
    <t xml:space="preserve">FD10678</t>
  </si>
  <si>
    <t xml:space="preserve">FD10679</t>
  </si>
  <si>
    <t xml:space="preserve">FD10680</t>
  </si>
  <si>
    <t xml:space="preserve">FD10681</t>
  </si>
  <si>
    <t xml:space="preserve">FD10682</t>
  </si>
  <si>
    <t xml:space="preserve">FD10683</t>
  </si>
  <si>
    <t xml:space="preserve">FD10684</t>
  </si>
  <si>
    <t xml:space="preserve">FD10685</t>
  </si>
  <si>
    <t xml:space="preserve">FD10686</t>
  </si>
  <si>
    <t xml:space="preserve">FD10687</t>
  </si>
  <si>
    <t xml:space="preserve">FD10688</t>
  </si>
  <si>
    <t xml:space="preserve">FD10689</t>
  </si>
  <si>
    <t xml:space="preserve">FD10690</t>
  </si>
  <si>
    <t xml:space="preserve">FD10691</t>
  </si>
  <si>
    <t xml:space="preserve">FD10692</t>
  </si>
  <si>
    <t xml:space="preserve">FD10693</t>
  </si>
  <si>
    <t xml:space="preserve">FD10694</t>
  </si>
  <si>
    <t xml:space="preserve">FD10695</t>
  </si>
  <si>
    <t xml:space="preserve">FD10696</t>
  </si>
  <si>
    <t xml:space="preserve">FD10697</t>
  </si>
  <si>
    <t xml:space="preserve">FD10698</t>
  </si>
  <si>
    <t xml:space="preserve">FD10699</t>
  </si>
  <si>
    <t xml:space="preserve">FD10700</t>
  </si>
  <si>
    <t xml:space="preserve">FD10701</t>
  </si>
  <si>
    <t xml:space="preserve">FD10702</t>
  </si>
  <si>
    <t xml:space="preserve">FD10703</t>
  </si>
  <si>
    <t xml:space="preserve">FD10704</t>
  </si>
  <si>
    <t xml:space="preserve">FD10705</t>
  </si>
  <si>
    <t xml:space="preserve">FD10706</t>
  </si>
  <si>
    <t xml:space="preserve">FD10707</t>
  </si>
  <si>
    <t xml:space="preserve">FD10708</t>
  </si>
  <si>
    <t xml:space="preserve">FD10709</t>
  </si>
  <si>
    <t xml:space="preserve">FD10710</t>
  </si>
  <si>
    <t xml:space="preserve">FD10711</t>
  </si>
  <si>
    <t xml:space="preserve">FD10712</t>
  </si>
  <si>
    <t xml:space="preserve">FD10713</t>
  </si>
  <si>
    <t xml:space="preserve">FD10714</t>
  </si>
  <si>
    <t xml:space="preserve">FD10715</t>
  </si>
  <si>
    <t xml:space="preserve">FD10716</t>
  </si>
  <si>
    <t xml:space="preserve">FD10717</t>
  </si>
  <si>
    <t xml:space="preserve">FD10718</t>
  </si>
  <si>
    <t xml:space="preserve">FD10719</t>
  </si>
  <si>
    <t xml:space="preserve">FD10720</t>
  </si>
  <si>
    <t xml:space="preserve">FD10721</t>
  </si>
  <si>
    <t xml:space="preserve">FD10722</t>
  </si>
  <si>
    <t xml:space="preserve">FD10723</t>
  </si>
  <si>
    <t xml:space="preserve">FD10724</t>
  </si>
  <si>
    <t xml:space="preserve">FD10725</t>
  </si>
  <si>
    <t xml:space="preserve">FD10726</t>
  </si>
  <si>
    <t xml:space="preserve">FD10727</t>
  </si>
  <si>
    <t xml:space="preserve">FD10728</t>
  </si>
  <si>
    <t xml:space="preserve">FD10729</t>
  </si>
  <si>
    <t xml:space="preserve">FD10730</t>
  </si>
  <si>
    <t xml:space="preserve">Sep</t>
  </si>
  <si>
    <t xml:space="preserve">FD10731</t>
  </si>
  <si>
    <t xml:space="preserve">FD10732</t>
  </si>
  <si>
    <t xml:space="preserve">FD10733</t>
  </si>
  <si>
    <t xml:space="preserve">FD10734</t>
  </si>
  <si>
    <t xml:space="preserve">FD10735</t>
  </si>
  <si>
    <t xml:space="preserve">FD10736</t>
  </si>
  <si>
    <t xml:space="preserve">FD10737</t>
  </si>
  <si>
    <t xml:space="preserve">FD10738</t>
  </si>
  <si>
    <t xml:space="preserve">FD10739</t>
  </si>
  <si>
    <t xml:space="preserve">FD10740</t>
  </si>
  <si>
    <t xml:space="preserve">FD10741</t>
  </si>
  <si>
    <t xml:space="preserve">FD10742</t>
  </si>
  <si>
    <t xml:space="preserve">FD10743</t>
  </si>
  <si>
    <t xml:space="preserve">FD10744</t>
  </si>
  <si>
    <t xml:space="preserve">FD10745</t>
  </si>
  <si>
    <t xml:space="preserve">FD10746</t>
  </si>
  <si>
    <t xml:space="preserve">FD10747</t>
  </si>
  <si>
    <t xml:space="preserve">FD10748</t>
  </si>
  <si>
    <t xml:space="preserve">FD10749</t>
  </si>
  <si>
    <t xml:space="preserve">FD10750</t>
  </si>
  <si>
    <t xml:space="preserve">FD10751</t>
  </si>
  <si>
    <t xml:space="preserve">FD10752</t>
  </si>
  <si>
    <t xml:space="preserve">FD10753</t>
  </si>
  <si>
    <t xml:space="preserve">FD10754</t>
  </si>
  <si>
    <t xml:space="preserve">FD10755</t>
  </si>
  <si>
    <t xml:space="preserve">FD10756</t>
  </si>
  <si>
    <t xml:space="preserve">FD10757</t>
  </si>
  <si>
    <t xml:space="preserve">FD10758</t>
  </si>
  <si>
    <t xml:space="preserve">FD10759</t>
  </si>
  <si>
    <t xml:space="preserve">FD10760</t>
  </si>
  <si>
    <t xml:space="preserve">FD10761</t>
  </si>
  <si>
    <t xml:space="preserve">FD10762</t>
  </si>
  <si>
    <t xml:space="preserve">FD10763</t>
  </si>
  <si>
    <t xml:space="preserve">FD10764</t>
  </si>
  <si>
    <t xml:space="preserve">FD10765</t>
  </si>
  <si>
    <t xml:space="preserve">FD10766</t>
  </si>
  <si>
    <t xml:space="preserve">FD10767</t>
  </si>
  <si>
    <t xml:space="preserve">FD10768</t>
  </si>
  <si>
    <t xml:space="preserve">FD10769</t>
  </si>
  <si>
    <t xml:space="preserve">FD10770</t>
  </si>
  <si>
    <t xml:space="preserve">FD10771</t>
  </si>
  <si>
    <t xml:space="preserve">FD10772</t>
  </si>
  <si>
    <t xml:space="preserve">FD10773</t>
  </si>
  <si>
    <t xml:space="preserve">FD10774</t>
  </si>
  <si>
    <t xml:space="preserve">FD10775</t>
  </si>
  <si>
    <t xml:space="preserve">FD10776</t>
  </si>
  <si>
    <t xml:space="preserve">FD10777</t>
  </si>
  <si>
    <t xml:space="preserve">FD10778</t>
  </si>
  <si>
    <t xml:space="preserve">FD10779</t>
  </si>
  <si>
    <t xml:space="preserve">FD10780</t>
  </si>
  <si>
    <t xml:space="preserve">FD10781</t>
  </si>
  <si>
    <t xml:space="preserve">FD10782</t>
  </si>
  <si>
    <t xml:space="preserve">FD10783</t>
  </si>
  <si>
    <t xml:space="preserve">FD10784</t>
  </si>
  <si>
    <t xml:space="preserve">FD10785</t>
  </si>
  <si>
    <t xml:space="preserve">FD10786</t>
  </si>
  <si>
    <t xml:space="preserve">FD10787</t>
  </si>
  <si>
    <t xml:space="preserve">FD10788</t>
  </si>
  <si>
    <t xml:space="preserve">FD10789</t>
  </si>
  <si>
    <t xml:space="preserve">FD10790</t>
  </si>
  <si>
    <t xml:space="preserve">FD10791</t>
  </si>
  <si>
    <t xml:space="preserve">FD10792</t>
  </si>
  <si>
    <t xml:space="preserve">FD10793</t>
  </si>
  <si>
    <t xml:space="preserve">FD10794</t>
  </si>
  <si>
    <t xml:space="preserve">FD10795</t>
  </si>
  <si>
    <t xml:space="preserve">FD10796</t>
  </si>
  <si>
    <t xml:space="preserve">FD10797</t>
  </si>
  <si>
    <t xml:space="preserve">FD10798</t>
  </si>
  <si>
    <t xml:space="preserve">FD10799</t>
  </si>
  <si>
    <t xml:space="preserve">FD10800</t>
  </si>
  <si>
    <t xml:space="preserve">FD10801</t>
  </si>
  <si>
    <t xml:space="preserve">FD10802</t>
  </si>
  <si>
    <t xml:space="preserve">FD10803</t>
  </si>
  <si>
    <t xml:space="preserve">FD10804</t>
  </si>
  <si>
    <t xml:space="preserve">FD10805</t>
  </si>
  <si>
    <t xml:space="preserve">FD10806</t>
  </si>
  <si>
    <t xml:space="preserve">FD10807</t>
  </si>
  <si>
    <t xml:space="preserve">FD10808</t>
  </si>
  <si>
    <t xml:space="preserve">FD10809</t>
  </si>
  <si>
    <t xml:space="preserve">FD10810</t>
  </si>
  <si>
    <t xml:space="preserve">FD10811</t>
  </si>
  <si>
    <t xml:space="preserve">FD10812</t>
  </si>
  <si>
    <t xml:space="preserve">FD10813</t>
  </si>
  <si>
    <t xml:space="preserve">FD10814</t>
  </si>
  <si>
    <t xml:space="preserve">FD10815</t>
  </si>
  <si>
    <t xml:space="preserve">FD10816</t>
  </si>
  <si>
    <t xml:space="preserve">FD10817</t>
  </si>
  <si>
    <t xml:space="preserve">FD10818</t>
  </si>
  <si>
    <t xml:space="preserve">FD10819</t>
  </si>
  <si>
    <t xml:space="preserve">FD10820</t>
  </si>
  <si>
    <t xml:space="preserve">Oct</t>
  </si>
  <si>
    <t xml:space="preserve">FD10821</t>
  </si>
  <si>
    <t xml:space="preserve">FD10822</t>
  </si>
  <si>
    <t xml:space="preserve">FD10823</t>
  </si>
  <si>
    <t xml:space="preserve">FD10824</t>
  </si>
  <si>
    <t xml:space="preserve">FD10825</t>
  </si>
  <si>
    <t xml:space="preserve">FD10826</t>
  </si>
  <si>
    <t xml:space="preserve">FD10827</t>
  </si>
  <si>
    <t xml:space="preserve">FD10828</t>
  </si>
  <si>
    <t xml:space="preserve">FD10829</t>
  </si>
  <si>
    <t xml:space="preserve">FD10830</t>
  </si>
  <si>
    <t xml:space="preserve">FD10831</t>
  </si>
  <si>
    <t xml:space="preserve">FD10832</t>
  </si>
  <si>
    <t xml:space="preserve">FD10833</t>
  </si>
  <si>
    <t xml:space="preserve">FD10834</t>
  </si>
  <si>
    <t xml:space="preserve">FD10835</t>
  </si>
  <si>
    <t xml:space="preserve">FD10836</t>
  </si>
  <si>
    <t xml:space="preserve">FD10837</t>
  </si>
  <si>
    <t xml:space="preserve">FD10838</t>
  </si>
  <si>
    <t xml:space="preserve">FD10839</t>
  </si>
  <si>
    <t xml:space="preserve">FD10840</t>
  </si>
  <si>
    <t xml:space="preserve">FD10841</t>
  </si>
  <si>
    <t xml:space="preserve">FD10842</t>
  </si>
  <si>
    <t xml:space="preserve">FD10843</t>
  </si>
  <si>
    <t xml:space="preserve">FD10844</t>
  </si>
  <si>
    <t xml:space="preserve">FD10845</t>
  </si>
  <si>
    <t xml:space="preserve">FD10846</t>
  </si>
  <si>
    <t xml:space="preserve">FD10847</t>
  </si>
  <si>
    <t xml:space="preserve">FD10848</t>
  </si>
  <si>
    <t xml:space="preserve">FD10849</t>
  </si>
  <si>
    <t xml:space="preserve">FD10850</t>
  </si>
  <si>
    <t xml:space="preserve">FD10851</t>
  </si>
  <si>
    <t xml:space="preserve">FD10852</t>
  </si>
  <si>
    <t xml:space="preserve">FD10853</t>
  </si>
  <si>
    <t xml:space="preserve">FD10854</t>
  </si>
  <si>
    <t xml:space="preserve">FD10855</t>
  </si>
  <si>
    <t xml:space="preserve">FD10856</t>
  </si>
  <si>
    <t xml:space="preserve">FD10857</t>
  </si>
  <si>
    <t xml:space="preserve">FD10858</t>
  </si>
  <si>
    <t xml:space="preserve">FD10859</t>
  </si>
  <si>
    <t xml:space="preserve">FD10860</t>
  </si>
  <si>
    <t xml:space="preserve">FD10861</t>
  </si>
  <si>
    <t xml:space="preserve">FD10862</t>
  </si>
  <si>
    <t xml:space="preserve">FD10863</t>
  </si>
  <si>
    <t xml:space="preserve">FD10864</t>
  </si>
  <si>
    <t xml:space="preserve">FD10865</t>
  </si>
  <si>
    <t xml:space="preserve">FD10866</t>
  </si>
  <si>
    <t xml:space="preserve">FD10867</t>
  </si>
  <si>
    <t xml:space="preserve">FD10868</t>
  </si>
  <si>
    <t xml:space="preserve">FD10869</t>
  </si>
  <si>
    <t xml:space="preserve">FD10870</t>
  </si>
  <si>
    <t xml:space="preserve">FD10871</t>
  </si>
  <si>
    <t xml:space="preserve">FD10872</t>
  </si>
  <si>
    <t xml:space="preserve">FD10873</t>
  </si>
  <si>
    <t xml:space="preserve">FD10874</t>
  </si>
  <si>
    <t xml:space="preserve">FD10875</t>
  </si>
  <si>
    <t xml:space="preserve">FD10876</t>
  </si>
  <si>
    <t xml:space="preserve">FD10877</t>
  </si>
  <si>
    <t xml:space="preserve">FD10878</t>
  </si>
  <si>
    <t xml:space="preserve">FD10879</t>
  </si>
  <si>
    <t xml:space="preserve">FD10880</t>
  </si>
  <si>
    <t xml:space="preserve">FD10881</t>
  </si>
  <si>
    <t xml:space="preserve">FD10882</t>
  </si>
  <si>
    <t xml:space="preserve">FD10883</t>
  </si>
  <si>
    <t xml:space="preserve">FD10884</t>
  </si>
  <si>
    <t xml:space="preserve">FD10885</t>
  </si>
  <si>
    <t xml:space="preserve">FD10886</t>
  </si>
  <si>
    <t xml:space="preserve">FD10887</t>
  </si>
  <si>
    <t xml:space="preserve">FD10888</t>
  </si>
  <si>
    <t xml:space="preserve">FD10889</t>
  </si>
  <si>
    <t xml:space="preserve">FD10890</t>
  </si>
  <si>
    <t xml:space="preserve">FD10891</t>
  </si>
  <si>
    <t xml:space="preserve">FD10892</t>
  </si>
  <si>
    <t xml:space="preserve">FD10893</t>
  </si>
  <si>
    <t xml:space="preserve">FD10894</t>
  </si>
  <si>
    <t xml:space="preserve">FD10895</t>
  </si>
  <si>
    <t xml:space="preserve">FD10896</t>
  </si>
  <si>
    <t xml:space="preserve">FD10897</t>
  </si>
  <si>
    <t xml:space="preserve">FD10898</t>
  </si>
  <si>
    <t xml:space="preserve">FD10899</t>
  </si>
  <si>
    <t xml:space="preserve">FD10900</t>
  </si>
  <si>
    <t xml:space="preserve">FD10901</t>
  </si>
  <si>
    <t xml:space="preserve">FD10902</t>
  </si>
  <si>
    <t xml:space="preserve">FD10903</t>
  </si>
  <si>
    <t xml:space="preserve">FD10904</t>
  </si>
  <si>
    <t xml:space="preserve">FD10905</t>
  </si>
  <si>
    <t xml:space="preserve">FD10906</t>
  </si>
  <si>
    <t xml:space="preserve">FD10907</t>
  </si>
  <si>
    <t xml:space="preserve">FD10908</t>
  </si>
  <si>
    <t xml:space="preserve">FD10909</t>
  </si>
  <si>
    <t xml:space="preserve">FD10910</t>
  </si>
  <si>
    <t xml:space="preserve">FD10911</t>
  </si>
  <si>
    <t xml:space="preserve">FD10912</t>
  </si>
  <si>
    <t xml:space="preserve">FD10913</t>
  </si>
  <si>
    <t xml:space="preserve">Nov</t>
  </si>
  <si>
    <t xml:space="preserve">FD10914</t>
  </si>
  <si>
    <t xml:space="preserve">FD10915</t>
  </si>
  <si>
    <t xml:space="preserve">FD10916</t>
  </si>
  <si>
    <t xml:space="preserve">FD10917</t>
  </si>
  <si>
    <t xml:space="preserve">FD10918</t>
  </si>
  <si>
    <t xml:space="preserve">FD10919</t>
  </si>
  <si>
    <t xml:space="preserve">FD10920</t>
  </si>
  <si>
    <t xml:space="preserve">FD10921</t>
  </si>
  <si>
    <t xml:space="preserve">FD10922</t>
  </si>
  <si>
    <t xml:space="preserve">FD10923</t>
  </si>
  <si>
    <t xml:space="preserve">FD10924</t>
  </si>
  <si>
    <t xml:space="preserve">FD10925</t>
  </si>
  <si>
    <t xml:space="preserve">FD10926</t>
  </si>
  <si>
    <t xml:space="preserve">FD10927</t>
  </si>
  <si>
    <t xml:space="preserve">FD10928</t>
  </si>
  <si>
    <t xml:space="preserve">FD10929</t>
  </si>
  <si>
    <t xml:space="preserve">FD10930</t>
  </si>
  <si>
    <t xml:space="preserve">FD10931</t>
  </si>
  <si>
    <t xml:space="preserve">FD10932</t>
  </si>
  <si>
    <t xml:space="preserve">FD10933</t>
  </si>
  <si>
    <t xml:space="preserve">FD10934</t>
  </si>
  <si>
    <t xml:space="preserve">FD10935</t>
  </si>
  <si>
    <t xml:space="preserve">FD10936</t>
  </si>
  <si>
    <t xml:space="preserve">FD10937</t>
  </si>
  <si>
    <t xml:space="preserve">FD10938</t>
  </si>
  <si>
    <t xml:space="preserve">FD10939</t>
  </si>
  <si>
    <t xml:space="preserve">FD10940</t>
  </si>
  <si>
    <t xml:space="preserve">FD10941</t>
  </si>
  <si>
    <t xml:space="preserve">FD10942</t>
  </si>
  <si>
    <t xml:space="preserve">FD10943</t>
  </si>
  <si>
    <t xml:space="preserve">FD10944</t>
  </si>
  <si>
    <t xml:space="preserve">FD10945</t>
  </si>
  <si>
    <t xml:space="preserve">FD10946</t>
  </si>
  <si>
    <t xml:space="preserve">FD10947</t>
  </si>
  <si>
    <t xml:space="preserve">FD10948</t>
  </si>
  <si>
    <t xml:space="preserve">FD10949</t>
  </si>
  <si>
    <t xml:space="preserve">FD10950</t>
  </si>
  <si>
    <t xml:space="preserve">FD10951</t>
  </si>
  <si>
    <t xml:space="preserve">FD10952</t>
  </si>
  <si>
    <t xml:space="preserve">FD10953</t>
  </si>
  <si>
    <t xml:space="preserve">FD10954</t>
  </si>
  <si>
    <t xml:space="preserve">FD10955</t>
  </si>
  <si>
    <t xml:space="preserve">FD10956</t>
  </si>
  <si>
    <t xml:space="preserve">FD10957</t>
  </si>
  <si>
    <t xml:space="preserve">FD10958</t>
  </si>
  <si>
    <t xml:space="preserve">FD10959</t>
  </si>
  <si>
    <t xml:space="preserve">FD10960</t>
  </si>
  <si>
    <t xml:space="preserve">FD10961</t>
  </si>
  <si>
    <t xml:space="preserve">FD10962</t>
  </si>
  <si>
    <t xml:space="preserve">FD10963</t>
  </si>
  <si>
    <t xml:space="preserve">FD10964</t>
  </si>
  <si>
    <t xml:space="preserve">FD10965</t>
  </si>
  <si>
    <t xml:space="preserve">FD10966</t>
  </si>
  <si>
    <t xml:space="preserve">FD10967</t>
  </si>
  <si>
    <t xml:space="preserve">FD10968</t>
  </si>
  <si>
    <t xml:space="preserve">FD10969</t>
  </si>
  <si>
    <t xml:space="preserve">FD10970</t>
  </si>
  <si>
    <t xml:space="preserve">FD10971</t>
  </si>
  <si>
    <t xml:space="preserve">FD10972</t>
  </si>
  <si>
    <t xml:space="preserve">FD10973</t>
  </si>
  <si>
    <t xml:space="preserve">FD10974</t>
  </si>
  <si>
    <t xml:space="preserve">FD10975</t>
  </si>
  <si>
    <t xml:space="preserve">FD10976</t>
  </si>
  <si>
    <t xml:space="preserve">FD10977</t>
  </si>
  <si>
    <t xml:space="preserve">FD10978</t>
  </si>
  <si>
    <t xml:space="preserve">FD10979</t>
  </si>
  <si>
    <t xml:space="preserve">FD10980</t>
  </si>
  <si>
    <t xml:space="preserve">FD10981</t>
  </si>
  <si>
    <t xml:space="preserve">FD10982</t>
  </si>
  <si>
    <t xml:space="preserve">FD10983</t>
  </si>
  <si>
    <t xml:space="preserve">FD10984</t>
  </si>
  <si>
    <t xml:space="preserve">FD10985</t>
  </si>
  <si>
    <t xml:space="preserve">FD10986</t>
  </si>
  <si>
    <t xml:space="preserve">FD10987</t>
  </si>
  <si>
    <t xml:space="preserve">FD10988</t>
  </si>
  <si>
    <t xml:space="preserve">FD10989</t>
  </si>
  <si>
    <t xml:space="preserve">FD10990</t>
  </si>
  <si>
    <t xml:space="preserve">FD10991</t>
  </si>
  <si>
    <t xml:space="preserve">FD10992</t>
  </si>
  <si>
    <t xml:space="preserve">FD10993</t>
  </si>
  <si>
    <t xml:space="preserve">FD10994</t>
  </si>
  <si>
    <t xml:space="preserve">FD10995</t>
  </si>
  <si>
    <t xml:space="preserve">FD10996</t>
  </si>
  <si>
    <t xml:space="preserve">FD10997</t>
  </si>
  <si>
    <t xml:space="preserve">FD10998</t>
  </si>
  <si>
    <t xml:space="preserve">FD10999</t>
  </si>
  <si>
    <t xml:space="preserve">FD11000</t>
  </si>
  <si>
    <t xml:space="preserve">FD11001</t>
  </si>
  <si>
    <t xml:space="preserve">FD11002</t>
  </si>
  <si>
    <t xml:space="preserve">FD11003</t>
  </si>
  <si>
    <t xml:space="preserve">Dec</t>
  </si>
  <si>
    <t xml:space="preserve">FD11004</t>
  </si>
  <si>
    <t xml:space="preserve">FD11005</t>
  </si>
  <si>
    <t xml:space="preserve">FD11006</t>
  </si>
  <si>
    <t xml:space="preserve">FD11007</t>
  </si>
  <si>
    <t xml:space="preserve">FD11008</t>
  </si>
  <si>
    <t xml:space="preserve">FD11009</t>
  </si>
  <si>
    <t xml:space="preserve">FD11010</t>
  </si>
  <si>
    <t xml:space="preserve">FD11011</t>
  </si>
  <si>
    <t xml:space="preserve">FD11012</t>
  </si>
  <si>
    <t xml:space="preserve">FD11013</t>
  </si>
  <si>
    <t xml:space="preserve">FD11014</t>
  </si>
  <si>
    <t xml:space="preserve">FD11015</t>
  </si>
  <si>
    <t xml:space="preserve">FD11016</t>
  </si>
  <si>
    <t xml:space="preserve">FD11017</t>
  </si>
  <si>
    <t xml:space="preserve">FD11018</t>
  </si>
  <si>
    <t xml:space="preserve">FD11019</t>
  </si>
  <si>
    <t xml:space="preserve">FD11020</t>
  </si>
  <si>
    <t xml:space="preserve">FD11021</t>
  </si>
  <si>
    <t xml:space="preserve">FD11022</t>
  </si>
  <si>
    <t xml:space="preserve">FD11023</t>
  </si>
  <si>
    <t xml:space="preserve">FD11024</t>
  </si>
  <si>
    <t xml:space="preserve">FD11025</t>
  </si>
  <si>
    <t xml:space="preserve">FD11026</t>
  </si>
  <si>
    <t xml:space="preserve">FD11027</t>
  </si>
  <si>
    <t xml:space="preserve">FD11028</t>
  </si>
  <si>
    <t xml:space="preserve">FD11029</t>
  </si>
  <si>
    <t xml:space="preserve">FD11030</t>
  </si>
  <si>
    <t xml:space="preserve">FD11031</t>
  </si>
  <si>
    <t xml:space="preserve">FD11032</t>
  </si>
  <si>
    <t xml:space="preserve">FD11033</t>
  </si>
  <si>
    <t xml:space="preserve">FD11034</t>
  </si>
  <si>
    <t xml:space="preserve">FD11035</t>
  </si>
  <si>
    <t xml:space="preserve">FD11036</t>
  </si>
  <si>
    <t xml:space="preserve">FD11037</t>
  </si>
  <si>
    <t xml:space="preserve">FD11038</t>
  </si>
  <si>
    <t xml:space="preserve">FD11039</t>
  </si>
  <si>
    <t xml:space="preserve">FD11040</t>
  </si>
  <si>
    <t xml:space="preserve">FD11041</t>
  </si>
  <si>
    <t xml:space="preserve">FD11042</t>
  </si>
  <si>
    <t xml:space="preserve">FD11043</t>
  </si>
  <si>
    <t xml:space="preserve">FD11044</t>
  </si>
  <si>
    <t xml:space="preserve">FD11045</t>
  </si>
  <si>
    <t xml:space="preserve">FD11046</t>
  </si>
  <si>
    <t xml:space="preserve">FD11047</t>
  </si>
  <si>
    <t xml:space="preserve">FD11048</t>
  </si>
  <si>
    <t xml:space="preserve">FD11049</t>
  </si>
  <si>
    <t xml:space="preserve">FD11050</t>
  </si>
  <si>
    <t xml:space="preserve">FD11051</t>
  </si>
  <si>
    <t xml:space="preserve">FD11052</t>
  </si>
  <si>
    <t xml:space="preserve">FD11053</t>
  </si>
  <si>
    <t xml:space="preserve">FD11054</t>
  </si>
  <si>
    <t xml:space="preserve">FD11055</t>
  </si>
  <si>
    <t xml:space="preserve">FD11056</t>
  </si>
  <si>
    <t xml:space="preserve">FD11057</t>
  </si>
  <si>
    <t xml:space="preserve">FD11058</t>
  </si>
  <si>
    <t xml:space="preserve">FD11059</t>
  </si>
  <si>
    <t xml:space="preserve">FD11060</t>
  </si>
  <si>
    <t xml:space="preserve">FD11061</t>
  </si>
  <si>
    <t xml:space="preserve">FD11062</t>
  </si>
  <si>
    <t xml:space="preserve">FD11063</t>
  </si>
  <si>
    <t xml:space="preserve">FD11064</t>
  </si>
  <si>
    <t xml:space="preserve">FD11065</t>
  </si>
  <si>
    <t xml:space="preserve">FD11066</t>
  </si>
  <si>
    <t xml:space="preserve">FD11067</t>
  </si>
  <si>
    <t xml:space="preserve">FD11068</t>
  </si>
  <si>
    <t xml:space="preserve">FD11069</t>
  </si>
  <si>
    <t xml:space="preserve">FD11070</t>
  </si>
  <si>
    <t xml:space="preserve">FD11071</t>
  </si>
  <si>
    <t xml:space="preserve">FD11072</t>
  </si>
  <si>
    <t xml:space="preserve">FD11073</t>
  </si>
  <si>
    <t xml:space="preserve">FD11074</t>
  </si>
  <si>
    <t xml:space="preserve">FD11075</t>
  </si>
  <si>
    <t xml:space="preserve">FD11076</t>
  </si>
  <si>
    <t xml:space="preserve">FD11077</t>
  </si>
  <si>
    <t xml:space="preserve">FD11078</t>
  </si>
  <si>
    <t xml:space="preserve">FD11079</t>
  </si>
  <si>
    <t xml:space="preserve">FD11080</t>
  </si>
  <si>
    <t xml:space="preserve">FD11081</t>
  </si>
  <si>
    <t xml:space="preserve">FD11082</t>
  </si>
  <si>
    <t xml:space="preserve">FD11083</t>
  </si>
  <si>
    <t xml:space="preserve">FD11084</t>
  </si>
  <si>
    <t xml:space="preserve">FD11085</t>
  </si>
  <si>
    <t xml:space="preserve">FD11086</t>
  </si>
  <si>
    <t xml:space="preserve">FD11087</t>
  </si>
  <si>
    <t xml:space="preserve">FD11088</t>
  </si>
  <si>
    <t xml:space="preserve">FD11089</t>
  </si>
  <si>
    <t xml:space="preserve">FD11090</t>
  </si>
  <si>
    <t xml:space="preserve">FD11091</t>
  </si>
  <si>
    <t xml:space="preserve">FD11092</t>
  </si>
  <si>
    <t xml:space="preserve">FD11093</t>
  </si>
  <si>
    <t xml:space="preserve">FD11094</t>
  </si>
  <si>
    <t xml:space="preserve">FD11095</t>
  </si>
  <si>
    <t xml:space="preserve">FD11096</t>
  </si>
  <si>
    <t xml:space="preserve">FD11097</t>
  </si>
  <si>
    <t xml:space="preserve">FD11098</t>
  </si>
  <si>
    <t xml:space="preserve">FD11099</t>
  </si>
  <si>
    <t xml:space="preserve">FD11100</t>
  </si>
  <si>
    <t xml:space="preserve">FD11101</t>
  </si>
  <si>
    <t xml:space="preserve">FD11102</t>
  </si>
  <si>
    <t xml:space="preserve">FD11103</t>
  </si>
  <si>
    <t xml:space="preserve">FD11104</t>
  </si>
  <si>
    <t xml:space="preserve">FD11105</t>
  </si>
  <si>
    <t xml:space="preserve">FD11106</t>
  </si>
  <si>
    <t xml:space="preserve">FD11107</t>
  </si>
  <si>
    <t xml:space="preserve">FD11108</t>
  </si>
  <si>
    <t xml:space="preserve">FD11109</t>
  </si>
  <si>
    <t xml:space="preserve">FD11110</t>
  </si>
  <si>
    <t xml:space="preserve">FD11111</t>
  </si>
  <si>
    <t xml:space="preserve">FD11112</t>
  </si>
  <si>
    <t xml:space="preserve">FD11113</t>
  </si>
  <si>
    <t xml:space="preserve">FD11114</t>
  </si>
  <si>
    <t xml:space="preserve">FD11115</t>
  </si>
  <si>
    <t xml:space="preserve">FD11116</t>
  </si>
  <si>
    <t xml:space="preserve">FD11117</t>
  </si>
  <si>
    <t xml:space="preserve">FD11118</t>
  </si>
  <si>
    <t xml:space="preserve">FD11119</t>
  </si>
  <si>
    <t xml:space="preserve">FD11120</t>
  </si>
  <si>
    <t xml:space="preserve">FD11121</t>
  </si>
  <si>
    <t xml:space="preserve">FD11122</t>
  </si>
  <si>
    <t xml:space="preserve">FD11123</t>
  </si>
  <si>
    <t xml:space="preserve">FD11124</t>
  </si>
  <si>
    <t xml:space="preserve">FD11125</t>
  </si>
  <si>
    <t xml:space="preserve">FD11126</t>
  </si>
  <si>
    <t xml:space="preserve">FD11127</t>
  </si>
  <si>
    <t xml:space="preserve">FD11128</t>
  </si>
  <si>
    <t xml:space="preserve">FD11129</t>
  </si>
  <si>
    <t xml:space="preserve">FD11130</t>
  </si>
  <si>
    <t xml:space="preserve">FD11131</t>
  </si>
  <si>
    <t xml:space="preserve">FD11132</t>
  </si>
  <si>
    <t xml:space="preserve">FD11133</t>
  </si>
  <si>
    <t xml:space="preserve">FD11134</t>
  </si>
  <si>
    <t xml:space="preserve">FD11135</t>
  </si>
  <si>
    <t xml:space="preserve">FD11136</t>
  </si>
  <si>
    <t xml:space="preserve">FD11137</t>
  </si>
  <si>
    <t xml:space="preserve">FD11138</t>
  </si>
  <si>
    <t xml:space="preserve">FD11139</t>
  </si>
  <si>
    <t xml:space="preserve">FD11140</t>
  </si>
  <si>
    <t xml:space="preserve">FD11141</t>
  </si>
  <si>
    <t xml:space="preserve">FD11142</t>
  </si>
  <si>
    <t xml:space="preserve">FD11143</t>
  </si>
  <si>
    <t xml:space="preserve">FD11144</t>
  </si>
  <si>
    <t xml:space="preserve">FD11145</t>
  </si>
  <si>
    <t xml:space="preserve">FD11146</t>
  </si>
  <si>
    <t xml:space="preserve">FD11147</t>
  </si>
  <si>
    <t xml:space="preserve">FD11148</t>
  </si>
  <si>
    <t xml:space="preserve">FD11149</t>
  </si>
  <si>
    <t xml:space="preserve">FD11150</t>
  </si>
  <si>
    <t xml:space="preserve">FD11151</t>
  </si>
  <si>
    <t xml:space="preserve">FD11152</t>
  </si>
  <si>
    <t xml:space="preserve">FD11153</t>
  </si>
  <si>
    <t xml:space="preserve">FD11154</t>
  </si>
  <si>
    <t xml:space="preserve">FD11155</t>
  </si>
  <si>
    <t xml:space="preserve">FD11156</t>
  </si>
  <si>
    <t xml:space="preserve">FD11157</t>
  </si>
  <si>
    <t xml:space="preserve">FD11158</t>
  </si>
  <si>
    <t xml:space="preserve">FD11159</t>
  </si>
  <si>
    <t xml:space="preserve">FD11160</t>
  </si>
  <si>
    <t xml:space="preserve">FD11161</t>
  </si>
  <si>
    <t xml:space="preserve">FD11162</t>
  </si>
  <si>
    <t xml:space="preserve">FD11163</t>
  </si>
  <si>
    <t xml:space="preserve">FD11164</t>
  </si>
  <si>
    <t xml:space="preserve">FD11165</t>
  </si>
  <si>
    <t xml:space="preserve">FD11166</t>
  </si>
  <si>
    <t xml:space="preserve">FD11167</t>
  </si>
  <si>
    <t xml:space="preserve">FD11168</t>
  </si>
  <si>
    <t xml:space="preserve">FD11169</t>
  </si>
  <si>
    <t xml:space="preserve">FD11170</t>
  </si>
  <si>
    <t xml:space="preserve">FD11171</t>
  </si>
  <si>
    <t xml:space="preserve">FD11172</t>
  </si>
  <si>
    <t xml:space="preserve">FD11173</t>
  </si>
  <si>
    <t xml:space="preserve">FD11174</t>
  </si>
  <si>
    <t xml:space="preserve">FD11175</t>
  </si>
  <si>
    <t xml:space="preserve">FD11176</t>
  </si>
  <si>
    <t xml:space="preserve">FD11177</t>
  </si>
  <si>
    <t xml:space="preserve">FD11178</t>
  </si>
  <si>
    <t xml:space="preserve">FD11179</t>
  </si>
  <si>
    <t xml:space="preserve">FD11180</t>
  </si>
  <si>
    <t xml:space="preserve">FD11181</t>
  </si>
  <si>
    <t xml:space="preserve">FD11182</t>
  </si>
  <si>
    <t xml:space="preserve">FD11183</t>
  </si>
  <si>
    <t xml:space="preserve">FD11184</t>
  </si>
  <si>
    <t xml:space="preserve">FD11185</t>
  </si>
  <si>
    <t xml:space="preserve">FD11186</t>
  </si>
  <si>
    <t xml:space="preserve">FD11187</t>
  </si>
  <si>
    <t xml:space="preserve">FD11188</t>
  </si>
  <si>
    <t xml:space="preserve">FD11189</t>
  </si>
  <si>
    <t xml:space="preserve">FD11190</t>
  </si>
  <si>
    <t xml:space="preserve">FD11191</t>
  </si>
  <si>
    <t xml:space="preserve">FD11192</t>
  </si>
  <si>
    <t xml:space="preserve">FD11193</t>
  </si>
  <si>
    <t xml:space="preserve">FD11194</t>
  </si>
  <si>
    <t xml:space="preserve">FD11195</t>
  </si>
  <si>
    <t xml:space="preserve">FD11196</t>
  </si>
  <si>
    <t xml:space="preserve">FD11197</t>
  </si>
  <si>
    <t xml:space="preserve">FD11198</t>
  </si>
  <si>
    <t xml:space="preserve">FD11199</t>
  </si>
  <si>
    <t xml:space="preserve">FD11200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</si>
</sst>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\₹#,##0"/>
    <numFmt numFmtId="167" formatCode="0.0%"/>
    <numFmt numFmtId="168" formatCode="0.0&quot; min&quot;"/>
    <numFmt numFmtId="169" formatCode="0.00"/>
    <numFmt numFmtId="170" formatCode="mmm\-yy"/>
    <numFmt numFmtId="171" formatCode="@"/>
    <numFmt numFmtId="172" formatCode="0.0"/>
    <numFmt numFmtId="173" formatCode="0"/>
    <numFmt numFmtId="174" formatCode="0.0&quot; km&quot;"/>
    <numFmt numFmtId="175" formatCode="0&quot; min&quot;"/>
    <numFmt numFmtId="176" formatCode="General"/>
    <numFmt numFmtId="177" formatCode="#,##0.00"/>
    <numFmt numFmtId="178" formatCode="#,##0.##"/>
    <numFmt numFmtId="179" formatCode="yyyy\-mm\-dd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3B7DD8"/>
      <name val="Arial"/>
      <family val="0"/>
      <charset val="1"/>
    </font>
    <font>
      <b val="true"/>
      <sz val="18"/>
      <color rgb="FF3FA34D"/>
      <name val="Arial"/>
      <family val="0"/>
      <charset val="1"/>
    </font>
    <font>
      <b val="true"/>
      <sz val="18"/>
      <color rgb="FF0F9D8A"/>
      <name val="Arial"/>
      <family val="0"/>
      <charset val="1"/>
    </font>
    <font>
      <b val="true"/>
      <sz val="18"/>
      <color rgb="FFD64545"/>
      <name val="Arial"/>
      <family val="0"/>
      <charset val="1"/>
    </font>
    <font>
      <b val="true"/>
      <sz val="18"/>
      <color rgb="FFF28C28"/>
      <name val="Arial"/>
      <family val="0"/>
      <charset val="1"/>
    </font>
    <font>
      <b val="true"/>
      <sz val="18"/>
      <color rgb="FF7B61C9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u val="single"/>
      <sz val="12"/>
      <color rgb="FF3B7DD8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u val="single"/>
      <sz val="12"/>
      <color rgb="FF0F9D8A"/>
      <name val="Arial"/>
      <family val="0"/>
      <charset val="1"/>
    </font>
    <font>
      <b val="true"/>
      <u val="single"/>
      <sz val="12"/>
      <color rgb="FF7B61C9"/>
      <name val="Arial"/>
      <family val="0"/>
      <charset val="1"/>
    </font>
    <font>
      <b val="true"/>
      <u val="single"/>
      <sz val="12"/>
      <color rgb="FFF28C28"/>
      <name val="Arial"/>
      <family val="0"/>
      <charset val="1"/>
    </font>
    <font>
      <b val="true"/>
      <u val="single"/>
      <sz val="12"/>
      <color rgb="FFD64545"/>
      <name val="Arial"/>
      <family val="0"/>
      <charset val="1"/>
    </font>
    <font>
      <b val="true"/>
      <u val="single"/>
      <sz val="12"/>
      <color rgb="FF3FA34D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u val="single"/>
      <sz val="9"/>
      <color rgb="FF3B7DD8"/>
      <name val="Arial"/>
      <family val="0"/>
      <charset val="1"/>
    </font>
    <font>
      <b val="true"/>
      <sz val="9"/>
      <color rgb="FF1F2A4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0F9D8A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0F9D8A"/>
      <name val="Arial"/>
      <family val="0"/>
      <charset val="1"/>
    </font>
    <font>
      <b val="true"/>
      <sz val="12"/>
      <color rgb="FFF28C28"/>
      <name val="Arial"/>
      <family val="0"/>
      <charset val="1"/>
    </font>
    <font>
      <b val="true"/>
      <sz val="12"/>
      <color rgb="FFD6454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3B7DD8"/>
        <bgColor rgb="FF4F81BD"/>
      </patternFill>
    </fill>
    <fill>
      <patternFill patternType="solid">
        <fgColor rgb="FF3FA34D"/>
        <bgColor rgb="FF0F9D8A"/>
      </patternFill>
    </fill>
    <fill>
      <patternFill patternType="solid">
        <fgColor rgb="FF0F9D8A"/>
        <bgColor rgb="FF3FA34D"/>
      </patternFill>
    </fill>
    <fill>
      <patternFill patternType="solid">
        <fgColor rgb="FFD64545"/>
        <bgColor rgb="FF993366"/>
      </patternFill>
    </fill>
    <fill>
      <patternFill patternType="solid">
        <fgColor rgb="FFF28C28"/>
        <bgColor rgb="FFFF8080"/>
      </patternFill>
    </fill>
    <fill>
      <patternFill patternType="solid">
        <fgColor rgb="FF7B61C9"/>
        <bgColor rgb="FF6B7280"/>
      </patternFill>
    </fill>
    <fill>
      <patternFill patternType="solid">
        <fgColor rgb="FFF3F5F9"/>
        <bgColor rgb="FFFFFFFF"/>
      </patternFill>
    </fill>
    <fill>
      <patternFill patternType="solid">
        <fgColor rgb="FFFFF3C4"/>
        <bgColor rgb="FFFFF8D6"/>
      </patternFill>
    </fill>
    <fill>
      <patternFill patternType="solid">
        <fgColor rgb="FFFFF8D6"/>
        <bgColor rgb="FFFFF3C4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0F9D8A"/>
      </bottom>
      <diagonal/>
    </border>
    <border diagonalUp="false" diagonalDown="false">
      <left/>
      <right/>
      <top/>
      <bottom style="thin">
        <color rgb="FFD5DAE3"/>
      </bottom>
      <diagonal/>
    </border>
    <border diagonalUp="false" diagonalDown="false">
      <left style="thin">
        <color rgb="FFF28C28"/>
      </left>
      <right style="thin">
        <color rgb="FFF28C28"/>
      </right>
      <top style="thin">
        <color rgb="FFF28C28"/>
      </top>
      <bottom style="thin">
        <color rgb="FFF28C28"/>
      </bottom>
      <diagonal/>
    </border>
    <border diagonalUp="false" diagonalDown="false">
      <left/>
      <right/>
      <top style="thin">
        <color rgb="FF1F2A44"/>
      </top>
      <bottom/>
      <diagonal/>
    </border>
    <border diagonalUp="false" diagonalDown="false">
      <left style="thin">
        <color rgb="FFD64545"/>
      </left>
      <right style="thin">
        <color rgb="FFD64545"/>
      </right>
      <top style="thin">
        <color rgb="FFD64545"/>
      </top>
      <bottom style="thin">
        <color rgb="FFD64545"/>
      </bottom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7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D8A"/>
      <rgbColor rgb="FFD9D9D9"/>
      <rgbColor rgb="FF878787"/>
      <rgbColor rgb="FF7B61C9"/>
      <rgbColor rgb="FFD64545"/>
      <rgbColor rgb="FFFFF8D6"/>
      <rgbColor rgb="FFF3F5F9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5E7EB"/>
      <rgbColor rgb="FFCCFFCC"/>
      <rgbColor rgb="FFFFF3C4"/>
      <rgbColor rgb="FF99CCFF"/>
      <rgbColor rgb="FFFF99CC"/>
      <rgbColor rgb="FFCC99FF"/>
      <rgbColor rgb="FFFFCC99"/>
      <rgbColor rgb="FF3B7DD8"/>
      <rgbColor rgb="FF33CCCC"/>
      <rgbColor rgb="FF99CC00"/>
      <rgbColor rgb="FFFFCC00"/>
      <rgbColor rgb="FFF28C28"/>
      <rgbColor rgb="FFFF6600"/>
      <rgbColor rgb="FF6B7280"/>
      <rgbColor rgb="FF999999"/>
      <rgbColor rgb="FF1F2A44"/>
      <rgbColor rgb="FF3FA34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by status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'Order Analytics'!$E$61:$E$74</c:f>
              <c:numCache>
                <c:formatCode>#,##0</c:formatCode>
                <c:ptCount val="14"/>
                <c:pt idx="0">
                  <c:v>66</c:v>
                </c:pt>
                <c:pt idx="1">
                  <c:v>48</c:v>
                </c:pt>
                <c:pt idx="2">
                  <c:v>55</c:v>
                </c:pt>
                <c:pt idx="3">
                  <c:v>61</c:v>
                </c:pt>
                <c:pt idx="4">
                  <c:v>59</c:v>
                </c:pt>
                <c:pt idx="5">
                  <c:v>58</c:v>
                </c:pt>
                <c:pt idx="6">
                  <c:v>59</c:v>
                </c:pt>
                <c:pt idx="7">
                  <c:v>70</c:v>
                </c:pt>
                <c:pt idx="8">
                  <c:v>60</c:v>
                </c:pt>
                <c:pt idx="9">
                  <c:v>63</c:v>
                </c:pt>
                <c:pt idx="10">
                  <c:v>61</c:v>
                </c:pt>
                <c:pt idx="11">
                  <c:v>61</c:v>
                </c:pt>
                <c:pt idx="12">
                  <c:v>63</c:v>
                </c:pt>
                <c:pt idx="13">
                  <c:v>7</c:v>
                </c:pt>
              </c:numCache>
            </c:numRef>
          </c:val>
        </c:ser>
        <c:ser>
          <c:idx val="1"/>
          <c:order val="1"/>
          <c:tx>
            <c:strRef>
              <c:f>"Pending"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'Order Analytics'!$F$61:$F$74</c:f>
              <c:numCache>
                <c:formatCode>#,##0</c:formatCode>
                <c:ptCount val="14"/>
                <c:pt idx="0">
                  <c:v>12</c:v>
                </c:pt>
                <c:pt idx="1">
                  <c:v>21</c:v>
                </c:pt>
                <c:pt idx="2">
                  <c:v>19</c:v>
                </c:pt>
                <c:pt idx="3">
                  <c:v>12</c:v>
                </c:pt>
                <c:pt idx="4">
                  <c:v>18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4</c:v>
                </c:pt>
              </c:numCache>
            </c:numRef>
          </c:val>
        </c:ser>
        <c:ser>
          <c:idx val="2"/>
          <c:order val="2"/>
          <c:tx>
            <c:strRef>
              <c:f>"Cancelled"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'Order Analytics'!$G$61:$G$74</c:f>
              <c:numCache>
                <c:formatCode>#,##0</c:formatCode>
                <c:ptCount val="14"/>
                <c:pt idx="0">
                  <c:v>15</c:v>
                </c:pt>
                <c:pt idx="1">
                  <c:v>15</c:v>
                </c:pt>
                <c:pt idx="2">
                  <c:v>19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16</c:v>
                </c:pt>
                <c:pt idx="7">
                  <c:v>12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10</c:v>
                </c:pt>
                <c:pt idx="13">
                  <c:v>1</c:v>
                </c:pt>
              </c:numCache>
            </c:numRef>
          </c:val>
        </c:ser>
        <c:gapWidth val="60"/>
        <c:overlap val="100"/>
        <c:axId val="88719727"/>
        <c:axId val="99206602"/>
      </c:barChart>
      <c:catAx>
        <c:axId val="8871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06602"/>
        <c:crosses val="autoZero"/>
        <c:auto val="1"/>
        <c:lblAlgn val="ctr"/>
        <c:lblOffset val="100"/>
        <c:noMultiLvlLbl val="0"/>
      </c:catAx>
      <c:valAx>
        <c:axId val="9920660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197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"Order status mix"</c:f>
              <c:strCache>
                <c:ptCount val="1"/>
                <c:pt idx="0">
                  <c:v>Order status mix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fa34d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64545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'Order Analytics'!$B$81:$B$83</c:f>
              <c:strCache>
                <c:ptCount val="3"/>
                <c:pt idx="0">
                  <c:v>Delivered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'Order Analytics'!$C$81:$C$83</c:f>
              <c:numCache>
                <c:formatCode>#,##0</c:formatCode>
                <c:ptCount val="3"/>
                <c:pt idx="0">
                  <c:v>791</c:v>
                </c:pt>
                <c:pt idx="1">
                  <c:v>207</c:v>
                </c:pt>
                <c:pt idx="2">
                  <c:v>202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Analytics'!$B$96:$B$105</c:f>
              <c:strCache>
                <c:ptCount val="10"/>
                <c:pt idx="0">
                  <c:v>Burgers</c:v>
                </c:pt>
                <c:pt idx="1">
                  <c:v>North Indian</c:v>
                </c:pt>
                <c:pt idx="2">
                  <c:v>Desserts</c:v>
                </c:pt>
                <c:pt idx="3">
                  <c:v>Fast Food</c:v>
                </c:pt>
                <c:pt idx="4">
                  <c:v>Chinese</c:v>
                </c:pt>
                <c:pt idx="5">
                  <c:v>Momos</c:v>
                </c:pt>
                <c:pt idx="6">
                  <c:v>Biryani</c:v>
                </c:pt>
                <c:pt idx="7">
                  <c:v>Healthy</c:v>
                </c:pt>
                <c:pt idx="8">
                  <c:v>Pizza</c:v>
                </c:pt>
                <c:pt idx="9">
                  <c:v>South Indian</c:v>
                </c:pt>
              </c:strCache>
            </c:strRef>
          </c:cat>
          <c:val>
            <c:numRef>
              <c:f>'Order Analytics'!$C$96:$C$105</c:f>
              <c:numCache>
                <c:formatCode>#,##0</c:formatCode>
                <c:ptCount val="10"/>
                <c:pt idx="0">
                  <c:v>138</c:v>
                </c:pt>
                <c:pt idx="1">
                  <c:v>136</c:v>
                </c:pt>
                <c:pt idx="2">
                  <c:v>128</c:v>
                </c:pt>
                <c:pt idx="3">
                  <c:v>122</c:v>
                </c:pt>
                <c:pt idx="4">
                  <c:v>121</c:v>
                </c:pt>
                <c:pt idx="5">
                  <c:v>116</c:v>
                </c:pt>
                <c:pt idx="6">
                  <c:v>115</c:v>
                </c:pt>
                <c:pt idx="7">
                  <c:v>114</c:v>
                </c:pt>
                <c:pt idx="8">
                  <c:v>109</c:v>
                </c:pt>
                <c:pt idx="9">
                  <c:v>101</c:v>
                </c:pt>
              </c:numCache>
            </c:numRef>
          </c:val>
        </c:ser>
        <c:gapWidth val="60"/>
        <c:overlap val="0"/>
        <c:axId val="7038056"/>
        <c:axId val="75280029"/>
      </c:barChart>
      <c:catAx>
        <c:axId val="70380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0029"/>
        <c:crosses val="autoZero"/>
        <c:auto val="1"/>
        <c:lblAlgn val="ctr"/>
        <c:lblOffset val="100"/>
        <c:noMultiLvlLbl val="0"/>
      </c:catAx>
      <c:valAx>
        <c:axId val="7528002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8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Analytics'!$B$111:$B$115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Wallet</c:v>
                </c:pt>
              </c:strCache>
            </c:strRef>
          </c:cat>
          <c:val>
            <c:numRef>
              <c:f>'Order Analytics'!$C$111:$C$115</c:f>
              <c:numCache>
                <c:formatCode>#,##0</c:formatCode>
                <c:ptCount val="5"/>
                <c:pt idx="0">
                  <c:v>496</c:v>
                </c:pt>
                <c:pt idx="1">
                  <c:v>239</c:v>
                </c:pt>
                <c:pt idx="2">
                  <c:v>232</c:v>
                </c:pt>
                <c:pt idx="3">
                  <c:v>138</c:v>
                </c:pt>
                <c:pt idx="4">
                  <c:v>95</c:v>
                </c:pt>
              </c:numCache>
            </c:numRef>
          </c:val>
        </c:ser>
        <c:gapWidth val="60"/>
        <c:overlap val="0"/>
        <c:axId val="14573322"/>
        <c:axId val="16287118"/>
      </c:barChart>
      <c:catAx>
        <c:axId val="14573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7118"/>
        <c:crosses val="autoZero"/>
        <c:auto val="1"/>
        <c:lblAlgn val="ctr"/>
        <c:lblOffset val="100"/>
        <c:noMultiLvlLbl val="0"/>
      </c:catAx>
      <c:valAx>
        <c:axId val="1628711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733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Analytics'!$B$121:$B$132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'Order Analytics'!$C$121:$C$132</c:f>
              <c:numCache>
                <c:formatCode>#,##0</c:formatCode>
                <c:ptCount val="12"/>
                <c:pt idx="0">
                  <c:v>119</c:v>
                </c:pt>
                <c:pt idx="1">
                  <c:v>114</c:v>
                </c:pt>
                <c:pt idx="2">
                  <c:v>110</c:v>
                </c:pt>
                <c:pt idx="3">
                  <c:v>108</c:v>
                </c:pt>
                <c:pt idx="4">
                  <c:v>107</c:v>
                </c:pt>
                <c:pt idx="5">
                  <c:v>102</c:v>
                </c:pt>
                <c:pt idx="6">
                  <c:v>96</c:v>
                </c:pt>
                <c:pt idx="7">
                  <c:v>96</c:v>
                </c:pt>
                <c:pt idx="8">
                  <c:v>94</c:v>
                </c:pt>
                <c:pt idx="9">
                  <c:v>91</c:v>
                </c:pt>
                <c:pt idx="10">
                  <c:v>83</c:v>
                </c:pt>
                <c:pt idx="11">
                  <c:v>80</c:v>
                </c:pt>
              </c:numCache>
            </c:numRef>
          </c:val>
        </c:ser>
        <c:gapWidth val="60"/>
        <c:overlap val="0"/>
        <c:axId val="43945645"/>
        <c:axId val="32372984"/>
      </c:barChart>
      <c:catAx>
        <c:axId val="43945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72984"/>
        <c:crosses val="autoZero"/>
        <c:auto val="1"/>
        <c:lblAlgn val="ctr"/>
        <c:lblOffset val="100"/>
        <c:noMultiLvlLbl val="0"/>
      </c:catAx>
      <c:valAx>
        <c:axId val="3237298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45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type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Analytics'!$B$89:$B$90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'Order Analytics'!$C$89:$C$90</c:f>
              <c:numCache>
                <c:formatCode>#,##0</c:formatCode>
                <c:ptCount val="2"/>
                <c:pt idx="0">
                  <c:v>592</c:v>
                </c:pt>
                <c:pt idx="1">
                  <c:v>199</c:v>
                </c:pt>
              </c:numCache>
            </c:numRef>
          </c:val>
        </c:ser>
        <c:ser>
          <c:idx val="1"/>
          <c:order val="1"/>
          <c:tx>
            <c:strRef>
              <c:f>"Pending"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Analytics'!$B$89:$B$90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'Order Analytics'!$D$89:$D$90</c:f>
              <c:numCache>
                <c:formatCode>#,##0</c:formatCode>
                <c:ptCount val="2"/>
                <c:pt idx="0">
                  <c:v>146</c:v>
                </c:pt>
                <c:pt idx="1">
                  <c:v>61</c:v>
                </c:pt>
              </c:numCache>
            </c:numRef>
          </c:val>
        </c:ser>
        <c:ser>
          <c:idx val="2"/>
          <c:order val="2"/>
          <c:tx>
            <c:strRef>
              <c:f>"Cancelled"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Analytics'!$B$89:$B$90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'Order Analytics'!$E$89:$E$90</c:f>
              <c:numCache>
                <c:formatCode>#,##0</c:formatCode>
                <c:ptCount val="2"/>
                <c:pt idx="0">
                  <c:v>143</c:v>
                </c:pt>
                <c:pt idx="1">
                  <c:v>59</c:v>
                </c:pt>
              </c:numCache>
            </c:numRef>
          </c:val>
        </c:ser>
        <c:gapWidth val="60"/>
        <c:overlap val="100"/>
        <c:axId val="23966275"/>
        <c:axId val="47649628"/>
      </c:barChart>
      <c:catAx>
        <c:axId val="23966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49628"/>
        <c:crosses val="autoZero"/>
        <c:auto val="1"/>
        <c:lblAlgn val="ctr"/>
        <c:lblOffset val="100"/>
        <c:noMultiLvlLbl val="0"/>
      </c:catAx>
      <c:valAx>
        <c:axId val="4764962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662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Performance'!$G$61:$G$72</c:f>
              <c:numCache>
                <c:formatCode>\₹#,##0</c:formatCode>
                <c:ptCount val="12"/>
                <c:pt idx="0">
                  <c:v>66822</c:v>
                </c:pt>
                <c:pt idx="1">
                  <c:v>60113</c:v>
                </c:pt>
                <c:pt idx="2">
                  <c:v>55539</c:v>
                </c:pt>
                <c:pt idx="3">
                  <c:v>59187</c:v>
                </c:pt>
                <c:pt idx="4">
                  <c:v>67652</c:v>
                </c:pt>
                <c:pt idx="5">
                  <c:v>63464</c:v>
                </c:pt>
                <c:pt idx="6">
                  <c:v>60969</c:v>
                </c:pt>
                <c:pt idx="7">
                  <c:v>54523</c:v>
                </c:pt>
                <c:pt idx="8">
                  <c:v>56948</c:v>
                </c:pt>
                <c:pt idx="9">
                  <c:v>42448</c:v>
                </c:pt>
                <c:pt idx="10">
                  <c:v>54955</c:v>
                </c:pt>
                <c:pt idx="11">
                  <c:v>57330</c:v>
                </c:pt>
              </c:numCache>
            </c:numRef>
          </c:val>
        </c:ser>
        <c:gapWidth val="60"/>
        <c:overlap val="0"/>
        <c:axId val="6949425"/>
        <c:axId val="64114866"/>
      </c:barChart>
      <c:catAx>
        <c:axId val="69494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4866"/>
        <c:crosses val="autoZero"/>
        <c:auto val="1"/>
        <c:lblAlgn val="ctr"/>
        <c:lblOffset val="100"/>
        <c:noMultiLvlLbl val="0"/>
      </c:catAx>
      <c:valAx>
        <c:axId val="6411486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9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Performance'!$C$61:$C$72</c:f>
              <c:numCache>
                <c:formatCode>#,##0</c:formatCode>
                <c:ptCount val="12"/>
                <c:pt idx="0">
                  <c:v>117</c:v>
                </c:pt>
                <c:pt idx="1">
                  <c:v>107</c:v>
                </c:pt>
                <c:pt idx="2">
                  <c:v>104</c:v>
                </c:pt>
                <c:pt idx="3">
                  <c:v>102</c:v>
                </c:pt>
                <c:pt idx="4">
                  <c:v>101</c:v>
                </c:pt>
                <c:pt idx="5">
                  <c:v>100</c:v>
                </c:pt>
                <c:pt idx="6">
                  <c:v>99</c:v>
                </c:pt>
                <c:pt idx="7">
                  <c:v>98</c:v>
                </c:pt>
                <c:pt idx="8">
                  <c:v>97</c:v>
                </c:pt>
                <c:pt idx="9">
                  <c:v>93</c:v>
                </c:pt>
                <c:pt idx="10">
                  <c:v>93</c:v>
                </c:pt>
                <c:pt idx="11">
                  <c:v>89</c:v>
                </c:pt>
              </c:numCache>
            </c:numRef>
          </c:val>
        </c:ser>
        <c:gapWidth val="60"/>
        <c:overlap val="0"/>
        <c:axId val="27330116"/>
        <c:axId val="82517385"/>
      </c:barChart>
      <c:catAx>
        <c:axId val="273301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17385"/>
        <c:crosses val="autoZero"/>
        <c:auto val="1"/>
        <c:lblAlgn val="ctr"/>
        <c:lblOffset val="100"/>
        <c:noMultiLvlLbl val="0"/>
      </c:catAx>
      <c:valAx>
        <c:axId val="8251738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30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customer rating"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Performance'!$J$61:$J$72</c:f>
              <c:numCache>
                <c:formatCode>0.00</c:formatCode>
                <c:ptCount val="12"/>
                <c:pt idx="0">
                  <c:v>4.08547008547009</c:v>
                </c:pt>
                <c:pt idx="1">
                  <c:v>3.90654205607477</c:v>
                </c:pt>
                <c:pt idx="2">
                  <c:v>4.24038461538462</c:v>
                </c:pt>
                <c:pt idx="3">
                  <c:v>3.83333333333333</c:v>
                </c:pt>
                <c:pt idx="4">
                  <c:v>3.9009900990099</c:v>
                </c:pt>
                <c:pt idx="5">
                  <c:v>4</c:v>
                </c:pt>
                <c:pt idx="6">
                  <c:v>4.18181818181818</c:v>
                </c:pt>
                <c:pt idx="7">
                  <c:v>4.18367346938776</c:v>
                </c:pt>
                <c:pt idx="8">
                  <c:v>3.85567010309278</c:v>
                </c:pt>
                <c:pt idx="9">
                  <c:v>4.02150537634409</c:v>
                </c:pt>
                <c:pt idx="10">
                  <c:v>3.96774193548387</c:v>
                </c:pt>
                <c:pt idx="11">
                  <c:v>4.03370786516854</c:v>
                </c:pt>
              </c:numCache>
            </c:numRef>
          </c:val>
        </c:ser>
        <c:gapWidth val="60"/>
        <c:overlap val="0"/>
        <c:axId val="96454380"/>
        <c:axId val="41996371"/>
      </c:barChart>
      <c:catAx>
        <c:axId val="96454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6371"/>
        <c:crosses val="autoZero"/>
        <c:auto val="1"/>
        <c:lblAlgn val="ctr"/>
        <c:lblOffset val="100"/>
        <c:noMultiLvlLbl val="0"/>
      </c:catAx>
      <c:valAx>
        <c:axId val="41996371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543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"Cancel rate"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Performance'!$F$61:$F$72</c:f>
              <c:numCache>
                <c:formatCode>0.0%</c:formatCode>
                <c:ptCount val="12"/>
                <c:pt idx="0">
                  <c:v>0.136752136752137</c:v>
                </c:pt>
                <c:pt idx="1">
                  <c:v>0.14018691588785</c:v>
                </c:pt>
                <c:pt idx="2">
                  <c:v>0.211538461538462</c:v>
                </c:pt>
                <c:pt idx="3">
                  <c:v>0.166666666666667</c:v>
                </c:pt>
                <c:pt idx="4">
                  <c:v>0.168316831683168</c:v>
                </c:pt>
                <c:pt idx="5">
                  <c:v>0.11</c:v>
                </c:pt>
                <c:pt idx="6">
                  <c:v>0.181818181818182</c:v>
                </c:pt>
                <c:pt idx="7">
                  <c:v>0.142857142857143</c:v>
                </c:pt>
                <c:pt idx="8">
                  <c:v>0.216494845360825</c:v>
                </c:pt>
                <c:pt idx="9">
                  <c:v>0.161290322580645</c:v>
                </c:pt>
                <c:pt idx="10">
                  <c:v>0.236559139784946</c:v>
                </c:pt>
                <c:pt idx="11">
                  <c:v>0.157303370786517</c:v>
                </c:pt>
              </c:numCache>
            </c:numRef>
          </c:val>
        </c:ser>
        <c:gapWidth val="60"/>
        <c:overlap val="0"/>
        <c:axId val="54038685"/>
        <c:axId val="49536917"/>
      </c:barChart>
      <c:catAx>
        <c:axId val="54038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36917"/>
        <c:crosses val="autoZero"/>
        <c:auto val="1"/>
        <c:lblAlgn val="ctr"/>
        <c:lblOffset val="100"/>
        <c:noMultiLvlLbl val="0"/>
      </c:catAx>
      <c:valAx>
        <c:axId val="49536917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8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restaurant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delivery time"</c:f>
              <c:strCache>
                <c:ptCount val="1"/>
                <c:pt idx="0">
                  <c:v>Avg delivery time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Performance'!$K$61:$K$72</c:f>
              <c:numCache>
                <c:formatCode>0.0</c:formatCode>
                <c:ptCount val="12"/>
                <c:pt idx="0">
                  <c:v>41.0897435897436</c:v>
                </c:pt>
                <c:pt idx="1">
                  <c:v>42.027397260274</c:v>
                </c:pt>
                <c:pt idx="2">
                  <c:v>42.2285714285714</c:v>
                </c:pt>
                <c:pt idx="3">
                  <c:v>42.8428571428571</c:v>
                </c:pt>
                <c:pt idx="4">
                  <c:v>41.2028985507246</c:v>
                </c:pt>
                <c:pt idx="5">
                  <c:v>40.4029850746269</c:v>
                </c:pt>
                <c:pt idx="6">
                  <c:v>42.0540540540541</c:v>
                </c:pt>
                <c:pt idx="7">
                  <c:v>43.5</c:v>
                </c:pt>
                <c:pt idx="8">
                  <c:v>41.5483870967742</c:v>
                </c:pt>
                <c:pt idx="9">
                  <c:v>40.4814814814815</c:v>
                </c:pt>
                <c:pt idx="10">
                  <c:v>39.8771929824561</c:v>
                </c:pt>
                <c:pt idx="11">
                  <c:v>40.6315789473684</c:v>
                </c:pt>
              </c:numCache>
            </c:numRef>
          </c:val>
        </c:ser>
        <c:gapWidth val="60"/>
        <c:overlap val="0"/>
        <c:axId val="46022099"/>
        <c:axId val="50467552"/>
      </c:barChart>
      <c:catAx>
        <c:axId val="46022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67552"/>
        <c:crosses val="autoZero"/>
        <c:auto val="1"/>
        <c:lblAlgn val="ctr"/>
        <c:lblOffset val="100"/>
        <c:noMultiLvlLbl val="0"/>
      </c:catAx>
      <c:valAx>
        <c:axId val="5046755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22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order value"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'Restaurant Performance'!$B$61:$B$72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'Restaurant Performance'!$H$61:$H$72</c:f>
              <c:numCache>
                <c:formatCode>\₹#,##0</c:formatCode>
                <c:ptCount val="12"/>
                <c:pt idx="0">
                  <c:v>904.837606837607</c:v>
                </c:pt>
                <c:pt idx="1">
                  <c:v>867.943925233645</c:v>
                </c:pt>
                <c:pt idx="2">
                  <c:v>883.951923076923</c:v>
                </c:pt>
                <c:pt idx="3">
                  <c:v>926.421568627451</c:v>
                </c:pt>
                <c:pt idx="4">
                  <c:v>1019.69306930693</c:v>
                </c:pt>
                <c:pt idx="5">
                  <c:v>926.22</c:v>
                </c:pt>
                <c:pt idx="6">
                  <c:v>876</c:v>
                </c:pt>
                <c:pt idx="7">
                  <c:v>978.673469387755</c:v>
                </c:pt>
                <c:pt idx="8">
                  <c:v>957.082474226804</c:v>
                </c:pt>
                <c:pt idx="9">
                  <c:v>863.548387096774</c:v>
                </c:pt>
                <c:pt idx="10">
                  <c:v>989.182795698925</c:v>
                </c:pt>
                <c:pt idx="11">
                  <c:v>999.966292134831</c:v>
                </c:pt>
              </c:numCache>
            </c:numRef>
          </c:val>
        </c:ser>
        <c:gapWidth val="60"/>
        <c:overlap val="0"/>
        <c:axId val="29033079"/>
        <c:axId val="29650880"/>
      </c:barChart>
      <c:catAx>
        <c:axId val="2903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50880"/>
        <c:crosses val="autoZero"/>
        <c:auto val="1"/>
        <c:lblAlgn val="ctr"/>
        <c:lblOffset val="100"/>
        <c:noMultiLvlLbl val="0"/>
      </c:catAx>
      <c:valAx>
        <c:axId val="29650880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33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"Orders by gender"</c:f>
              <c:strCache>
                <c:ptCount val="1"/>
                <c:pt idx="0">
                  <c:v>Orders by gender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b61c9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3b7dd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'Customer Analytics'!$B$72:$B$74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'Customer Analytics'!$C$72:$C$74</c:f>
              <c:numCache>
                <c:formatCode>#,##0</c:formatCode>
                <c:ptCount val="3"/>
                <c:pt idx="0">
                  <c:v>589</c:v>
                </c:pt>
                <c:pt idx="1">
                  <c:v>576</c:v>
                </c:pt>
                <c:pt idx="2">
                  <c:v>35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Analytics'!$B$61:$B$65</c:f>
              <c:strCache>
                <c:ptCount val="5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55–60</c:v>
                </c:pt>
              </c:strCache>
            </c:strRef>
          </c:cat>
          <c:val>
            <c:numRef>
              <c:f>'Customer Analytics'!$E$61:$E$65</c:f>
              <c:numCache>
                <c:formatCode>#,##0</c:formatCode>
                <c:ptCount val="5"/>
                <c:pt idx="0">
                  <c:v>186</c:v>
                </c:pt>
                <c:pt idx="1">
                  <c:v>285</c:v>
                </c:pt>
                <c:pt idx="2">
                  <c:v>279</c:v>
                </c:pt>
                <c:pt idx="3">
                  <c:v>294</c:v>
                </c:pt>
                <c:pt idx="4">
                  <c:v>156</c:v>
                </c:pt>
              </c:numCache>
            </c:numRef>
          </c:val>
        </c:ser>
        <c:gapWidth val="60"/>
        <c:overlap val="0"/>
        <c:axId val="57686602"/>
        <c:axId val="67318745"/>
      </c:barChart>
      <c:catAx>
        <c:axId val="57686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18745"/>
        <c:crosses val="autoZero"/>
        <c:auto val="1"/>
        <c:lblAlgn val="ctr"/>
        <c:lblOffset val="100"/>
        <c:noMultiLvlLbl val="0"/>
      </c:catAx>
      <c:valAx>
        <c:axId val="6731874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86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order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"Customers"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Analytics'!$B$80:$B$85</c:f>
              <c:strCache>
                <c:ptCount val="6"/>
                <c:pt idx="0">
                  <c:v>1 order</c:v>
                </c:pt>
                <c:pt idx="1">
                  <c:v>2 orders</c:v>
                </c:pt>
                <c:pt idx="2">
                  <c:v>3 orders</c:v>
                </c:pt>
                <c:pt idx="3">
                  <c:v>4 orders</c:v>
                </c:pt>
                <c:pt idx="4">
                  <c:v>5 orders</c:v>
                </c:pt>
                <c:pt idx="5">
                  <c:v>6+ orders</c:v>
                </c:pt>
              </c:strCache>
            </c:strRef>
          </c:cat>
          <c:val>
            <c:numRef>
              <c:f>'Customer Analytics'!$C$80:$C$85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150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0"/>
        <c:axId val="57076947"/>
        <c:axId val="36871693"/>
      </c:barChart>
      <c:catAx>
        <c:axId val="570769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71693"/>
        <c:crosses val="autoZero"/>
        <c:auto val="1"/>
        <c:lblAlgn val="ctr"/>
        <c:lblOffset val="100"/>
        <c:noMultiLvlLbl val="0"/>
      </c:catAx>
      <c:valAx>
        <c:axId val="3687169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76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net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"Net spend"</c:f>
              <c:strCache>
                <c:ptCount val="1"/>
                <c:pt idx="0">
                  <c:v>Net spend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Analytics'!$C$91:$C$100</c:f>
              <c:strCache>
                <c:ptCount val="10"/>
                <c:pt idx="0">
                  <c:v>C1052</c:v>
                </c:pt>
                <c:pt idx="1">
                  <c:v>C1075</c:v>
                </c:pt>
                <c:pt idx="2">
                  <c:v>C1235</c:v>
                </c:pt>
                <c:pt idx="3">
                  <c:v>C1025</c:v>
                </c:pt>
                <c:pt idx="4">
                  <c:v>C1053</c:v>
                </c:pt>
                <c:pt idx="5">
                  <c:v>C1126</c:v>
                </c:pt>
                <c:pt idx="6">
                  <c:v>C1111</c:v>
                </c:pt>
                <c:pt idx="7">
                  <c:v>C1150</c:v>
                </c:pt>
                <c:pt idx="8">
                  <c:v>C1032</c:v>
                </c:pt>
                <c:pt idx="9">
                  <c:v>C1092</c:v>
                </c:pt>
              </c:strCache>
            </c:strRef>
          </c:cat>
          <c:val>
            <c:numRef>
              <c:f>'Customer Analytics'!$E$91:$E$100</c:f>
              <c:numCache>
                <c:formatCode>\₹#,##0</c:formatCode>
                <c:ptCount val="10"/>
                <c:pt idx="0">
                  <c:v>5485</c:v>
                </c:pt>
                <c:pt idx="1">
                  <c:v>4940</c:v>
                </c:pt>
                <c:pt idx="2">
                  <c:v>4806</c:v>
                </c:pt>
                <c:pt idx="3">
                  <c:v>4768</c:v>
                </c:pt>
                <c:pt idx="4">
                  <c:v>4682</c:v>
                </c:pt>
                <c:pt idx="5">
                  <c:v>4548</c:v>
                </c:pt>
                <c:pt idx="6">
                  <c:v>4505</c:v>
                </c:pt>
                <c:pt idx="7">
                  <c:v>4235</c:v>
                </c:pt>
                <c:pt idx="8">
                  <c:v>3938</c:v>
                </c:pt>
                <c:pt idx="9">
                  <c:v>3894</c:v>
                </c:pt>
              </c:numCache>
            </c:numRef>
          </c:val>
        </c:ser>
        <c:gapWidth val="60"/>
        <c:overlap val="0"/>
        <c:axId val="74916277"/>
        <c:axId val="72512086"/>
      </c:barChart>
      <c:catAx>
        <c:axId val="749162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12086"/>
        <c:crosses val="autoZero"/>
        <c:auto val="1"/>
        <c:lblAlgn val="ctr"/>
        <c:lblOffset val="100"/>
        <c:noMultiLvlLbl val="0"/>
      </c:catAx>
      <c:valAx>
        <c:axId val="7251208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16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Analytics'!$B$61:$B$65</c:f>
              <c:strCache>
                <c:ptCount val="5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55–60</c:v>
                </c:pt>
              </c:strCache>
            </c:strRef>
          </c:cat>
          <c:val>
            <c:numRef>
              <c:f>'Customer Analytics'!$G$61:$G$65</c:f>
              <c:numCache>
                <c:formatCode>\₹#,##0</c:formatCode>
                <c:ptCount val="5"/>
                <c:pt idx="0">
                  <c:v>105420</c:v>
                </c:pt>
                <c:pt idx="1">
                  <c:v>160352</c:v>
                </c:pt>
                <c:pt idx="2">
                  <c:v>167235</c:v>
                </c:pt>
                <c:pt idx="3">
                  <c:v>173287</c:v>
                </c:pt>
                <c:pt idx="4">
                  <c:v>93656</c:v>
                </c:pt>
              </c:numCache>
            </c:numRef>
          </c:val>
        </c:ser>
        <c:gapWidth val="60"/>
        <c:overlap val="0"/>
        <c:axId val="44117215"/>
        <c:axId val="9595582"/>
      </c:barChart>
      <c:catAx>
        <c:axId val="4411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5582"/>
        <c:crosses val="autoZero"/>
        <c:auto val="1"/>
        <c:lblAlgn val="ctr"/>
        <c:lblOffset val="100"/>
        <c:noMultiLvlLbl val="0"/>
      </c:catAx>
      <c:valAx>
        <c:axId val="959558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17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order value"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Analytics'!$B$105:$B$116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'Customer Analytics'!$D$105:$D$116</c:f>
              <c:numCache>
                <c:formatCode>\₹#,##0</c:formatCode>
                <c:ptCount val="12"/>
                <c:pt idx="0">
                  <c:v>943.823529411765</c:v>
                </c:pt>
                <c:pt idx="1">
                  <c:v>868.157894736842</c:v>
                </c:pt>
                <c:pt idx="2">
                  <c:v>967.172727272727</c:v>
                </c:pt>
                <c:pt idx="3">
                  <c:v>942.824074074074</c:v>
                </c:pt>
                <c:pt idx="4">
                  <c:v>961.841121495327</c:v>
                </c:pt>
                <c:pt idx="5">
                  <c:v>839.843137254902</c:v>
                </c:pt>
                <c:pt idx="6">
                  <c:v>965.427083333333</c:v>
                </c:pt>
                <c:pt idx="7">
                  <c:v>929.5625</c:v>
                </c:pt>
                <c:pt idx="8">
                  <c:v>891.734042553191</c:v>
                </c:pt>
                <c:pt idx="9">
                  <c:v>991.307692307692</c:v>
                </c:pt>
                <c:pt idx="10">
                  <c:v>891.867469879518</c:v>
                </c:pt>
                <c:pt idx="11">
                  <c:v>993.6125</c:v>
                </c:pt>
              </c:numCache>
            </c:numRef>
          </c:val>
        </c:ser>
        <c:gapWidth val="60"/>
        <c:overlap val="0"/>
        <c:axId val="76201216"/>
        <c:axId val="31301319"/>
      </c:barChart>
      <c:catAx>
        <c:axId val="762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01319"/>
        <c:crosses val="autoZero"/>
        <c:auto val="1"/>
        <c:lblAlgn val="ctr"/>
        <c:lblOffset val="100"/>
        <c:noMultiLvlLbl val="0"/>
      </c:catAx>
      <c:valAx>
        <c:axId val="3130131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01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"Delivery orders"</c:f>
              <c:strCache>
                <c:ptCount val="1"/>
                <c:pt idx="0">
                  <c:v>Delivery 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Analytics'!$B$61:$B$72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'Delivery Partner Analytics'!$C$61:$C$72</c:f>
              <c:numCache>
                <c:formatCode>#,##0</c:formatCode>
                <c:ptCount val="12"/>
                <c:pt idx="0">
                  <c:v>85</c:v>
                </c:pt>
                <c:pt idx="1">
                  <c:v>88</c:v>
                </c:pt>
                <c:pt idx="2">
                  <c:v>78</c:v>
                </c:pt>
                <c:pt idx="3">
                  <c:v>88</c:v>
                </c:pt>
                <c:pt idx="4">
                  <c:v>81</c:v>
                </c:pt>
                <c:pt idx="5">
                  <c:v>70</c:v>
                </c:pt>
                <c:pt idx="6">
                  <c:v>72</c:v>
                </c:pt>
                <c:pt idx="7">
                  <c:v>70</c:v>
                </c:pt>
                <c:pt idx="8">
                  <c:v>73</c:v>
                </c:pt>
                <c:pt idx="9">
                  <c:v>64</c:v>
                </c:pt>
                <c:pt idx="10">
                  <c:v>55</c:v>
                </c:pt>
                <c:pt idx="11">
                  <c:v>57</c:v>
                </c:pt>
              </c:numCache>
            </c:numRef>
          </c:val>
        </c:ser>
        <c:gapWidth val="60"/>
        <c:overlap val="0"/>
        <c:axId val="94708673"/>
        <c:axId val="33277643"/>
      </c:barChart>
      <c:catAx>
        <c:axId val="947086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77643"/>
        <c:crosses val="autoZero"/>
        <c:auto val="1"/>
        <c:lblAlgn val="ctr"/>
        <c:lblOffset val="100"/>
        <c:noMultiLvlLbl val="0"/>
      </c:catAx>
      <c:valAx>
        <c:axId val="3327764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08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city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delivery time"</c:f>
              <c:strCache>
                <c:ptCount val="1"/>
                <c:pt idx="0">
                  <c:v>Avg delivery time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Analytics'!$B$61:$B$72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'Delivery Partner Analytics'!$F$61:$F$72</c:f>
              <c:numCache>
                <c:formatCode>0.0</c:formatCode>
                <c:ptCount val="12"/>
                <c:pt idx="0">
                  <c:v>40.0689655172414</c:v>
                </c:pt>
                <c:pt idx="1">
                  <c:v>42.3934426229508</c:v>
                </c:pt>
                <c:pt idx="2">
                  <c:v>47.8148148148148</c:v>
                </c:pt>
                <c:pt idx="3">
                  <c:v>38.9137931034483</c:v>
                </c:pt>
                <c:pt idx="4">
                  <c:v>43.7307692307692</c:v>
                </c:pt>
                <c:pt idx="5">
                  <c:v>40.82</c:v>
                </c:pt>
                <c:pt idx="6">
                  <c:v>41.7441860465116</c:v>
                </c:pt>
                <c:pt idx="7">
                  <c:v>40.475</c:v>
                </c:pt>
                <c:pt idx="8">
                  <c:v>40.9423076923077</c:v>
                </c:pt>
                <c:pt idx="9">
                  <c:v>40.5454545454546</c:v>
                </c:pt>
                <c:pt idx="10">
                  <c:v>39.25</c:v>
                </c:pt>
                <c:pt idx="11">
                  <c:v>43.05</c:v>
                </c:pt>
              </c:numCache>
            </c:numRef>
          </c:val>
        </c:ser>
        <c:gapWidth val="60"/>
        <c:overlap val="0"/>
        <c:axId val="84549370"/>
        <c:axId val="77885392"/>
      </c:barChart>
      <c:catAx>
        <c:axId val="84549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85392"/>
        <c:crosses val="autoZero"/>
        <c:auto val="1"/>
        <c:lblAlgn val="ctr"/>
        <c:lblOffset val="100"/>
        <c:noMultiLvlLbl val="0"/>
      </c:catAx>
      <c:valAx>
        <c:axId val="7788539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49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fees earned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"Fees earned"</c:f>
              <c:strCache>
                <c:ptCount val="1"/>
                <c:pt idx="0">
                  <c:v>Fees earned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Analytics'!$B$61:$B$72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'Delivery Partner Analytics'!$H$61:$H$72</c:f>
              <c:numCache>
                <c:formatCode>\₹#,##0</c:formatCode>
                <c:ptCount val="12"/>
                <c:pt idx="0">
                  <c:v>1500</c:v>
                </c:pt>
                <c:pt idx="1">
                  <c:v>1620</c:v>
                </c:pt>
                <c:pt idx="2">
                  <c:v>1740</c:v>
                </c:pt>
                <c:pt idx="3">
                  <c:v>1950</c:v>
                </c:pt>
                <c:pt idx="4">
                  <c:v>1500</c:v>
                </c:pt>
                <c:pt idx="5">
                  <c:v>1650</c:v>
                </c:pt>
                <c:pt idx="6">
                  <c:v>1320</c:v>
                </c:pt>
                <c:pt idx="7">
                  <c:v>1200</c:v>
                </c:pt>
                <c:pt idx="8">
                  <c:v>1770</c:v>
                </c:pt>
                <c:pt idx="9">
                  <c:v>1330</c:v>
                </c:pt>
                <c:pt idx="10">
                  <c:v>1310</c:v>
                </c:pt>
                <c:pt idx="11">
                  <c:v>1210</c:v>
                </c:pt>
              </c:numCache>
            </c:numRef>
          </c:val>
        </c:ser>
        <c:gapWidth val="60"/>
        <c:overlap val="0"/>
        <c:axId val="70222179"/>
        <c:axId val="26700481"/>
      </c:barChart>
      <c:catAx>
        <c:axId val="70222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00481"/>
        <c:crosses val="autoZero"/>
        <c:auto val="1"/>
        <c:lblAlgn val="ctr"/>
        <c:lblOffset val="100"/>
        <c:noMultiLvlLbl val="0"/>
      </c:catAx>
      <c:valAx>
        <c:axId val="26700481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22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Delivery-order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"Delivery-order status"</c:f>
              <c:strCache>
                <c:ptCount val="1"/>
                <c:pt idx="0">
                  <c:v>Delivery-order status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fa34d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64545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'Delivery Partner Analytics'!$B$90:$B$92</c:f>
              <c:strCache>
                <c:ptCount val="3"/>
                <c:pt idx="0">
                  <c:v>Delivered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'Delivery Partner Analytics'!$C$90:$C$92</c:f>
              <c:numCache>
                <c:formatCode>#,##0</c:formatCode>
                <c:ptCount val="3"/>
                <c:pt idx="0">
                  <c:v>592</c:v>
                </c:pt>
                <c:pt idx="1">
                  <c:v>146</c:v>
                </c:pt>
                <c:pt idx="2">
                  <c:v>143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distance band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delivery time"</c:f>
              <c:strCache>
                <c:ptCount val="1"/>
                <c:pt idx="0">
                  <c:v>Avg delivery time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Analytics'!$B$79:$B$83</c:f>
              <c:strCache>
                <c:ptCount val="5"/>
                <c:pt idx="0">
                  <c:v>0–3 km</c:v>
                </c:pt>
                <c:pt idx="1">
                  <c:v>3–6 km</c:v>
                </c:pt>
                <c:pt idx="2">
                  <c:v>6–9 km</c:v>
                </c:pt>
                <c:pt idx="3">
                  <c:v>9–12 km</c:v>
                </c:pt>
                <c:pt idx="4">
                  <c:v>12–15 km</c:v>
                </c:pt>
              </c:strCache>
            </c:strRef>
          </c:cat>
          <c:val>
            <c:numRef>
              <c:f>'Delivery Partner Analytics'!$G$79:$G$83</c:f>
              <c:numCache>
                <c:formatCode>0.0</c:formatCode>
                <c:ptCount val="5"/>
                <c:pt idx="0">
                  <c:v>41.1160714285714</c:v>
                </c:pt>
                <c:pt idx="1">
                  <c:v>43.3553719008265</c:v>
                </c:pt>
                <c:pt idx="2">
                  <c:v>40.8373983739837</c:v>
                </c:pt>
                <c:pt idx="3">
                  <c:v>40.4695652173913</c:v>
                </c:pt>
                <c:pt idx="4">
                  <c:v>42.603305785124</c:v>
                </c:pt>
              </c:numCache>
            </c:numRef>
          </c:val>
        </c:ser>
        <c:gapWidth val="60"/>
        <c:overlap val="0"/>
        <c:axId val="40881251"/>
        <c:axId val="91004679"/>
      </c:barChart>
      <c:catAx>
        <c:axId val="40881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04679"/>
        <c:crosses val="autoZero"/>
        <c:auto val="1"/>
        <c:lblAlgn val="ctr"/>
        <c:lblOffset val="100"/>
        <c:noMultiLvlLbl val="0"/>
      </c:catAx>
      <c:valAx>
        <c:axId val="9100467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12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delivery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"Delivery orders"</c:f>
              <c:strCache>
                <c:ptCount val="1"/>
                <c:pt idx="0">
                  <c:v>Delivery orders</c:v>
                </c:pt>
              </c:strCache>
            </c:strRef>
          </c:tx>
          <c:spPr>
            <a:solidFill>
              <a:srgbClr val="3b7dd8"/>
            </a:solidFill>
            <a:ln w="28080">
              <a:solidFill>
                <a:srgbClr val="3b7dd8"/>
              </a:solidFill>
              <a:round/>
            </a:ln>
          </c:spPr>
          <c:marker>
            <c:symbol val="circle"/>
            <c:size val="6"/>
            <c:spPr>
              <a:solidFill>
                <a:srgbClr val="3b7dd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Analytics'!$B$98:$B$111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'Delivery Partner Analytics'!$D$98:$D$111</c:f>
              <c:numCache>
                <c:formatCode>#,##0</c:formatCode>
                <c:ptCount val="14"/>
                <c:pt idx="0">
                  <c:v>58</c:v>
                </c:pt>
                <c:pt idx="1">
                  <c:v>60</c:v>
                </c:pt>
                <c:pt idx="2">
                  <c:v>73</c:v>
                </c:pt>
                <c:pt idx="3">
                  <c:v>72</c:v>
                </c:pt>
                <c:pt idx="4">
                  <c:v>66</c:v>
                </c:pt>
                <c:pt idx="5">
                  <c:v>63</c:v>
                </c:pt>
                <c:pt idx="6">
                  <c:v>67</c:v>
                </c:pt>
                <c:pt idx="7">
                  <c:v>77</c:v>
                </c:pt>
                <c:pt idx="8">
                  <c:v>70</c:v>
                </c:pt>
                <c:pt idx="9">
                  <c:v>66</c:v>
                </c:pt>
                <c:pt idx="10">
                  <c:v>64</c:v>
                </c:pt>
                <c:pt idx="11">
                  <c:v>70</c:v>
                </c:pt>
                <c:pt idx="12">
                  <c:v>67</c:v>
                </c:pt>
                <c:pt idx="13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3fa34d"/>
            </a:solidFill>
            <a:ln w="28080">
              <a:solidFill>
                <a:srgbClr val="3fa34d"/>
              </a:solidFill>
              <a:round/>
            </a:ln>
          </c:spPr>
          <c:marker>
            <c:symbol val="circle"/>
            <c:size val="6"/>
            <c:spPr>
              <a:solidFill>
                <a:srgbClr val="3fa3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Partner Analytics'!$B$98:$B$111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'Delivery Partner Analytics'!$E$98:$E$111</c:f>
              <c:numCache>
                <c:formatCode>#,##0</c:formatCode>
                <c:ptCount val="14"/>
                <c:pt idx="0">
                  <c:v>40</c:v>
                </c:pt>
                <c:pt idx="1">
                  <c:v>31</c:v>
                </c:pt>
                <c:pt idx="2">
                  <c:v>47</c:v>
                </c:pt>
                <c:pt idx="3">
                  <c:v>50</c:v>
                </c:pt>
                <c:pt idx="4">
                  <c:v>40</c:v>
                </c:pt>
                <c:pt idx="5">
                  <c:v>41</c:v>
                </c:pt>
                <c:pt idx="6">
                  <c:v>45</c:v>
                </c:pt>
                <c:pt idx="7">
                  <c:v>59</c:v>
                </c:pt>
                <c:pt idx="8">
                  <c:v>49</c:v>
                </c:pt>
                <c:pt idx="9">
                  <c:v>44</c:v>
                </c:pt>
                <c:pt idx="10">
                  <c:v>43</c:v>
                </c:pt>
                <c:pt idx="11">
                  <c:v>47</c:v>
                </c:pt>
                <c:pt idx="12">
                  <c:v>52</c:v>
                </c:pt>
                <c:pt idx="13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983712"/>
        <c:axId val="82181016"/>
      </c:lineChart>
      <c:catAx>
        <c:axId val="8598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81016"/>
        <c:crosses val="autoZero"/>
        <c:auto val="1"/>
        <c:lblAlgn val="ctr"/>
        <c:lblOffset val="100"/>
        <c:noMultiLvlLbl val="0"/>
      </c:catAx>
      <c:valAx>
        <c:axId val="8218101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83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Delivery-time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Time'!$B$61:$B$66</c:f>
              <c:strCache>
                <c:ptCount val="6"/>
                <c:pt idx="0">
                  <c:v>15–20 min</c:v>
                </c:pt>
                <c:pt idx="1">
                  <c:v>21–30 min</c:v>
                </c:pt>
                <c:pt idx="2">
                  <c:v>31–40 min</c:v>
                </c:pt>
                <c:pt idx="3">
                  <c:v>41–50 min</c:v>
                </c:pt>
                <c:pt idx="4">
                  <c:v>51–60 min</c:v>
                </c:pt>
                <c:pt idx="5">
                  <c:v>61–70 min</c:v>
                </c:pt>
              </c:strCache>
            </c:strRef>
          </c:cat>
          <c:val>
            <c:numRef>
              <c:f>'Delivery Time'!$E$61:$E$66</c:f>
              <c:numCache>
                <c:formatCode>#,##0</c:formatCode>
                <c:ptCount val="6"/>
                <c:pt idx="0">
                  <c:v>86</c:v>
                </c:pt>
                <c:pt idx="1">
                  <c:v>162</c:v>
                </c:pt>
                <c:pt idx="2">
                  <c:v>133</c:v>
                </c:pt>
                <c:pt idx="3">
                  <c:v>143</c:v>
                </c:pt>
                <c:pt idx="4">
                  <c:v>142</c:v>
                </c:pt>
                <c:pt idx="5">
                  <c:v>125</c:v>
                </c:pt>
              </c:numCache>
            </c:numRef>
          </c:val>
        </c:ser>
        <c:gapWidth val="30"/>
        <c:overlap val="0"/>
        <c:axId val="85927904"/>
        <c:axId val="91426378"/>
      </c:barChart>
      <c:catAx>
        <c:axId val="859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26378"/>
        <c:crosses val="autoZero"/>
        <c:auto val="1"/>
        <c:lblAlgn val="ctr"/>
        <c:lblOffset val="100"/>
        <c:noMultiLvlLbl val="0"/>
      </c:catAx>
      <c:valAx>
        <c:axId val="9142637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27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city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time"</c:f>
              <c:strCache>
                <c:ptCount val="1"/>
                <c:pt idx="0">
                  <c:v>Avg time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Time'!$B$73:$B$84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'Delivery Time'!$D$73:$D$84</c:f>
              <c:numCache>
                <c:formatCode>0.0</c:formatCode>
                <c:ptCount val="12"/>
                <c:pt idx="0">
                  <c:v>40.3703703703704</c:v>
                </c:pt>
                <c:pt idx="1">
                  <c:v>42.8625</c:v>
                </c:pt>
                <c:pt idx="2">
                  <c:v>45.7464788732394</c:v>
                </c:pt>
                <c:pt idx="3">
                  <c:v>39.4583333333333</c:v>
                </c:pt>
                <c:pt idx="4">
                  <c:v>43.8059701492537</c:v>
                </c:pt>
                <c:pt idx="5">
                  <c:v>39.6901408450704</c:v>
                </c:pt>
                <c:pt idx="6">
                  <c:v>40.0526315789474</c:v>
                </c:pt>
                <c:pt idx="7">
                  <c:v>40.016393442623</c:v>
                </c:pt>
                <c:pt idx="8">
                  <c:v>41.8064516129032</c:v>
                </c:pt>
                <c:pt idx="9">
                  <c:v>41.3114754098361</c:v>
                </c:pt>
                <c:pt idx="10">
                  <c:v>39.8490566037736</c:v>
                </c:pt>
                <c:pt idx="11">
                  <c:v>42.9454545454545</c:v>
                </c:pt>
              </c:numCache>
            </c:numRef>
          </c:val>
        </c:ser>
        <c:gapWidth val="60"/>
        <c:overlap val="0"/>
        <c:axId val="70819758"/>
        <c:axId val="48138439"/>
      </c:barChart>
      <c:catAx>
        <c:axId val="70819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38439"/>
        <c:crosses val="autoZero"/>
        <c:auto val="1"/>
        <c:lblAlgn val="ctr"/>
        <c:lblOffset val="100"/>
        <c:noMultiLvlLbl val="0"/>
      </c:catAx>
      <c:valAx>
        <c:axId val="4813843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197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distance band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time"</c:f>
              <c:strCache>
                <c:ptCount val="1"/>
                <c:pt idx="0">
                  <c:v>Avg time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Time'!$B$89:$B$93</c:f>
              <c:strCache>
                <c:ptCount val="5"/>
                <c:pt idx="0">
                  <c:v>0–3 km</c:v>
                </c:pt>
                <c:pt idx="1">
                  <c:v>3–6 km</c:v>
                </c:pt>
                <c:pt idx="2">
                  <c:v>6–9 km</c:v>
                </c:pt>
                <c:pt idx="3">
                  <c:v>9–12 km</c:v>
                </c:pt>
                <c:pt idx="4">
                  <c:v>12–15 km</c:v>
                </c:pt>
              </c:strCache>
            </c:strRef>
          </c:cat>
          <c:val>
            <c:numRef>
              <c:f>'Delivery Time'!$F$89:$F$93</c:f>
              <c:numCache>
                <c:formatCode>0.0</c:formatCode>
                <c:ptCount val="5"/>
                <c:pt idx="0">
                  <c:v>40.2397260273973</c:v>
                </c:pt>
                <c:pt idx="1">
                  <c:v>41.8231707317073</c:v>
                </c:pt>
                <c:pt idx="2">
                  <c:v>40.4430379746835</c:v>
                </c:pt>
                <c:pt idx="3">
                  <c:v>41.1870967741936</c:v>
                </c:pt>
                <c:pt idx="4">
                  <c:v>43.7083333333333</c:v>
                </c:pt>
              </c:numCache>
            </c:numRef>
          </c:val>
        </c:ser>
        <c:gapWidth val="60"/>
        <c:overlap val="0"/>
        <c:axId val="12399520"/>
        <c:axId val="62438226"/>
      </c:barChart>
      <c:catAx>
        <c:axId val="1239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38226"/>
        <c:crosses val="autoZero"/>
        <c:auto val="1"/>
        <c:lblAlgn val="ctr"/>
        <c:lblOffset val="100"/>
        <c:noMultiLvlLbl val="0"/>
      </c:catAx>
      <c:valAx>
        <c:axId val="6243822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99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delivery time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"Avg time"</c:f>
              <c:strCache>
                <c:ptCount val="1"/>
                <c:pt idx="0">
                  <c:v>Avg time</c:v>
                </c:pt>
              </c:strCache>
            </c:strRef>
          </c:tx>
          <c:spPr>
            <a:solidFill>
              <a:srgbClr val="d64545"/>
            </a:solidFill>
            <a:ln w="28080">
              <a:solidFill>
                <a:srgbClr val="d64545"/>
              </a:solidFill>
              <a:round/>
            </a:ln>
          </c:spPr>
          <c:marker>
            <c:symbol val="circle"/>
            <c:size val="6"/>
            <c:spPr>
              <a:solidFill>
                <a:srgbClr val="d6454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Time'!$B$99:$B$112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'Delivery Time'!$E$99:$E$112</c:f>
              <c:numCache>
                <c:formatCode>0.0</c:formatCode>
                <c:ptCount val="14"/>
                <c:pt idx="0">
                  <c:v>41.9848484848485</c:v>
                </c:pt>
                <c:pt idx="1">
                  <c:v>44.1041666666667</c:v>
                </c:pt>
                <c:pt idx="2">
                  <c:v>40.4181818181818</c:v>
                </c:pt>
                <c:pt idx="3">
                  <c:v>43.5737704918033</c:v>
                </c:pt>
                <c:pt idx="4">
                  <c:v>39.9152542372881</c:v>
                </c:pt>
                <c:pt idx="5">
                  <c:v>39.1724137931034</c:v>
                </c:pt>
                <c:pt idx="6">
                  <c:v>42.3389830508475</c:v>
                </c:pt>
                <c:pt idx="7">
                  <c:v>38.9142857142857</c:v>
                </c:pt>
                <c:pt idx="8">
                  <c:v>40.85</c:v>
                </c:pt>
                <c:pt idx="9">
                  <c:v>41.3492063492064</c:v>
                </c:pt>
                <c:pt idx="10">
                  <c:v>45.7704918032787</c:v>
                </c:pt>
                <c:pt idx="11">
                  <c:v>42.7377049180328</c:v>
                </c:pt>
                <c:pt idx="12">
                  <c:v>40.2063492063492</c:v>
                </c:pt>
                <c:pt idx="13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334059"/>
        <c:axId val="28144731"/>
      </c:lineChart>
      <c:catAx>
        <c:axId val="64334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44731"/>
        <c:crosses val="autoZero"/>
        <c:auto val="1"/>
        <c:lblAlgn val="ctr"/>
        <c:lblOffset val="100"/>
        <c:noMultiLvlLbl val="0"/>
      </c:catAx>
      <c:valAx>
        <c:axId val="28144731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34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%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"On-time %"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Time'!$B$73:$B$84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'Delivery Time'!$E$73:$E$84</c:f>
              <c:numCache>
                <c:formatCode>0.0%</c:formatCode>
                <c:ptCount val="12"/>
                <c:pt idx="0">
                  <c:v>0.567901234567901</c:v>
                </c:pt>
                <c:pt idx="1">
                  <c:v>0.575</c:v>
                </c:pt>
                <c:pt idx="2">
                  <c:v>0.436619718309859</c:v>
                </c:pt>
                <c:pt idx="3">
                  <c:v>0.611111111111111</c:v>
                </c:pt>
                <c:pt idx="4">
                  <c:v>0.507462686567164</c:v>
                </c:pt>
                <c:pt idx="5">
                  <c:v>0.591549295774648</c:v>
                </c:pt>
                <c:pt idx="6">
                  <c:v>0.596491228070175</c:v>
                </c:pt>
                <c:pt idx="7">
                  <c:v>0.639344262295082</c:v>
                </c:pt>
                <c:pt idx="8">
                  <c:v>0.645161290322581</c:v>
                </c:pt>
                <c:pt idx="9">
                  <c:v>0.540983606557377</c:v>
                </c:pt>
                <c:pt idx="10">
                  <c:v>0.660377358490566</c:v>
                </c:pt>
                <c:pt idx="11">
                  <c:v>0.545454545454545</c:v>
                </c:pt>
              </c:numCache>
            </c:numRef>
          </c:val>
        </c:ser>
        <c:gapWidth val="60"/>
        <c:overlap val="0"/>
        <c:axId val="58525477"/>
        <c:axId val="55762113"/>
      </c:barChart>
      <c:catAx>
        <c:axId val="58525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62113"/>
        <c:crosses val="autoZero"/>
        <c:auto val="1"/>
        <c:lblAlgn val="ctr"/>
        <c:lblOffset val="100"/>
        <c:noMultiLvlLbl val="0"/>
      </c:catAx>
      <c:valAx>
        <c:axId val="5576211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25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delivery-time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customer rating"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Time'!$B$61:$B$66</c:f>
              <c:strCache>
                <c:ptCount val="6"/>
                <c:pt idx="0">
                  <c:v>15–20 min</c:v>
                </c:pt>
                <c:pt idx="1">
                  <c:v>21–30 min</c:v>
                </c:pt>
                <c:pt idx="2">
                  <c:v>31–40 min</c:v>
                </c:pt>
                <c:pt idx="3">
                  <c:v>41–50 min</c:v>
                </c:pt>
                <c:pt idx="4">
                  <c:v>51–60 min</c:v>
                </c:pt>
                <c:pt idx="5">
                  <c:v>61–70 min</c:v>
                </c:pt>
              </c:strCache>
            </c:strRef>
          </c:cat>
          <c:val>
            <c:numRef>
              <c:f>'Delivery Time'!$G$61:$G$66</c:f>
              <c:numCache>
                <c:formatCode>0.00</c:formatCode>
                <c:ptCount val="6"/>
                <c:pt idx="0">
                  <c:v>4.05813953488372</c:v>
                </c:pt>
                <c:pt idx="1">
                  <c:v>4.07407407407407</c:v>
                </c:pt>
                <c:pt idx="2">
                  <c:v>4.08270676691729</c:v>
                </c:pt>
                <c:pt idx="3">
                  <c:v>3.90909090909091</c:v>
                </c:pt>
                <c:pt idx="4">
                  <c:v>4.00704225352113</c:v>
                </c:pt>
                <c:pt idx="5">
                  <c:v>3.976</c:v>
                </c:pt>
              </c:numCache>
            </c:numRef>
          </c:val>
        </c:ser>
        <c:gapWidth val="60"/>
        <c:overlap val="0"/>
        <c:axId val="28331034"/>
        <c:axId val="8582388"/>
      </c:barChart>
      <c:catAx>
        <c:axId val="28331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2388"/>
        <c:crosses val="autoZero"/>
        <c:auto val="1"/>
        <c:lblAlgn val="ctr"/>
        <c:lblOffset val="100"/>
        <c:noMultiLvlLbl val="0"/>
      </c:catAx>
      <c:valAx>
        <c:axId val="858238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1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cancellations &amp;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"Cancelled"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3b7dd8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'Cancellation Analysis'!$E$61:$E$74</c:f>
              <c:numCache>
                <c:formatCode>#,##0</c:formatCode>
                <c:ptCount val="14"/>
                <c:pt idx="0">
                  <c:v>15</c:v>
                </c:pt>
                <c:pt idx="1">
                  <c:v>15</c:v>
                </c:pt>
                <c:pt idx="2">
                  <c:v>19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16</c:v>
                </c:pt>
                <c:pt idx="7">
                  <c:v>12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10</c:v>
                </c:pt>
                <c:pt idx="13">
                  <c:v>1</c:v>
                </c:pt>
              </c:numCache>
            </c:numRef>
          </c:val>
        </c:ser>
        <c:gapWidth val="60"/>
        <c:overlap val="0"/>
        <c:axId val="53913717"/>
        <c:axId val="33843652"/>
      </c:barChart>
      <c:lineChart>
        <c:grouping val="standard"/>
        <c:varyColors val="0"/>
        <c:ser>
          <c:idx val="1"/>
          <c:order val="1"/>
          <c:tx>
            <c:strRef>
              <c:f>"Cancel rate"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f28c28"/>
            </a:solidFill>
            <a:ln w="28080">
              <a:solidFill>
                <a:srgbClr val="f28c28"/>
              </a:solidFill>
              <a:round/>
            </a:ln>
          </c:spPr>
          <c:marker>
            <c:symbol val="circle"/>
            <c:size val="6"/>
            <c:spPr>
              <a:solidFill>
                <a:srgbClr val="f28c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'Cancellation Analysis'!$F$61:$F$74</c:f>
              <c:numCache>
                <c:formatCode>0.0%</c:formatCode>
                <c:ptCount val="14"/>
                <c:pt idx="0">
                  <c:v>0.161290322580645</c:v>
                </c:pt>
                <c:pt idx="1">
                  <c:v>0.178571428571429</c:v>
                </c:pt>
                <c:pt idx="2">
                  <c:v>0.204301075268817</c:v>
                </c:pt>
                <c:pt idx="3">
                  <c:v>0.188888888888889</c:v>
                </c:pt>
                <c:pt idx="4">
                  <c:v>0.172043010752688</c:v>
                </c:pt>
                <c:pt idx="5">
                  <c:v>0.211111111111111</c:v>
                </c:pt>
                <c:pt idx="6">
                  <c:v>0.172043010752688</c:v>
                </c:pt>
                <c:pt idx="7">
                  <c:v>0.129032258064516</c:v>
                </c:pt>
                <c:pt idx="8">
                  <c:v>0.177777777777778</c:v>
                </c:pt>
                <c:pt idx="9">
                  <c:v>0.161290322580645</c:v>
                </c:pt>
                <c:pt idx="10">
                  <c:v>0.166666666666667</c:v>
                </c:pt>
                <c:pt idx="11">
                  <c:v>0.172043010752688</c:v>
                </c:pt>
                <c:pt idx="12">
                  <c:v>0.10752688172043</c:v>
                </c:pt>
                <c:pt idx="13">
                  <c:v>0.0833333333333333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575401"/>
        <c:axId val="55940733"/>
      </c:lineChart>
      <c:catAx>
        <c:axId val="53913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43652"/>
        <c:crosses val="autoZero"/>
        <c:auto val="1"/>
        <c:lblAlgn val="ctr"/>
        <c:lblOffset val="100"/>
        <c:noMultiLvlLbl val="0"/>
      </c:catAx>
      <c:valAx>
        <c:axId val="3384365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13717"/>
        <c:crosses val="autoZero"/>
        <c:crossBetween val="between"/>
      </c:valAx>
      <c:catAx>
        <c:axId val="7257540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40733"/>
        <c:crosses val="autoZero"/>
        <c:auto val="1"/>
        <c:lblAlgn val="ctr"/>
        <c:lblOffset val="100"/>
        <c:noMultiLvlLbl val="0"/>
      </c:catAx>
      <c:valAx>
        <c:axId val="55940733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54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 rate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"Cancel rate"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Analysis'!$B$80:$B$91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'Cancellation Analysis'!$E$80:$E$91</c:f>
              <c:numCache>
                <c:formatCode>0.0%</c:formatCode>
                <c:ptCount val="12"/>
                <c:pt idx="0">
                  <c:v>0.100840336134454</c:v>
                </c:pt>
                <c:pt idx="1">
                  <c:v>0.157894736842105</c:v>
                </c:pt>
                <c:pt idx="2">
                  <c:v>0.2</c:v>
                </c:pt>
                <c:pt idx="3">
                  <c:v>0.231481481481481</c:v>
                </c:pt>
                <c:pt idx="4">
                  <c:v>0.233644859813084</c:v>
                </c:pt>
                <c:pt idx="5">
                  <c:v>0.205882352941176</c:v>
                </c:pt>
                <c:pt idx="6">
                  <c:v>0.135416666666667</c:v>
                </c:pt>
                <c:pt idx="7">
                  <c:v>0.177083333333333</c:v>
                </c:pt>
                <c:pt idx="8">
                  <c:v>0.148936170212766</c:v>
                </c:pt>
                <c:pt idx="9">
                  <c:v>0.120879120879121</c:v>
                </c:pt>
                <c:pt idx="10">
                  <c:v>0.180722891566265</c:v>
                </c:pt>
                <c:pt idx="11">
                  <c:v>0.1125</c:v>
                </c:pt>
              </c:numCache>
            </c:numRef>
          </c:val>
        </c:ser>
        <c:gapWidth val="60"/>
        <c:overlap val="0"/>
        <c:axId val="81992115"/>
        <c:axId val="63601525"/>
      </c:barChart>
      <c:catAx>
        <c:axId val="81992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01525"/>
        <c:crosses val="autoZero"/>
        <c:auto val="1"/>
        <c:lblAlgn val="ctr"/>
        <c:lblOffset val="100"/>
        <c:noMultiLvlLbl val="0"/>
      </c:catAx>
      <c:valAx>
        <c:axId val="6360152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92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 rate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"Cancel rate"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Analysis'!$B$97:$B$108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'Cancellation Analysis'!$E$97:$E$108</c:f>
              <c:numCache>
                <c:formatCode>0.0%</c:formatCode>
                <c:ptCount val="12"/>
                <c:pt idx="0">
                  <c:v>0.136752136752137</c:v>
                </c:pt>
                <c:pt idx="1">
                  <c:v>0.14018691588785</c:v>
                </c:pt>
                <c:pt idx="2">
                  <c:v>0.211538461538462</c:v>
                </c:pt>
                <c:pt idx="3">
                  <c:v>0.166666666666667</c:v>
                </c:pt>
                <c:pt idx="4">
                  <c:v>0.168316831683168</c:v>
                </c:pt>
                <c:pt idx="5">
                  <c:v>0.11</c:v>
                </c:pt>
                <c:pt idx="6">
                  <c:v>0.181818181818182</c:v>
                </c:pt>
                <c:pt idx="7">
                  <c:v>0.142857142857143</c:v>
                </c:pt>
                <c:pt idx="8">
                  <c:v>0.216494845360825</c:v>
                </c:pt>
                <c:pt idx="9">
                  <c:v>0.161290322580645</c:v>
                </c:pt>
                <c:pt idx="10">
                  <c:v>0.236559139784946</c:v>
                </c:pt>
                <c:pt idx="11">
                  <c:v>0.157303370786517</c:v>
                </c:pt>
              </c:numCache>
            </c:numRef>
          </c:val>
        </c:ser>
        <c:gapWidth val="60"/>
        <c:overlap val="0"/>
        <c:axId val="73078198"/>
        <c:axId val="3570814"/>
      </c:barChart>
      <c:catAx>
        <c:axId val="730781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0814"/>
        <c:crosses val="autoZero"/>
        <c:auto val="1"/>
        <c:lblAlgn val="ctr"/>
        <c:lblOffset val="100"/>
        <c:noMultiLvlLbl val="0"/>
      </c:catAx>
      <c:valAx>
        <c:axId val="357081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78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"Cancel rate"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Analysis'!$B$114:$B$118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Wallet</c:v>
                </c:pt>
              </c:strCache>
            </c:strRef>
          </c:cat>
          <c:val>
            <c:numRef>
              <c:f>'Cancellation Analysis'!$E$114:$E$118</c:f>
              <c:numCache>
                <c:formatCode>0.0%</c:formatCode>
                <c:ptCount val="5"/>
                <c:pt idx="0">
                  <c:v>0.189516129032258</c:v>
                </c:pt>
                <c:pt idx="1">
                  <c:v>0.142259414225941</c:v>
                </c:pt>
                <c:pt idx="2">
                  <c:v>0.163793103448276</c:v>
                </c:pt>
                <c:pt idx="3">
                  <c:v>0.159420289855072</c:v>
                </c:pt>
                <c:pt idx="4">
                  <c:v>0.147368421052632</c:v>
                </c:pt>
              </c:numCache>
            </c:numRef>
          </c:val>
        </c:ser>
        <c:gapWidth val="60"/>
        <c:overlap val="0"/>
        <c:axId val="91389937"/>
        <c:axId val="41399652"/>
      </c:barChart>
      <c:catAx>
        <c:axId val="91389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99652"/>
        <c:crosses val="autoZero"/>
        <c:auto val="1"/>
        <c:lblAlgn val="ctr"/>
        <c:lblOffset val="100"/>
        <c:noMultiLvlLbl val="0"/>
      </c:catAx>
      <c:valAx>
        <c:axId val="4139965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899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Cancelled orders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"Cancelled"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Analysis'!$B$124:$B$133</c:f>
              <c:strCache>
                <c:ptCount val="10"/>
                <c:pt idx="0">
                  <c:v>Burgers</c:v>
                </c:pt>
                <c:pt idx="1">
                  <c:v>North Indian</c:v>
                </c:pt>
                <c:pt idx="2">
                  <c:v>Desserts</c:v>
                </c:pt>
                <c:pt idx="3">
                  <c:v>Fast Food</c:v>
                </c:pt>
                <c:pt idx="4">
                  <c:v>Chinese</c:v>
                </c:pt>
                <c:pt idx="5">
                  <c:v>Momos</c:v>
                </c:pt>
                <c:pt idx="6">
                  <c:v>Biryani</c:v>
                </c:pt>
                <c:pt idx="7">
                  <c:v>Healthy</c:v>
                </c:pt>
                <c:pt idx="8">
                  <c:v>Pizza</c:v>
                </c:pt>
                <c:pt idx="9">
                  <c:v>South Indian</c:v>
                </c:pt>
              </c:strCache>
            </c:strRef>
          </c:cat>
          <c:val>
            <c:numRef>
              <c:f>'Cancellation Analysis'!$D$124:$D$133</c:f>
              <c:numCache>
                <c:formatCode>#,##0</c:formatCode>
                <c:ptCount val="10"/>
                <c:pt idx="0">
                  <c:v>14</c:v>
                </c:pt>
                <c:pt idx="1">
                  <c:v>30</c:v>
                </c:pt>
                <c:pt idx="2">
                  <c:v>21</c:v>
                </c:pt>
                <c:pt idx="3">
                  <c:v>20</c:v>
                </c:pt>
                <c:pt idx="4">
                  <c:v>17</c:v>
                </c:pt>
                <c:pt idx="5">
                  <c:v>21</c:v>
                </c:pt>
                <c:pt idx="6">
                  <c:v>19</c:v>
                </c:pt>
                <c:pt idx="7">
                  <c:v>17</c:v>
                </c:pt>
                <c:pt idx="8">
                  <c:v>25</c:v>
                </c:pt>
                <c:pt idx="9">
                  <c:v>18</c:v>
                </c:pt>
              </c:numCache>
            </c:numRef>
          </c:val>
        </c:ser>
        <c:gapWidth val="60"/>
        <c:overlap val="0"/>
        <c:axId val="50487947"/>
        <c:axId val="45588640"/>
      </c:barChart>
      <c:catAx>
        <c:axId val="504879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8640"/>
        <c:crosses val="autoZero"/>
        <c:auto val="1"/>
        <c:lblAlgn val="ctr"/>
        <c:lblOffset val="100"/>
        <c:noMultiLvlLbl val="0"/>
      </c:catAx>
      <c:valAx>
        <c:axId val="45588640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87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value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"Lost value"</c:f>
              <c:strCache>
                <c:ptCount val="1"/>
                <c:pt idx="0">
                  <c:v>Lost value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Analysis'!$B$80:$B$91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'Cancellation Analysis'!$F$80:$F$91</c:f>
              <c:numCache>
                <c:formatCode>\₹#,##0</c:formatCode>
                <c:ptCount val="12"/>
                <c:pt idx="0">
                  <c:v>11326</c:v>
                </c:pt>
                <c:pt idx="1">
                  <c:v>16057</c:v>
                </c:pt>
                <c:pt idx="2">
                  <c:v>22012</c:v>
                </c:pt>
                <c:pt idx="3">
                  <c:v>27012</c:v>
                </c:pt>
                <c:pt idx="4">
                  <c:v>21261</c:v>
                </c:pt>
                <c:pt idx="5">
                  <c:v>14057</c:v>
                </c:pt>
                <c:pt idx="6">
                  <c:v>15951</c:v>
                </c:pt>
                <c:pt idx="7">
                  <c:v>16863</c:v>
                </c:pt>
                <c:pt idx="8">
                  <c:v>12823</c:v>
                </c:pt>
                <c:pt idx="9">
                  <c:v>10501</c:v>
                </c:pt>
                <c:pt idx="10">
                  <c:v>13296</c:v>
                </c:pt>
                <c:pt idx="11">
                  <c:v>11070</c:v>
                </c:pt>
              </c:numCache>
            </c:numRef>
          </c:val>
        </c:ser>
        <c:gapWidth val="60"/>
        <c:overlap val="0"/>
        <c:axId val="70369618"/>
        <c:axId val="16384158"/>
      </c:barChart>
      <c:catAx>
        <c:axId val="70369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84158"/>
        <c:crosses val="autoZero"/>
        <c:auto val="1"/>
        <c:lblAlgn val="ctr"/>
        <c:lblOffset val="100"/>
        <c:noMultiLvlLbl val="0"/>
      </c:catAx>
      <c:valAx>
        <c:axId val="1638415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69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Review'!$B$61:$B$65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'Rating &amp; Review'!$C$61:$C$65</c:f>
              <c:numCache>
                <c:formatCode>#,##0</c:formatCode>
                <c:ptCount val="5"/>
                <c:pt idx="0">
                  <c:v>49</c:v>
                </c:pt>
                <c:pt idx="1">
                  <c:v>84</c:v>
                </c:pt>
                <c:pt idx="2">
                  <c:v>188</c:v>
                </c:pt>
                <c:pt idx="3">
                  <c:v>354</c:v>
                </c:pt>
                <c:pt idx="4">
                  <c:v>525</c:v>
                </c:pt>
              </c:numCache>
            </c:numRef>
          </c:val>
        </c:ser>
        <c:gapWidth val="40"/>
        <c:overlap val="0"/>
        <c:axId val="81072962"/>
        <c:axId val="43235604"/>
      </c:barChart>
      <c:catAx>
        <c:axId val="81072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35604"/>
        <c:crosses val="autoZero"/>
        <c:auto val="1"/>
        <c:lblAlgn val="ctr"/>
        <c:lblOffset val="100"/>
        <c:noMultiLvlLbl val="0"/>
      </c:catAx>
      <c:valAx>
        <c:axId val="4323560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72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Restaurant rating bands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Review'!$B$71:$B$75</c:f>
              <c:strCache>
                <c:ptCount val="5"/>
                <c:pt idx="0">
                  <c:v>2.5–2.9</c:v>
                </c:pt>
                <c:pt idx="1">
                  <c:v>3.0–3.4</c:v>
                </c:pt>
                <c:pt idx="2">
                  <c:v>3.5–3.9</c:v>
                </c:pt>
                <c:pt idx="3">
                  <c:v>4.0–4.4</c:v>
                </c:pt>
                <c:pt idx="4">
                  <c:v>4.5–5.0</c:v>
                </c:pt>
              </c:strCache>
            </c:strRef>
          </c:cat>
          <c:val>
            <c:numRef>
              <c:f>'Rating &amp; Review'!$E$71:$E$75</c:f>
              <c:numCache>
                <c:formatCode>#,##0</c:formatCode>
                <c:ptCount val="5"/>
                <c:pt idx="0">
                  <c:v>225</c:v>
                </c:pt>
                <c:pt idx="1">
                  <c:v>256</c:v>
                </c:pt>
                <c:pt idx="2">
                  <c:v>230</c:v>
                </c:pt>
                <c:pt idx="3">
                  <c:v>233</c:v>
                </c:pt>
                <c:pt idx="4">
                  <c:v>256</c:v>
                </c:pt>
              </c:numCache>
            </c:numRef>
          </c:val>
        </c:ser>
        <c:gapWidth val="40"/>
        <c:overlap val="0"/>
        <c:axId val="42303080"/>
        <c:axId val="16468778"/>
      </c:barChart>
      <c:catAx>
        <c:axId val="4230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68778"/>
        <c:crosses val="autoZero"/>
        <c:auto val="1"/>
        <c:lblAlgn val="ctr"/>
        <c:lblOffset val="100"/>
        <c:noMultiLvlLbl val="0"/>
      </c:catAx>
      <c:valAx>
        <c:axId val="1646877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03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"Avg customer rating"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Review'!$B$82:$B$93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'Rating &amp; Review'!$D$82:$D$93</c:f>
              <c:numCache>
                <c:formatCode>0.00</c:formatCode>
                <c:ptCount val="12"/>
                <c:pt idx="0">
                  <c:v>4.08547008547009</c:v>
                </c:pt>
                <c:pt idx="1">
                  <c:v>3.90654205607477</c:v>
                </c:pt>
                <c:pt idx="2">
                  <c:v>4.24038461538462</c:v>
                </c:pt>
                <c:pt idx="3">
                  <c:v>3.83333333333333</c:v>
                </c:pt>
                <c:pt idx="4">
                  <c:v>3.9009900990099</c:v>
                </c:pt>
                <c:pt idx="5">
                  <c:v>4</c:v>
                </c:pt>
                <c:pt idx="6">
                  <c:v>4.18181818181818</c:v>
                </c:pt>
                <c:pt idx="7">
                  <c:v>4.18367346938776</c:v>
                </c:pt>
                <c:pt idx="8">
                  <c:v>3.85567010309278</c:v>
                </c:pt>
                <c:pt idx="9">
                  <c:v>4.02150537634409</c:v>
                </c:pt>
                <c:pt idx="10">
                  <c:v>3.96774193548387</c:v>
                </c:pt>
                <c:pt idx="11">
                  <c:v>4.03370786516854</c:v>
                </c:pt>
              </c:numCache>
            </c:numRef>
          </c:val>
        </c:ser>
        <c:gapWidth val="60"/>
        <c:overlap val="0"/>
        <c:axId val="95390315"/>
        <c:axId val="80534504"/>
      </c:barChart>
      <c:catAx>
        <c:axId val="953903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34504"/>
        <c:crosses val="autoZero"/>
        <c:auto val="1"/>
        <c:lblAlgn val="ctr"/>
        <c:lblOffset val="100"/>
        <c:noMultiLvlLbl val="0"/>
      </c:catAx>
      <c:valAx>
        <c:axId val="8053450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90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"Avg customer rating"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Review'!$B$98:$B$107</c:f>
              <c:strCache>
                <c:ptCount val="10"/>
                <c:pt idx="0">
                  <c:v>Burgers</c:v>
                </c:pt>
                <c:pt idx="1">
                  <c:v>North Indian</c:v>
                </c:pt>
                <c:pt idx="2">
                  <c:v>Desserts</c:v>
                </c:pt>
                <c:pt idx="3">
                  <c:v>Fast Food</c:v>
                </c:pt>
                <c:pt idx="4">
                  <c:v>Chinese</c:v>
                </c:pt>
                <c:pt idx="5">
                  <c:v>Momos</c:v>
                </c:pt>
                <c:pt idx="6">
                  <c:v>Biryani</c:v>
                </c:pt>
                <c:pt idx="7">
                  <c:v>Healthy</c:v>
                </c:pt>
                <c:pt idx="8">
                  <c:v>Pizza</c:v>
                </c:pt>
                <c:pt idx="9">
                  <c:v>South Indian</c:v>
                </c:pt>
              </c:strCache>
            </c:strRef>
          </c:cat>
          <c:val>
            <c:numRef>
              <c:f>'Rating &amp; Review'!$D$98:$D$107</c:f>
              <c:numCache>
                <c:formatCode>0.00</c:formatCode>
                <c:ptCount val="10"/>
                <c:pt idx="0">
                  <c:v>3.95652173913043</c:v>
                </c:pt>
                <c:pt idx="1">
                  <c:v>4.11764705882353</c:v>
                </c:pt>
                <c:pt idx="2">
                  <c:v>4.046875</c:v>
                </c:pt>
                <c:pt idx="3">
                  <c:v>4.11475409836066</c:v>
                </c:pt>
                <c:pt idx="4">
                  <c:v>3.94214876033058</c:v>
                </c:pt>
                <c:pt idx="5">
                  <c:v>4.11206896551724</c:v>
                </c:pt>
                <c:pt idx="6">
                  <c:v>3.99130434782609</c:v>
                </c:pt>
                <c:pt idx="7">
                  <c:v>3.79824561403509</c:v>
                </c:pt>
                <c:pt idx="8">
                  <c:v>4.02752293577982</c:v>
                </c:pt>
                <c:pt idx="9">
                  <c:v>4.06930693069307</c:v>
                </c:pt>
              </c:numCache>
            </c:numRef>
          </c:val>
        </c:ser>
        <c:gapWidth val="60"/>
        <c:overlap val="0"/>
        <c:axId val="36337740"/>
        <c:axId val="88062163"/>
      </c:barChart>
      <c:catAx>
        <c:axId val="363377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62163"/>
        <c:crosses val="autoZero"/>
        <c:auto val="1"/>
        <c:lblAlgn val="ctr"/>
        <c:lblOffset val="100"/>
        <c:noMultiLvlLbl val="0"/>
      </c:catAx>
      <c:valAx>
        <c:axId val="8806216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377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customer rating"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Review'!$B$112:$B$123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'Rating &amp; Review'!$D$112:$D$123</c:f>
              <c:numCache>
                <c:formatCode>0.00</c:formatCode>
                <c:ptCount val="12"/>
                <c:pt idx="0">
                  <c:v>4.13445378151261</c:v>
                </c:pt>
                <c:pt idx="1">
                  <c:v>3.99122807017544</c:v>
                </c:pt>
                <c:pt idx="2">
                  <c:v>4.10909090909091</c:v>
                </c:pt>
                <c:pt idx="3">
                  <c:v>4</c:v>
                </c:pt>
                <c:pt idx="4">
                  <c:v>3.94392523364486</c:v>
                </c:pt>
                <c:pt idx="5">
                  <c:v>4</c:v>
                </c:pt>
                <c:pt idx="6">
                  <c:v>4.03125</c:v>
                </c:pt>
                <c:pt idx="7">
                  <c:v>4.19791666666667</c:v>
                </c:pt>
                <c:pt idx="8">
                  <c:v>4.0531914893617</c:v>
                </c:pt>
                <c:pt idx="9">
                  <c:v>3.91208791208791</c:v>
                </c:pt>
                <c:pt idx="10">
                  <c:v>3.93975903614458</c:v>
                </c:pt>
                <c:pt idx="11">
                  <c:v>3.8375</c:v>
                </c:pt>
              </c:numCache>
            </c:numRef>
          </c:val>
        </c:ser>
        <c:gapWidth val="60"/>
        <c:overlap val="0"/>
        <c:axId val="8026252"/>
        <c:axId val="73908368"/>
      </c:barChart>
      <c:catAx>
        <c:axId val="8026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08368"/>
        <c:crosses val="autoZero"/>
        <c:auto val="1"/>
        <c:lblAlgn val="ctr"/>
        <c:lblOffset val="100"/>
        <c:noMultiLvlLbl val="0"/>
      </c:catAx>
      <c:valAx>
        <c:axId val="7390836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"Customer rating"</c:f>
              <c:strCache>
                <c:ptCount val="1"/>
                <c:pt idx="0">
                  <c:v>Customer rating</c:v>
                </c:pt>
              </c:strCache>
            </c:strRef>
          </c:tx>
          <c:spPr>
            <a:solidFill>
              <a:srgbClr val="3fa34d"/>
            </a:solidFill>
            <a:ln w="28080">
              <a:solidFill>
                <a:srgbClr val="3fa34d"/>
              </a:solidFill>
              <a:round/>
            </a:ln>
          </c:spPr>
          <c:marker>
            <c:symbol val="circle"/>
            <c:size val="6"/>
            <c:spPr>
              <a:solidFill>
                <a:srgbClr val="3fa3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Review'!$B$128:$B$141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'Rating &amp; Review'!$E$128:$E$141</c:f>
              <c:numCache>
                <c:formatCode>0.00</c:formatCode>
                <c:ptCount val="14"/>
                <c:pt idx="0">
                  <c:v>4.10752688172043</c:v>
                </c:pt>
                <c:pt idx="1">
                  <c:v>4.04761904761905</c:v>
                </c:pt>
                <c:pt idx="2">
                  <c:v>4.06451612903226</c:v>
                </c:pt>
                <c:pt idx="3">
                  <c:v>4.05555555555556</c:v>
                </c:pt>
                <c:pt idx="4">
                  <c:v>3.96774193548387</c:v>
                </c:pt>
                <c:pt idx="5">
                  <c:v>3.87777777777778</c:v>
                </c:pt>
                <c:pt idx="6">
                  <c:v>3.98924731182796</c:v>
                </c:pt>
                <c:pt idx="7">
                  <c:v>4.03225806451613</c:v>
                </c:pt>
                <c:pt idx="8">
                  <c:v>3.97777777777778</c:v>
                </c:pt>
                <c:pt idx="9">
                  <c:v>4.10752688172043</c:v>
                </c:pt>
                <c:pt idx="10">
                  <c:v>3.88888888888889</c:v>
                </c:pt>
                <c:pt idx="11">
                  <c:v>4.06451612903226</c:v>
                </c:pt>
                <c:pt idx="12">
                  <c:v>4.08602150537634</c:v>
                </c:pt>
                <c:pt idx="13">
                  <c:v>3.75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"Restaurant rating"</c:f>
              <c:strCache>
                <c:ptCount val="1"/>
                <c:pt idx="0">
                  <c:v>Restaurant rating</c:v>
                </c:pt>
              </c:strCache>
            </c:strRef>
          </c:tx>
          <c:spPr>
            <a:solidFill>
              <a:srgbClr val="3b7dd8"/>
            </a:solidFill>
            <a:ln w="28080">
              <a:solidFill>
                <a:srgbClr val="3b7dd8"/>
              </a:solidFill>
              <a:round/>
            </a:ln>
          </c:spPr>
          <c:marker>
            <c:symbol val="circle"/>
            <c:size val="6"/>
            <c:spPr>
              <a:solidFill>
                <a:srgbClr val="3b7dd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'Rating &amp; Review'!$B$128:$B$141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'Rating &amp; Review'!$F$128:$F$141</c:f>
              <c:numCache>
                <c:formatCode>0.00</c:formatCode>
                <c:ptCount val="14"/>
                <c:pt idx="0">
                  <c:v>3.68064516129032</c:v>
                </c:pt>
                <c:pt idx="1">
                  <c:v>3.56547619047619</c:v>
                </c:pt>
                <c:pt idx="2">
                  <c:v>3.75161290322581</c:v>
                </c:pt>
                <c:pt idx="3">
                  <c:v>3.76777777777778</c:v>
                </c:pt>
                <c:pt idx="4">
                  <c:v>3.7247311827957</c:v>
                </c:pt>
                <c:pt idx="5">
                  <c:v>3.71111111111111</c:v>
                </c:pt>
                <c:pt idx="6">
                  <c:v>3.7010752688172</c:v>
                </c:pt>
                <c:pt idx="7">
                  <c:v>3.55698924731183</c:v>
                </c:pt>
                <c:pt idx="8">
                  <c:v>3.78111111111111</c:v>
                </c:pt>
                <c:pt idx="9">
                  <c:v>3.76129032258065</c:v>
                </c:pt>
                <c:pt idx="10">
                  <c:v>3.84555555555556</c:v>
                </c:pt>
                <c:pt idx="11">
                  <c:v>3.77849462365591</c:v>
                </c:pt>
                <c:pt idx="12">
                  <c:v>3.68817204301075</c:v>
                </c:pt>
                <c:pt idx="13">
                  <c:v>3.76666666666667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057274"/>
        <c:axId val="11259505"/>
      </c:lineChart>
      <c:catAx>
        <c:axId val="94057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9505"/>
        <c:crosses val="autoZero"/>
        <c:auto val="1"/>
        <c:lblAlgn val="ctr"/>
        <c:lblOffset val="100"/>
        <c:noMultiLvlLbl val="0"/>
      </c:catAx>
      <c:valAx>
        <c:axId val="1125950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572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vs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"Gross revenue"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3b7dd8"/>
            </a:solidFill>
            <a:ln w="0">
              <a:solidFill>
                <a:srgbClr val="3b7dd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'Revenue Dashboard'!$E$61:$E$74</c:f>
              <c:numCache>
                <c:formatCode>\₹#,##0</c:formatCode>
                <c:ptCount val="14"/>
                <c:pt idx="0">
                  <c:v>62827</c:v>
                </c:pt>
                <c:pt idx="1">
                  <c:v>47979</c:v>
                </c:pt>
                <c:pt idx="2">
                  <c:v>55750</c:v>
                </c:pt>
                <c:pt idx="3">
                  <c:v>55046</c:v>
                </c:pt>
                <c:pt idx="4">
                  <c:v>56594</c:v>
                </c:pt>
                <c:pt idx="5">
                  <c:v>57273</c:v>
                </c:pt>
                <c:pt idx="6">
                  <c:v>63191</c:v>
                </c:pt>
                <c:pt idx="7">
                  <c:v>60407</c:v>
                </c:pt>
                <c:pt idx="8">
                  <c:v>57870</c:v>
                </c:pt>
                <c:pt idx="9">
                  <c:v>58274</c:v>
                </c:pt>
                <c:pt idx="10">
                  <c:v>61149</c:v>
                </c:pt>
                <c:pt idx="11">
                  <c:v>57316</c:v>
                </c:pt>
                <c:pt idx="12">
                  <c:v>57356</c:v>
                </c:pt>
                <c:pt idx="13">
                  <c:v>4808</c:v>
                </c:pt>
              </c:numCache>
            </c:numRef>
          </c:val>
        </c:ser>
        <c:ser>
          <c:idx val="1"/>
          <c:order val="1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3fa34d"/>
            </a:solidFill>
            <a:ln w="0">
              <a:solidFill>
                <a:srgbClr val="3fa34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'Revenue Dashboard'!$G$61:$G$74</c:f>
              <c:numCache>
                <c:formatCode>\₹#,##0</c:formatCode>
                <c:ptCount val="14"/>
                <c:pt idx="0">
                  <c:v>57842</c:v>
                </c:pt>
                <c:pt idx="1">
                  <c:v>44649</c:v>
                </c:pt>
                <c:pt idx="2">
                  <c:v>50840</c:v>
                </c:pt>
                <c:pt idx="3">
                  <c:v>50996</c:v>
                </c:pt>
                <c:pt idx="4">
                  <c:v>53126</c:v>
                </c:pt>
                <c:pt idx="5">
                  <c:v>53242</c:v>
                </c:pt>
                <c:pt idx="6">
                  <c:v>58701</c:v>
                </c:pt>
                <c:pt idx="7">
                  <c:v>55472</c:v>
                </c:pt>
                <c:pt idx="8">
                  <c:v>53830</c:v>
                </c:pt>
                <c:pt idx="9">
                  <c:v>53755</c:v>
                </c:pt>
                <c:pt idx="10">
                  <c:v>56754</c:v>
                </c:pt>
                <c:pt idx="11">
                  <c:v>53347</c:v>
                </c:pt>
                <c:pt idx="12">
                  <c:v>53371</c:v>
                </c:pt>
                <c:pt idx="13">
                  <c:v>4025</c:v>
                </c:pt>
              </c:numCache>
            </c:numRef>
          </c:val>
        </c:ser>
        <c:gapWidth val="60"/>
        <c:overlap val="0"/>
        <c:axId val="32480073"/>
        <c:axId val="22885934"/>
      </c:barChart>
      <c:catAx>
        <c:axId val="32480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85934"/>
        <c:crosses val="autoZero"/>
        <c:auto val="1"/>
        <c:lblAlgn val="ctr"/>
        <c:lblOffset val="100"/>
        <c:noMultiLvlLbl val="0"/>
      </c:catAx>
      <c:valAx>
        <c:axId val="2288593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800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3fa34d"/>
            </a:solidFill>
            <a:ln w="28080">
              <a:solidFill>
                <a:srgbClr val="3fa34d"/>
              </a:solidFill>
              <a:round/>
            </a:ln>
          </c:spPr>
          <c:marker>
            <c:symbol val="circle"/>
            <c:size val="6"/>
            <c:spPr>
              <a:solidFill>
                <a:srgbClr val="3fa3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Dashboard'!$B$61:$B$74</c:f>
              <c:strCache>
                <c:ptCount val="1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</c:strCache>
            </c:strRef>
          </c:cat>
          <c:val>
            <c:numRef>
              <c:f>'Revenue Dashboard'!$G$61:$G$74</c:f>
              <c:numCache>
                <c:formatCode>\₹#,##0</c:formatCode>
                <c:ptCount val="14"/>
                <c:pt idx="0">
                  <c:v>57842</c:v>
                </c:pt>
                <c:pt idx="1">
                  <c:v>44649</c:v>
                </c:pt>
                <c:pt idx="2">
                  <c:v>50840</c:v>
                </c:pt>
                <c:pt idx="3">
                  <c:v>50996</c:v>
                </c:pt>
                <c:pt idx="4">
                  <c:v>53126</c:v>
                </c:pt>
                <c:pt idx="5">
                  <c:v>53242</c:v>
                </c:pt>
                <c:pt idx="6">
                  <c:v>58701</c:v>
                </c:pt>
                <c:pt idx="7">
                  <c:v>55472</c:v>
                </c:pt>
                <c:pt idx="8">
                  <c:v>53830</c:v>
                </c:pt>
                <c:pt idx="9">
                  <c:v>53755</c:v>
                </c:pt>
                <c:pt idx="10">
                  <c:v>56754</c:v>
                </c:pt>
                <c:pt idx="11">
                  <c:v>53347</c:v>
                </c:pt>
                <c:pt idx="12">
                  <c:v>53371</c:v>
                </c:pt>
                <c:pt idx="13">
                  <c:v>4025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247740"/>
        <c:axId val="65000487"/>
      </c:lineChart>
      <c:catAx>
        <c:axId val="14247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00487"/>
        <c:crosses val="autoZero"/>
        <c:auto val="1"/>
        <c:lblAlgn val="ctr"/>
        <c:lblOffset val="100"/>
        <c:noMultiLvlLbl val="0"/>
      </c:catAx>
      <c:valAx>
        <c:axId val="65000487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477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Dashboard'!$B$81:$B$92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'Revenue Dashboard'!$F$81:$F$92</c:f>
              <c:numCache>
                <c:formatCode>\₹#,##0</c:formatCode>
                <c:ptCount val="12"/>
                <c:pt idx="0">
                  <c:v>72095</c:v>
                </c:pt>
                <c:pt idx="1">
                  <c:v>68239</c:v>
                </c:pt>
                <c:pt idx="2">
                  <c:v>63265</c:v>
                </c:pt>
                <c:pt idx="3">
                  <c:v>61979</c:v>
                </c:pt>
                <c:pt idx="4">
                  <c:v>63318</c:v>
                </c:pt>
                <c:pt idx="5">
                  <c:v>62339</c:v>
                </c:pt>
                <c:pt idx="6">
                  <c:v>51140</c:v>
                </c:pt>
                <c:pt idx="7">
                  <c:v>51254</c:v>
                </c:pt>
                <c:pt idx="8">
                  <c:v>50711</c:v>
                </c:pt>
                <c:pt idx="9">
                  <c:v>58589</c:v>
                </c:pt>
                <c:pt idx="10">
                  <c:v>44295</c:v>
                </c:pt>
                <c:pt idx="11">
                  <c:v>52726</c:v>
                </c:pt>
              </c:numCache>
            </c:numRef>
          </c:val>
        </c:ser>
        <c:gapWidth val="60"/>
        <c:overlap val="0"/>
        <c:axId val="75646276"/>
        <c:axId val="90984093"/>
      </c:barChart>
      <c:catAx>
        <c:axId val="75646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84093"/>
        <c:crosses val="autoZero"/>
        <c:auto val="1"/>
        <c:lblAlgn val="ctr"/>
        <c:lblOffset val="100"/>
        <c:noMultiLvlLbl val="0"/>
      </c:catAx>
      <c:valAx>
        <c:axId val="9098409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46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7b61c9"/>
            </a:solidFill>
            <a:ln w="0">
              <a:solidFill>
                <a:srgbClr val="7b61c9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Dashboard'!$B$98:$B$107</c:f>
              <c:strCache>
                <c:ptCount val="10"/>
                <c:pt idx="0">
                  <c:v>Burgers</c:v>
                </c:pt>
                <c:pt idx="1">
                  <c:v>North Indian</c:v>
                </c:pt>
                <c:pt idx="2">
                  <c:v>Desserts</c:v>
                </c:pt>
                <c:pt idx="3">
                  <c:v>Fast Food</c:v>
                </c:pt>
                <c:pt idx="4">
                  <c:v>Chinese</c:v>
                </c:pt>
                <c:pt idx="5">
                  <c:v>Momos</c:v>
                </c:pt>
                <c:pt idx="6">
                  <c:v>Biryani</c:v>
                </c:pt>
                <c:pt idx="7">
                  <c:v>Healthy</c:v>
                </c:pt>
                <c:pt idx="8">
                  <c:v>Pizza</c:v>
                </c:pt>
                <c:pt idx="9">
                  <c:v>South Indian</c:v>
                </c:pt>
              </c:strCache>
            </c:strRef>
          </c:cat>
          <c:val>
            <c:numRef>
              <c:f>'Revenue Dashboard'!$F$98:$F$107</c:f>
              <c:numCache>
                <c:formatCode>\₹#,##0</c:formatCode>
                <c:ptCount val="10"/>
                <c:pt idx="0">
                  <c:v>84791</c:v>
                </c:pt>
                <c:pt idx="1">
                  <c:v>71912</c:v>
                </c:pt>
                <c:pt idx="2">
                  <c:v>70578</c:v>
                </c:pt>
                <c:pt idx="3">
                  <c:v>66084</c:v>
                </c:pt>
                <c:pt idx="4">
                  <c:v>75044</c:v>
                </c:pt>
                <c:pt idx="5">
                  <c:v>66546</c:v>
                </c:pt>
                <c:pt idx="6">
                  <c:v>72865</c:v>
                </c:pt>
                <c:pt idx="7">
                  <c:v>72330</c:v>
                </c:pt>
                <c:pt idx="8">
                  <c:v>59519</c:v>
                </c:pt>
                <c:pt idx="9">
                  <c:v>60281</c:v>
                </c:pt>
              </c:numCache>
            </c:numRef>
          </c:val>
        </c:ser>
        <c:gapWidth val="60"/>
        <c:overlap val="0"/>
        <c:axId val="80302779"/>
        <c:axId val="24665465"/>
      </c:barChart>
      <c:catAx>
        <c:axId val="803027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65465"/>
        <c:crosses val="autoZero"/>
        <c:auto val="1"/>
        <c:lblAlgn val="ctr"/>
        <c:lblOffset val="100"/>
        <c:noMultiLvlLbl val="0"/>
      </c:catAx>
      <c:valAx>
        <c:axId val="2466546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02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"Net revenue by payment method"</c:f>
              <c:strCache>
                <c:ptCount val="1"/>
                <c:pt idx="0">
                  <c:v>Net revenue by payment method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b7dd8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f9d8a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28c28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7b61c9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64545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'Revenue Dashboard'!$B$113:$B$117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Wallet</c:v>
                </c:pt>
              </c:strCache>
            </c:strRef>
          </c:cat>
          <c:val>
            <c:numRef>
              <c:f>'Revenue Dashboard'!$F$113:$F$117</c:f>
              <c:numCache>
                <c:formatCode>\₹#,##0</c:formatCode>
                <c:ptCount val="5"/>
                <c:pt idx="0">
                  <c:v>286374</c:v>
                </c:pt>
                <c:pt idx="1">
                  <c:v>142038</c:v>
                </c:pt>
                <c:pt idx="2">
                  <c:v>128565</c:v>
                </c:pt>
                <c:pt idx="3">
                  <c:v>82308</c:v>
                </c:pt>
                <c:pt idx="4">
                  <c:v>60665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numFmt formatCode="\₹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Dashboard'!$B$123:$B$134</c:f>
              <c:strCache>
                <c:ptCount val="12"/>
                <c:pt idx="0">
                  <c:v>Urban Tadka</c:v>
                </c:pt>
                <c:pt idx="1">
                  <c:v>Taste Junction</c:v>
                </c:pt>
                <c:pt idx="2">
                  <c:v>Cafe Aroma</c:v>
                </c:pt>
                <c:pt idx="3">
                  <c:v>Delhi Zaika</c:v>
                </c:pt>
                <c:pt idx="4">
                  <c:v>Burger House</c:v>
                </c:pt>
                <c:pt idx="5">
                  <c:v>Spice Hub</c:v>
                </c:pt>
                <c:pt idx="6">
                  <c:v>Pizza Point</c:v>
                </c:pt>
                <c:pt idx="7">
                  <c:v>Green Bowl</c:v>
                </c:pt>
                <c:pt idx="8">
                  <c:v>The Food Corner</c:v>
                </c:pt>
                <c:pt idx="9">
                  <c:v>Royal Biryani</c:v>
                </c:pt>
                <c:pt idx="10">
                  <c:v>Food Street</c:v>
                </c:pt>
                <c:pt idx="11">
                  <c:v>Momo Nation</c:v>
                </c:pt>
              </c:strCache>
            </c:strRef>
          </c:cat>
          <c:val>
            <c:numRef>
              <c:f>'Revenue Dashboard'!$F$123:$F$134</c:f>
              <c:numCache>
                <c:formatCode>\₹#,##0</c:formatCode>
                <c:ptCount val="12"/>
                <c:pt idx="0">
                  <c:v>66822</c:v>
                </c:pt>
                <c:pt idx="1">
                  <c:v>60113</c:v>
                </c:pt>
                <c:pt idx="2">
                  <c:v>55539</c:v>
                </c:pt>
                <c:pt idx="3">
                  <c:v>59187</c:v>
                </c:pt>
                <c:pt idx="4">
                  <c:v>67652</c:v>
                </c:pt>
                <c:pt idx="5">
                  <c:v>63464</c:v>
                </c:pt>
                <c:pt idx="6">
                  <c:v>60969</c:v>
                </c:pt>
                <c:pt idx="7">
                  <c:v>54523</c:v>
                </c:pt>
                <c:pt idx="8">
                  <c:v>56948</c:v>
                </c:pt>
                <c:pt idx="9">
                  <c:v>42448</c:v>
                </c:pt>
                <c:pt idx="10">
                  <c:v>54955</c:v>
                </c:pt>
                <c:pt idx="11">
                  <c:v>57330</c:v>
                </c:pt>
              </c:numCache>
            </c:numRef>
          </c:val>
        </c:ser>
        <c:gapWidth val="60"/>
        <c:overlap val="0"/>
        <c:axId val="30616260"/>
        <c:axId val="52406575"/>
      </c:barChart>
      <c:catAx>
        <c:axId val="306162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6575"/>
        <c:crosses val="autoZero"/>
        <c:auto val="1"/>
        <c:lblAlgn val="ctr"/>
        <c:lblOffset val="100"/>
        <c:noMultiLvlLbl val="0"/>
      </c:catAx>
      <c:valAx>
        <c:axId val="5240657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16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"Value"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f9d8a"/>
            </a:solidFill>
            <a:ln w="0">
              <a:solidFill>
                <a:srgbClr val="0f9d8a"/>
              </a:solidFill>
            </a:ln>
          </c:spPr>
          <c:invertIfNegative val="0"/>
          <c:dLbls>
            <c:numFmt formatCode="#,##0.##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Explorer!$B$32:$B$43</c:f>
              <c:strCache>
                <c:ptCount val="12"/>
                <c:pt idx="0">
                  <c:v>Delhi</c:v>
                </c:pt>
                <c:pt idx="1">
                  <c:v>Ahmedabad</c:v>
                </c:pt>
                <c:pt idx="2">
                  <c:v>Bengaluru</c:v>
                </c:pt>
                <c:pt idx="3">
                  <c:v>Chennai</c:v>
                </c:pt>
                <c:pt idx="4">
                  <c:v>Noida</c:v>
                </c:pt>
                <c:pt idx="5">
                  <c:v>Jaipur</c:v>
                </c:pt>
                <c:pt idx="6">
                  <c:v>Hyderabad</c:v>
                </c:pt>
                <c:pt idx="7">
                  <c:v>Pune</c:v>
                </c:pt>
                <c:pt idx="8">
                  <c:v>Kolkata</c:v>
                </c:pt>
                <c:pt idx="9">
                  <c:v>Lucknow</c:v>
                </c:pt>
                <c:pt idx="10">
                  <c:v>Mumbai</c:v>
                </c:pt>
                <c:pt idx="11">
                  <c:v>Gurugram</c:v>
                </c:pt>
              </c:strCache>
            </c:strRef>
          </c:cat>
          <c:val>
            <c:numRef>
              <c:f>Explorer!$C$32:$C$43</c:f>
              <c:numCache>
                <c:formatCode>#,##0.00</c:formatCode>
                <c:ptCount val="12"/>
                <c:pt idx="0">
                  <c:v>119</c:v>
                </c:pt>
                <c:pt idx="1">
                  <c:v>114</c:v>
                </c:pt>
                <c:pt idx="2">
                  <c:v>110</c:v>
                </c:pt>
                <c:pt idx="3">
                  <c:v>108</c:v>
                </c:pt>
                <c:pt idx="4">
                  <c:v>107</c:v>
                </c:pt>
                <c:pt idx="5">
                  <c:v>102</c:v>
                </c:pt>
                <c:pt idx="6">
                  <c:v>96</c:v>
                </c:pt>
                <c:pt idx="7">
                  <c:v>96</c:v>
                </c:pt>
                <c:pt idx="8">
                  <c:v>94</c:v>
                </c:pt>
                <c:pt idx="9">
                  <c:v>91</c:v>
                </c:pt>
                <c:pt idx="10">
                  <c:v>83</c:v>
                </c:pt>
                <c:pt idx="11">
                  <c:v>80</c:v>
                </c:pt>
              </c:numCache>
            </c:numRef>
          </c:val>
        </c:ser>
        <c:gapWidth val="60"/>
        <c:overlap val="0"/>
        <c:axId val="47766656"/>
        <c:axId val="26668205"/>
      </c:barChart>
      <c:catAx>
        <c:axId val="477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68205"/>
        <c:crosses val="autoZero"/>
        <c:auto val="1"/>
        <c:lblAlgn val="ctr"/>
        <c:lblOffset val="100"/>
        <c:noMultiLvlLbl val="0"/>
      </c:catAx>
      <c:valAx>
        <c:axId val="2666820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66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Relationship Id="rId5" Type="http://schemas.openxmlformats.org/officeDocument/2006/relationships/chart" Target="../charts/chart41.xml"/><Relationship Id="rId6" Type="http://schemas.openxmlformats.org/officeDocument/2006/relationships/chart" Target="../charts/chart42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4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1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2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3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4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5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23</xdr:row>
      <xdr:rowOff>21960</xdr:rowOff>
    </xdr:to>
    <xdr:graphicFrame>
      <xdr:nvGraphicFramePr>
        <xdr:cNvPr id="6" name="Chart 1"/>
        <xdr:cNvGraphicFramePr/>
      </xdr:nvGraphicFramePr>
      <xdr:xfrm>
        <a:off x="141120" y="2476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23</xdr:row>
      <xdr:rowOff>21960</xdr:rowOff>
    </xdr:to>
    <xdr:graphicFrame>
      <xdr:nvGraphicFramePr>
        <xdr:cNvPr id="7" name="Chart 2"/>
        <xdr:cNvGraphicFramePr/>
      </xdr:nvGraphicFramePr>
      <xdr:xfrm>
        <a:off x="6061680" y="2476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8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9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10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11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12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13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14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15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16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17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18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19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20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21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22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23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24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25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26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27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28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29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30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31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39</xdr:row>
      <xdr:rowOff>22320</xdr:rowOff>
    </xdr:to>
    <xdr:graphicFrame>
      <xdr:nvGraphicFramePr>
        <xdr:cNvPr id="32" name="Chart 3"/>
        <xdr:cNvGraphicFramePr/>
      </xdr:nvGraphicFramePr>
      <xdr:xfrm>
        <a:off x="14112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39</xdr:row>
      <xdr:rowOff>22320</xdr:rowOff>
    </xdr:to>
    <xdr:graphicFrame>
      <xdr:nvGraphicFramePr>
        <xdr:cNvPr id="33" name="Chart 4"/>
        <xdr:cNvGraphicFramePr/>
      </xdr:nvGraphicFramePr>
      <xdr:xfrm>
        <a:off x="606168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34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35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36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37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39</xdr:row>
      <xdr:rowOff>22320</xdr:rowOff>
    </xdr:to>
    <xdr:graphicFrame>
      <xdr:nvGraphicFramePr>
        <xdr:cNvPr id="38" name="Chart 3"/>
        <xdr:cNvGraphicFramePr/>
      </xdr:nvGraphicFramePr>
      <xdr:xfrm>
        <a:off x="14112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39</xdr:row>
      <xdr:rowOff>22320</xdr:rowOff>
    </xdr:to>
    <xdr:graphicFrame>
      <xdr:nvGraphicFramePr>
        <xdr:cNvPr id="39" name="Chart 4"/>
        <xdr:cNvGraphicFramePr/>
      </xdr:nvGraphicFramePr>
      <xdr:xfrm>
        <a:off x="606168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40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54</xdr:row>
      <xdr:rowOff>32760</xdr:rowOff>
    </xdr:to>
    <xdr:graphicFrame>
      <xdr:nvGraphicFramePr>
        <xdr:cNvPr id="41" name="Chart 6"/>
        <xdr:cNvGraphicFramePr/>
      </xdr:nvGraphicFramePr>
      <xdr:xfrm>
        <a:off x="606168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825840</xdr:colOff>
      <xdr:row>22</xdr:row>
      <xdr:rowOff>32400</xdr:rowOff>
    </xdr:to>
    <xdr:graphicFrame>
      <xdr:nvGraphicFramePr>
        <xdr:cNvPr id="42" name="Chart 1"/>
        <xdr:cNvGraphicFramePr/>
      </xdr:nvGraphicFramePr>
      <xdr:xfrm>
        <a:off x="1411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825480</xdr:colOff>
      <xdr:row>22</xdr:row>
      <xdr:rowOff>32400</xdr:rowOff>
    </xdr:to>
    <xdr:graphicFrame>
      <xdr:nvGraphicFramePr>
        <xdr:cNvPr id="43" name="Chart 2"/>
        <xdr:cNvGraphicFramePr/>
      </xdr:nvGraphicFramePr>
      <xdr:xfrm>
        <a:off x="606168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825840</xdr:colOff>
      <xdr:row>38</xdr:row>
      <xdr:rowOff>32760</xdr:rowOff>
    </xdr:to>
    <xdr:graphicFrame>
      <xdr:nvGraphicFramePr>
        <xdr:cNvPr id="44" name="Chart 3"/>
        <xdr:cNvGraphicFramePr/>
      </xdr:nvGraphicFramePr>
      <xdr:xfrm>
        <a:off x="14112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825480</xdr:colOff>
      <xdr:row>38</xdr:row>
      <xdr:rowOff>32760</xdr:rowOff>
    </xdr:to>
    <xdr:graphicFrame>
      <xdr:nvGraphicFramePr>
        <xdr:cNvPr id="45" name="Chart 4"/>
        <xdr:cNvGraphicFramePr/>
      </xdr:nvGraphicFramePr>
      <xdr:xfrm>
        <a:off x="606168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825840</xdr:colOff>
      <xdr:row>54</xdr:row>
      <xdr:rowOff>32760</xdr:rowOff>
    </xdr:to>
    <xdr:graphicFrame>
      <xdr:nvGraphicFramePr>
        <xdr:cNvPr id="46" name="Chart 5"/>
        <xdr:cNvGraphicFramePr/>
      </xdr:nvGraphicFramePr>
      <xdr:xfrm>
        <a:off x="141120" y="8572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825480</xdr:colOff>
      <xdr:row>55</xdr:row>
      <xdr:rowOff>22320</xdr:rowOff>
    </xdr:to>
    <xdr:graphicFrame>
      <xdr:nvGraphicFramePr>
        <xdr:cNvPr id="47" name="Chart 6"/>
        <xdr:cNvGraphicFramePr/>
      </xdr:nvGraphicFramePr>
      <xdr:xfrm>
        <a:off x="6061680" y="8572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12</xdr:col>
      <xdr:colOff>664920</xdr:colOff>
      <xdr:row>23</xdr:row>
      <xdr:rowOff>1080</xdr:rowOff>
    </xdr:to>
    <xdr:graphicFrame>
      <xdr:nvGraphicFramePr>
        <xdr:cNvPr id="48" name="Chart 1"/>
        <xdr:cNvGraphicFramePr/>
      </xdr:nvGraphicFramePr>
      <xdr:xfrm>
        <a:off x="141120" y="1905120"/>
        <a:ext cx="115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" displayName="Table2" ref="A1:V1201" headerRowCount="1" totalsRowCount="0" totalsRowShown="0">
  <autoFilter ref="A1:V1201"/>
  <tableColumns count="22">
    <tableColumn id="1" name="Order_ID"/>
    <tableColumn id="2" name="Customer_ID"/>
    <tableColumn id="3" name="Order_Date"/>
    <tableColumn id="4" name="City"/>
    <tableColumn id="5" name="Customer_Age"/>
    <tableColumn id="6" name="Gender"/>
    <tableColumn id="7" name="Cuisine"/>
    <tableColumn id="8" name="Restaurant_Rating"/>
    <tableColumn id="9" name="Order_Value"/>
    <tableColumn id="10" name="Delivery_Fee"/>
    <tableColumn id="11" name="Discount"/>
    <tableColumn id="12" name="Payment_Method"/>
    <tableColumn id="13" name="Order_Status"/>
    <tableColumn id="14" name="Order_Type"/>
    <tableColumn id="15" name="Delivery_Time_Min"/>
    <tableColumn id="16" name="Distance_KM"/>
    <tableColumn id="17" name="Customer_Rating"/>
    <tableColumn id="18" name="Restaurant_Name"/>
    <tableColumn id="19" name="Gross_Amount"/>
    <tableColumn id="20" name="Net_Amount"/>
    <tableColumn id="21" name="Month"/>
    <tableColumn id="22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</cols>
  <sheetData>
    <row r="2" customFormat="false" ht="43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9.5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  <c r="J5" s="7" t="s">
        <v>6</v>
      </c>
      <c r="K5" s="7"/>
      <c r="L5" s="8" t="s">
        <v>7</v>
      </c>
      <c r="M5" s="8"/>
    </row>
    <row r="6" customFormat="false" ht="36" hidden="false" customHeight="true" outlineLevel="0" collapsed="false">
      <c r="B6" s="9" t="n">
        <f aca="false">COUNTA(d_ID)</f>
        <v>1200</v>
      </c>
      <c r="C6" s="9"/>
      <c r="D6" s="10" t="n">
        <f aca="false">SUMIFS(d_Net,d_Status,"Delivered")</f>
        <v>699950</v>
      </c>
      <c r="E6" s="10"/>
      <c r="F6" s="11" t="n">
        <f aca="false">IFERROR(COUNTIFS(d_Status,"Delivered")/COUNTA(d_ID),0)</f>
        <v>0.659166666666667</v>
      </c>
      <c r="G6" s="11"/>
      <c r="H6" s="12" t="n">
        <f aca="false">IFERROR(COUNTIFS(d_Status,"Cancelled")/COUNTA(d_ID),0)</f>
        <v>0.168333333333333</v>
      </c>
      <c r="I6" s="12"/>
      <c r="J6" s="13" t="n">
        <f aca="false">IFERROR(AVERAGEIFS(d_Time,d_Status,"Delivered"),0)</f>
        <v>41.5309734513274</v>
      </c>
      <c r="K6" s="13"/>
      <c r="L6" s="14" t="n">
        <f aca="false">AVERAGE(d_CRating)</f>
        <v>4.01833333333333</v>
      </c>
      <c r="M6" s="14"/>
    </row>
    <row r="7" customFormat="false" ht="24" hidden="false" customHeight="true" outlineLevel="0" collapsed="false">
      <c r="B7" s="15" t="s">
        <v>8</v>
      </c>
      <c r="C7" s="15"/>
      <c r="D7" s="15" t="s">
        <v>9</v>
      </c>
      <c r="E7" s="15"/>
      <c r="F7" s="15" t="s">
        <v>10</v>
      </c>
      <c r="G7" s="15"/>
      <c r="H7" s="15" t="s">
        <v>11</v>
      </c>
      <c r="I7" s="15"/>
      <c r="J7" s="15" t="s">
        <v>9</v>
      </c>
      <c r="K7" s="15"/>
      <c r="L7" s="15" t="s">
        <v>12</v>
      </c>
      <c r="M7" s="15"/>
    </row>
    <row r="9" customFormat="false" ht="9.75" hidden="false" customHeight="true" outlineLevel="0" collapsed="false"/>
    <row r="10" customFormat="false" ht="21.75" hidden="false" customHeight="true" outlineLevel="0" collapsed="false">
      <c r="B10" s="16" t="s">
        <v>13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2" customFormat="false" ht="24" hidden="false" customHeight="true" outlineLevel="0" collapsed="false">
      <c r="B12" s="17" t="s">
        <v>14</v>
      </c>
      <c r="C12" s="17"/>
      <c r="D12" s="17"/>
      <c r="E12" s="17"/>
      <c r="F12" s="18" t="s">
        <v>15</v>
      </c>
      <c r="G12" s="18"/>
      <c r="H12" s="18"/>
      <c r="I12" s="18"/>
      <c r="J12" s="18"/>
      <c r="K12" s="18"/>
      <c r="L12" s="18"/>
      <c r="M12" s="18"/>
    </row>
    <row r="14" customFormat="false" ht="24" hidden="false" customHeight="true" outlineLevel="0" collapsed="false">
      <c r="B14" s="19" t="s">
        <v>16</v>
      </c>
      <c r="C14" s="19"/>
      <c r="D14" s="19"/>
      <c r="E14" s="19"/>
      <c r="F14" s="18" t="s">
        <v>17</v>
      </c>
      <c r="G14" s="18"/>
      <c r="H14" s="18"/>
      <c r="I14" s="18"/>
      <c r="J14" s="18"/>
      <c r="K14" s="18"/>
      <c r="L14" s="18"/>
      <c r="M14" s="18"/>
    </row>
    <row r="16" customFormat="false" ht="24" hidden="false" customHeight="true" outlineLevel="0" collapsed="false">
      <c r="B16" s="20" t="s">
        <v>18</v>
      </c>
      <c r="C16" s="20"/>
      <c r="D16" s="20"/>
      <c r="E16" s="20"/>
      <c r="F16" s="18" t="s">
        <v>19</v>
      </c>
      <c r="G16" s="18"/>
      <c r="H16" s="18"/>
      <c r="I16" s="18"/>
      <c r="J16" s="18"/>
      <c r="K16" s="18"/>
      <c r="L16" s="18"/>
      <c r="M16" s="18"/>
    </row>
    <row r="18" customFormat="false" ht="24" hidden="false" customHeight="true" outlineLevel="0" collapsed="false">
      <c r="B18" s="21" t="s">
        <v>20</v>
      </c>
      <c r="C18" s="21"/>
      <c r="D18" s="21"/>
      <c r="E18" s="21"/>
      <c r="F18" s="18" t="s">
        <v>21</v>
      </c>
      <c r="G18" s="18"/>
      <c r="H18" s="18"/>
      <c r="I18" s="18"/>
      <c r="J18" s="18"/>
      <c r="K18" s="18"/>
      <c r="L18" s="18"/>
      <c r="M18" s="18"/>
    </row>
    <row r="20" customFormat="false" ht="24" hidden="false" customHeight="true" outlineLevel="0" collapsed="false">
      <c r="B20" s="22" t="s">
        <v>22</v>
      </c>
      <c r="C20" s="22"/>
      <c r="D20" s="22"/>
      <c r="E20" s="22"/>
      <c r="F20" s="18" t="s">
        <v>23</v>
      </c>
      <c r="G20" s="18"/>
      <c r="H20" s="18"/>
      <c r="I20" s="18"/>
      <c r="J20" s="18"/>
      <c r="K20" s="18"/>
      <c r="L20" s="18"/>
      <c r="M20" s="18"/>
    </row>
    <row r="22" customFormat="false" ht="24" hidden="false" customHeight="true" outlineLevel="0" collapsed="false">
      <c r="B22" s="22" t="s">
        <v>24</v>
      </c>
      <c r="C22" s="22"/>
      <c r="D22" s="22"/>
      <c r="E22" s="22"/>
      <c r="F22" s="18" t="s">
        <v>25</v>
      </c>
      <c r="G22" s="18"/>
      <c r="H22" s="18"/>
      <c r="I22" s="18"/>
      <c r="J22" s="18"/>
      <c r="K22" s="18"/>
      <c r="L22" s="18"/>
      <c r="M22" s="18"/>
    </row>
    <row r="24" customFormat="false" ht="24" hidden="false" customHeight="true" outlineLevel="0" collapsed="false">
      <c r="B24" s="23" t="s">
        <v>26</v>
      </c>
      <c r="C24" s="23"/>
      <c r="D24" s="23"/>
      <c r="E24" s="23"/>
      <c r="F24" s="18" t="s">
        <v>27</v>
      </c>
      <c r="G24" s="18"/>
      <c r="H24" s="18"/>
      <c r="I24" s="18"/>
      <c r="J24" s="18"/>
      <c r="K24" s="18"/>
      <c r="L24" s="18"/>
      <c r="M24" s="18"/>
    </row>
    <row r="26" customFormat="false" ht="24" hidden="false" customHeight="true" outlineLevel="0" collapsed="false">
      <c r="B26" s="23" t="s">
        <v>28</v>
      </c>
      <c r="C26" s="23"/>
      <c r="D26" s="23"/>
      <c r="E26" s="23"/>
      <c r="F26" s="18" t="s">
        <v>29</v>
      </c>
      <c r="G26" s="18"/>
      <c r="H26" s="18"/>
      <c r="I26" s="18"/>
      <c r="J26" s="18"/>
      <c r="K26" s="18"/>
      <c r="L26" s="18"/>
      <c r="M26" s="18"/>
    </row>
    <row r="28" customFormat="false" ht="24" hidden="false" customHeight="true" outlineLevel="0" collapsed="false">
      <c r="B28" s="19" t="s">
        <v>30</v>
      </c>
      <c r="C28" s="19"/>
      <c r="D28" s="19"/>
      <c r="E28" s="19"/>
      <c r="F28" s="18" t="s">
        <v>31</v>
      </c>
      <c r="G28" s="18"/>
      <c r="H28" s="18"/>
      <c r="I28" s="18"/>
      <c r="J28" s="18"/>
      <c r="K28" s="18"/>
      <c r="L28" s="18"/>
      <c r="M28" s="18"/>
    </row>
    <row r="31" customFormat="false" ht="21.75" hidden="false" customHeight="true" outlineLevel="0" collapsed="false">
      <c r="B31" s="16" t="s">
        <v>32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customFormat="false" ht="24" hidden="false" customHeight="true" outlineLevel="0" collapsed="false">
      <c r="B32" s="24" t="s">
        <v>33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customFormat="false" ht="24" hidden="false" customHeight="true" outlineLevel="0" collapsed="false">
      <c r="B33" s="24" t="s">
        <v>34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customFormat="false" ht="24" hidden="false" customHeight="true" outlineLevel="0" collapsed="false">
      <c r="B34" s="24" t="s">
        <v>35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customFormat="false" ht="24" hidden="false" customHeight="true" outlineLevel="0" collapsed="false">
      <c r="B35" s="24" t="s">
        <v>36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customFormat="false" ht="24" hidden="false" customHeight="true" outlineLevel="0" collapsed="false">
      <c r="B36" s="24" t="s">
        <v>37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customFormat="false" ht="24" hidden="false" customHeight="true" outlineLevel="0" collapsed="false">
      <c r="B37" s="24" t="s">
        <v>38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customFormat="false" ht="24" hidden="false" customHeight="true" outlineLevel="0" collapsed="false">
      <c r="B38" s="24" t="s">
        <v>39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customFormat="false" ht="24" hidden="false" customHeight="true" outlineLevel="0" collapsed="false">
      <c r="B39" s="24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</sheetData>
  <mergeCells count="48">
    <mergeCell ref="B2:M2"/>
    <mergeCell ref="B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10:M10"/>
    <mergeCell ref="B12:E12"/>
    <mergeCell ref="F12:M12"/>
    <mergeCell ref="B14:E14"/>
    <mergeCell ref="F14:M14"/>
    <mergeCell ref="B16:E16"/>
    <mergeCell ref="F16:M16"/>
    <mergeCell ref="B18:E18"/>
    <mergeCell ref="F18:M18"/>
    <mergeCell ref="B20:E20"/>
    <mergeCell ref="F20:M20"/>
    <mergeCell ref="B22:E22"/>
    <mergeCell ref="F22:M22"/>
    <mergeCell ref="B24:E24"/>
    <mergeCell ref="F24:M24"/>
    <mergeCell ref="B26:E26"/>
    <mergeCell ref="F26:M26"/>
    <mergeCell ref="B28:E28"/>
    <mergeCell ref="F28:M28"/>
    <mergeCell ref="B31:M31"/>
    <mergeCell ref="B32:M32"/>
    <mergeCell ref="B33:M33"/>
    <mergeCell ref="B34:M34"/>
    <mergeCell ref="B35:M35"/>
    <mergeCell ref="B36:M36"/>
    <mergeCell ref="B37:M37"/>
    <mergeCell ref="B38:M38"/>
    <mergeCell ref="B39:M39"/>
  </mergeCells>
  <hyperlinks>
    <hyperlink ref="B12" location="'Order Analytics'!A1" display="1.  Order Analytics"/>
    <hyperlink ref="B14" location="'Restaurant Performance'!A1" display="2.  Restaurant Performance"/>
    <hyperlink ref="B16" location="'Customer Analytics'!A1" display="3.  Customer Analytics"/>
    <hyperlink ref="B18" location="'Delivery Partner Analytics'!A1" display="4.  Delivery Partner Analytics"/>
    <hyperlink ref="B20" location="'Delivery Time'!A1" display="5.  Delivery Time"/>
    <hyperlink ref="B22" location="'Cancellation Analysis'!A1" display="6.  Cancellation Analysis"/>
    <hyperlink ref="B24" location="'Rating &amp; Review'!A1" display="7.  Rating &amp; Review"/>
    <hyperlink ref="B26" location="'Revenue Dashboard'!A1" display="8.  Revenue Dashboard"/>
    <hyperlink ref="B28" location="'Explorer'!A1" display="9.  Explor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DD8"/>
    <pageSetUpPr fitToPage="false"/>
  </sheetPr>
  <dimension ref="B1:T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41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42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2</v>
      </c>
      <c r="C5" s="3"/>
      <c r="D5" s="4" t="s">
        <v>50</v>
      </c>
      <c r="E5" s="4"/>
      <c r="F5" s="7" t="s">
        <v>51</v>
      </c>
      <c r="G5" s="7"/>
      <c r="H5" s="6" t="s">
        <v>52</v>
      </c>
      <c r="I5" s="6"/>
      <c r="J5" s="8" t="s">
        <v>53</v>
      </c>
      <c r="K5" s="8"/>
      <c r="L5" s="5" t="s">
        <v>54</v>
      </c>
      <c r="M5" s="5"/>
    </row>
    <row r="6" customFormat="false" ht="36" hidden="false" customHeight="true" outlineLevel="0" collapsed="false">
      <c r="B6" s="9" t="n">
        <f aca="false">COUNTIFS(d_ID,"&lt;&gt;",d_Year,$P$4,d_City,$Q$4,d_Cuisine,$R$4,d_Pay,$S$4,d_Type,$T$4)</f>
        <v>1200</v>
      </c>
      <c r="C6" s="9"/>
      <c r="D6" s="31" t="n">
        <f aca="false">COUNTIFS(d_Status,"Delivered",d_Year,$P$4,d_City,$Q$4,d_Cuisine,$R$4,d_Pay,$S$4,d_Type,$T$4)</f>
        <v>791</v>
      </c>
      <c r="E6" s="31"/>
      <c r="F6" s="32" t="n">
        <f aca="false">COUNTIFS(d_Status,"Pending",d_Year,$P$4,d_City,$Q$4,d_Cuisine,$R$4,d_Pay,$S$4,d_Type,$T$4)</f>
        <v>207</v>
      </c>
      <c r="G6" s="32"/>
      <c r="H6" s="33" t="n">
        <f aca="false">COUNTIFS(d_Status,"Cancelled",d_Year,$P$4,d_City,$Q$4,d_Cuisine,$R$4,d_Pay,$S$4,d_Type,$T$4)</f>
        <v>202</v>
      </c>
      <c r="I6" s="33"/>
      <c r="J6" s="34" t="n">
        <f aca="false">AVERAGEIFS(d_OV,d_ID,"&lt;&gt;",d_Year,$P$4,d_City,$Q$4,d_Cuisine,$R$4,d_Pay,$S$4,d_Type,$T$4)</f>
        <v>931.2875</v>
      </c>
      <c r="K6" s="34"/>
      <c r="L6" s="11" t="n">
        <f aca="false">IFERROR(COUNTIFS(d_Type,"Delivery",d_Year,$P$4,d_City,$Q$4,d_Cuisine,$R$4,d_Pay,$S$4,d_Type,$T$4)/COUNTIFS(d_ID,"&lt;&gt;",d_Year,$P$4,d_City,$Q$4,d_Cuisine,$R$4,d_Pay,$S$4,d_Type,$T$4),0)</f>
        <v>0.734166666666667</v>
      </c>
      <c r="M6" s="11"/>
    </row>
    <row r="7" customFormat="false" ht="24" hidden="false" customHeight="true" outlineLevel="0" collapsed="false">
      <c r="B7" s="15" t="s">
        <v>8</v>
      </c>
      <c r="C7" s="15"/>
      <c r="D7" s="15" t="s">
        <v>55</v>
      </c>
      <c r="E7" s="15"/>
      <c r="F7" s="15" t="s">
        <v>56</v>
      </c>
      <c r="G7" s="15"/>
      <c r="H7" s="15" t="s">
        <v>57</v>
      </c>
      <c r="I7" s="15"/>
      <c r="J7" s="15" t="s">
        <v>58</v>
      </c>
      <c r="K7" s="15"/>
      <c r="L7" s="15" t="s">
        <v>59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61</v>
      </c>
    </row>
    <row r="60" customFormat="false" ht="30" hidden="false" customHeight="true" outlineLevel="0" collapsed="false">
      <c r="B60" s="36" t="s">
        <v>62</v>
      </c>
      <c r="C60" s="37" t="s">
        <v>63</v>
      </c>
      <c r="D60" s="37" t="s">
        <v>64</v>
      </c>
      <c r="E60" s="37" t="s">
        <v>65</v>
      </c>
      <c r="F60" s="37" t="s">
        <v>66</v>
      </c>
      <c r="G60" s="37" t="s">
        <v>67</v>
      </c>
      <c r="H60" s="37" t="s">
        <v>68</v>
      </c>
    </row>
    <row r="61" customFormat="false" ht="15" hidden="false" customHeight="false" outlineLevel="0" collapsed="false">
      <c r="B61" s="38" t="str">
        <f aca="false">TEXT(C61,"mmm-yy")</f>
        <v>Jan-25</v>
      </c>
      <c r="C61" s="39" t="n">
        <v>45658</v>
      </c>
      <c r="D61" s="40" t="n">
        <f aca="false">COUNTIFS(d_Date,"&gt;="&amp;$C61,d_Date,"&lt;"&amp;EDATE($C61,1),d_Year,$P$4,d_City,$Q$4,d_Cuisine,$R$4,d_Pay,$S$4,d_Type,$T$4)</f>
        <v>93</v>
      </c>
      <c r="E61" s="40" t="n">
        <f aca="false">COUNTIFS(d_Date,"&gt;="&amp;$C61,d_Date,"&lt;"&amp;EDATE($C61,1),d_Status,"Delivered",d_Year,$P$4,d_City,$Q$4,d_Cuisine,$R$4,d_Pay,$S$4,d_Type,$T$4)</f>
        <v>66</v>
      </c>
      <c r="F61" s="40" t="n">
        <f aca="false">COUNTIFS(d_Date,"&gt;="&amp;$C61,d_Date,"&lt;"&amp;EDATE($C61,1),d_Status,"Pending",d_Year,$P$4,d_City,$Q$4,d_Cuisine,$R$4,d_Pay,$S$4,d_Type,$T$4)</f>
        <v>12</v>
      </c>
      <c r="G61" s="40" t="n">
        <f aca="false">COUNTIFS(d_Date,"&gt;="&amp;$C61,d_Date,"&lt;"&amp;EDATE($C61,1),d_Status,"Cancelled",d_Year,$P$4,d_City,$Q$4,d_Cuisine,$R$4,d_Pay,$S$4,d_Type,$T$4)</f>
        <v>15</v>
      </c>
      <c r="H61" s="41" t="n">
        <f aca="false">IFERROR(AVERAGEIFS(d_OV,d_Date,"&gt;="&amp;$C61,d_Date,"&lt;"&amp;EDATE($C61,1),d_Year,$P$4,d_City,$Q$4,d_Cuisine,$R$4,d_Pay,$S$4,d_Type,$T$4),0)</f>
        <v>919.655913978495</v>
      </c>
    </row>
    <row r="62" customFormat="false" ht="15" hidden="false" customHeight="false" outlineLevel="0" collapsed="false">
      <c r="B62" s="42" t="str">
        <f aca="false">TEXT(C62,"mmm-yy")</f>
        <v>Feb-25</v>
      </c>
      <c r="C62" s="43" t="n">
        <v>45689</v>
      </c>
      <c r="D62" s="44" t="n">
        <f aca="false">COUNTIFS(d_Date,"&gt;="&amp;$C62,d_Date,"&lt;"&amp;EDATE($C62,1),d_Year,$P$4,d_City,$Q$4,d_Cuisine,$R$4,d_Pay,$S$4,d_Type,$T$4)</f>
        <v>84</v>
      </c>
      <c r="E62" s="44" t="n">
        <f aca="false">COUNTIFS(d_Date,"&gt;="&amp;$C62,d_Date,"&lt;"&amp;EDATE($C62,1),d_Status,"Delivered",d_Year,$P$4,d_City,$Q$4,d_Cuisine,$R$4,d_Pay,$S$4,d_Type,$T$4)</f>
        <v>48</v>
      </c>
      <c r="F62" s="44" t="n">
        <f aca="false">COUNTIFS(d_Date,"&gt;="&amp;$C62,d_Date,"&lt;"&amp;EDATE($C62,1),d_Status,"Pending",d_Year,$P$4,d_City,$Q$4,d_Cuisine,$R$4,d_Pay,$S$4,d_Type,$T$4)</f>
        <v>21</v>
      </c>
      <c r="G62" s="44" t="n">
        <f aca="false">COUNTIFS(d_Date,"&gt;="&amp;$C62,d_Date,"&lt;"&amp;EDATE($C62,1),d_Status,"Cancelled",d_Year,$P$4,d_City,$Q$4,d_Cuisine,$R$4,d_Pay,$S$4,d_Type,$T$4)</f>
        <v>15</v>
      </c>
      <c r="H62" s="45" t="n">
        <f aca="false">IFERROR(AVERAGEIFS(d_OV,d_Date,"&gt;="&amp;$C62,d_Date,"&lt;"&amp;EDATE($C62,1),d_Year,$P$4,d_City,$Q$4,d_Cuisine,$R$4,d_Pay,$S$4,d_Type,$T$4),0)</f>
        <v>942.976190476191</v>
      </c>
    </row>
    <row r="63" customFormat="false" ht="15" hidden="false" customHeight="false" outlineLevel="0" collapsed="false">
      <c r="B63" s="38" t="str">
        <f aca="false">TEXT(C63,"mmm-yy")</f>
        <v>Mar-25</v>
      </c>
      <c r="C63" s="39" t="n">
        <v>45717</v>
      </c>
      <c r="D63" s="40" t="n">
        <f aca="false">COUNTIFS(d_Date,"&gt;="&amp;$C63,d_Date,"&lt;"&amp;EDATE($C63,1),d_Year,$P$4,d_City,$Q$4,d_Cuisine,$R$4,d_Pay,$S$4,d_Type,$T$4)</f>
        <v>93</v>
      </c>
      <c r="E63" s="40" t="n">
        <f aca="false">COUNTIFS(d_Date,"&gt;="&amp;$C63,d_Date,"&lt;"&amp;EDATE($C63,1),d_Status,"Delivered",d_Year,$P$4,d_City,$Q$4,d_Cuisine,$R$4,d_Pay,$S$4,d_Type,$T$4)</f>
        <v>55</v>
      </c>
      <c r="F63" s="40" t="n">
        <f aca="false">COUNTIFS(d_Date,"&gt;="&amp;$C63,d_Date,"&lt;"&amp;EDATE($C63,1),d_Status,"Pending",d_Year,$P$4,d_City,$Q$4,d_Cuisine,$R$4,d_Pay,$S$4,d_Type,$T$4)</f>
        <v>19</v>
      </c>
      <c r="G63" s="40" t="n">
        <f aca="false">COUNTIFS(d_Date,"&gt;="&amp;$C63,d_Date,"&lt;"&amp;EDATE($C63,1),d_Status,"Cancelled",d_Year,$P$4,d_City,$Q$4,d_Cuisine,$R$4,d_Pay,$S$4,d_Type,$T$4)</f>
        <v>19</v>
      </c>
      <c r="H63" s="41" t="n">
        <f aca="false">IFERROR(AVERAGEIFS(d_OV,d_Date,"&gt;="&amp;$C63,d_Date,"&lt;"&amp;EDATE($C63,1),d_Year,$P$4,d_City,$Q$4,d_Cuisine,$R$4,d_Pay,$S$4,d_Type,$T$4),0)</f>
        <v>969.89247311828</v>
      </c>
    </row>
    <row r="64" customFormat="false" ht="15" hidden="false" customHeight="false" outlineLevel="0" collapsed="false">
      <c r="B64" s="42" t="str">
        <f aca="false">TEXT(C64,"mmm-yy")</f>
        <v>Apr-25</v>
      </c>
      <c r="C64" s="43" t="n">
        <v>45748</v>
      </c>
      <c r="D64" s="44" t="n">
        <f aca="false">COUNTIFS(d_Date,"&gt;="&amp;$C64,d_Date,"&lt;"&amp;EDATE($C64,1),d_Year,$P$4,d_City,$Q$4,d_Cuisine,$R$4,d_Pay,$S$4,d_Type,$T$4)</f>
        <v>90</v>
      </c>
      <c r="E64" s="44" t="n">
        <f aca="false">COUNTIFS(d_Date,"&gt;="&amp;$C64,d_Date,"&lt;"&amp;EDATE($C64,1),d_Status,"Delivered",d_Year,$P$4,d_City,$Q$4,d_Cuisine,$R$4,d_Pay,$S$4,d_Type,$T$4)</f>
        <v>61</v>
      </c>
      <c r="F64" s="44" t="n">
        <f aca="false">COUNTIFS(d_Date,"&gt;="&amp;$C64,d_Date,"&lt;"&amp;EDATE($C64,1),d_Status,"Pending",d_Year,$P$4,d_City,$Q$4,d_Cuisine,$R$4,d_Pay,$S$4,d_Type,$T$4)</f>
        <v>12</v>
      </c>
      <c r="G64" s="44" t="n">
        <f aca="false">COUNTIFS(d_Date,"&gt;="&amp;$C64,d_Date,"&lt;"&amp;EDATE($C64,1),d_Status,"Cancelled",d_Year,$P$4,d_City,$Q$4,d_Cuisine,$R$4,d_Pay,$S$4,d_Type,$T$4)</f>
        <v>17</v>
      </c>
      <c r="H64" s="45" t="n">
        <f aca="false">IFERROR(AVERAGEIFS(d_OV,d_Date,"&gt;="&amp;$C64,d_Date,"&lt;"&amp;EDATE($C64,1),d_Year,$P$4,d_City,$Q$4,d_Cuisine,$R$4,d_Pay,$S$4,d_Type,$T$4),0)</f>
        <v>883.055555555556</v>
      </c>
    </row>
    <row r="65" customFormat="false" ht="15" hidden="false" customHeight="false" outlineLevel="0" collapsed="false">
      <c r="B65" s="38" t="str">
        <f aca="false">TEXT(C65,"mmm-yy")</f>
        <v>May-25</v>
      </c>
      <c r="C65" s="39" t="n">
        <v>45778</v>
      </c>
      <c r="D65" s="40" t="n">
        <f aca="false">COUNTIFS(d_Date,"&gt;="&amp;$C65,d_Date,"&lt;"&amp;EDATE($C65,1),d_Year,$P$4,d_City,$Q$4,d_Cuisine,$R$4,d_Pay,$S$4,d_Type,$T$4)</f>
        <v>93</v>
      </c>
      <c r="E65" s="40" t="n">
        <f aca="false">COUNTIFS(d_Date,"&gt;="&amp;$C65,d_Date,"&lt;"&amp;EDATE($C65,1),d_Status,"Delivered",d_Year,$P$4,d_City,$Q$4,d_Cuisine,$R$4,d_Pay,$S$4,d_Type,$T$4)</f>
        <v>59</v>
      </c>
      <c r="F65" s="40" t="n">
        <f aca="false">COUNTIFS(d_Date,"&gt;="&amp;$C65,d_Date,"&lt;"&amp;EDATE($C65,1),d_Status,"Pending",d_Year,$P$4,d_City,$Q$4,d_Cuisine,$R$4,d_Pay,$S$4,d_Type,$T$4)</f>
        <v>18</v>
      </c>
      <c r="G65" s="40" t="n">
        <f aca="false">COUNTIFS(d_Date,"&gt;="&amp;$C65,d_Date,"&lt;"&amp;EDATE($C65,1),d_Status,"Cancelled",d_Year,$P$4,d_City,$Q$4,d_Cuisine,$R$4,d_Pay,$S$4,d_Type,$T$4)</f>
        <v>16</v>
      </c>
      <c r="H65" s="41" t="n">
        <f aca="false">IFERROR(AVERAGEIFS(d_OV,d_Date,"&gt;="&amp;$C65,d_Date,"&lt;"&amp;EDATE($C65,1),d_Year,$P$4,d_City,$Q$4,d_Cuisine,$R$4,d_Pay,$S$4,d_Type,$T$4),0)</f>
        <v>921.978494623656</v>
      </c>
    </row>
    <row r="66" customFormat="false" ht="15" hidden="false" customHeight="false" outlineLevel="0" collapsed="false">
      <c r="B66" s="42" t="str">
        <f aca="false">TEXT(C66,"mmm-yy")</f>
        <v>Jun-25</v>
      </c>
      <c r="C66" s="43" t="n">
        <v>45809</v>
      </c>
      <c r="D66" s="44" t="n">
        <f aca="false">COUNTIFS(d_Date,"&gt;="&amp;$C66,d_Date,"&lt;"&amp;EDATE($C66,1),d_Year,$P$4,d_City,$Q$4,d_Cuisine,$R$4,d_Pay,$S$4,d_Type,$T$4)</f>
        <v>90</v>
      </c>
      <c r="E66" s="44" t="n">
        <f aca="false">COUNTIFS(d_Date,"&gt;="&amp;$C66,d_Date,"&lt;"&amp;EDATE($C66,1),d_Status,"Delivered",d_Year,$P$4,d_City,$Q$4,d_Cuisine,$R$4,d_Pay,$S$4,d_Type,$T$4)</f>
        <v>58</v>
      </c>
      <c r="F66" s="44" t="n">
        <f aca="false">COUNTIFS(d_Date,"&gt;="&amp;$C66,d_Date,"&lt;"&amp;EDATE($C66,1),d_Status,"Pending",d_Year,$P$4,d_City,$Q$4,d_Cuisine,$R$4,d_Pay,$S$4,d_Type,$T$4)</f>
        <v>13</v>
      </c>
      <c r="G66" s="44" t="n">
        <f aca="false">COUNTIFS(d_Date,"&gt;="&amp;$C66,d_Date,"&lt;"&amp;EDATE($C66,1),d_Status,"Cancelled",d_Year,$P$4,d_City,$Q$4,d_Cuisine,$R$4,d_Pay,$S$4,d_Type,$T$4)</f>
        <v>19</v>
      </c>
      <c r="H66" s="45" t="n">
        <f aca="false">IFERROR(AVERAGEIFS(d_OV,d_Date,"&gt;="&amp;$C66,d_Date,"&lt;"&amp;EDATE($C66,1),d_Year,$P$4,d_City,$Q$4,d_Cuisine,$R$4,d_Pay,$S$4,d_Type,$T$4),0)</f>
        <v>997.966666666667</v>
      </c>
    </row>
    <row r="67" customFormat="false" ht="15" hidden="false" customHeight="false" outlineLevel="0" collapsed="false">
      <c r="B67" s="38" t="str">
        <f aca="false">TEXT(C67,"mmm-yy")</f>
        <v>Jul-25</v>
      </c>
      <c r="C67" s="39" t="n">
        <v>45839</v>
      </c>
      <c r="D67" s="40" t="n">
        <f aca="false">COUNTIFS(d_Date,"&gt;="&amp;$C67,d_Date,"&lt;"&amp;EDATE($C67,1),d_Year,$P$4,d_City,$Q$4,d_Cuisine,$R$4,d_Pay,$S$4,d_Type,$T$4)</f>
        <v>93</v>
      </c>
      <c r="E67" s="40" t="n">
        <f aca="false">COUNTIFS(d_Date,"&gt;="&amp;$C67,d_Date,"&lt;"&amp;EDATE($C67,1),d_Status,"Delivered",d_Year,$P$4,d_City,$Q$4,d_Cuisine,$R$4,d_Pay,$S$4,d_Type,$T$4)</f>
        <v>59</v>
      </c>
      <c r="F67" s="40" t="n">
        <f aca="false">COUNTIFS(d_Date,"&gt;="&amp;$C67,d_Date,"&lt;"&amp;EDATE($C67,1),d_Status,"Pending",d_Year,$P$4,d_City,$Q$4,d_Cuisine,$R$4,d_Pay,$S$4,d_Type,$T$4)</f>
        <v>18</v>
      </c>
      <c r="G67" s="40" t="n">
        <f aca="false">COUNTIFS(d_Date,"&gt;="&amp;$C67,d_Date,"&lt;"&amp;EDATE($C67,1),d_Status,"Cancelled",d_Year,$P$4,d_City,$Q$4,d_Cuisine,$R$4,d_Pay,$S$4,d_Type,$T$4)</f>
        <v>16</v>
      </c>
      <c r="H67" s="41" t="n">
        <f aca="false">IFERROR(AVERAGEIFS(d_OV,d_Date,"&gt;="&amp;$C67,d_Date,"&lt;"&amp;EDATE($C67,1),d_Year,$P$4,d_City,$Q$4,d_Cuisine,$R$4,d_Pay,$S$4,d_Type,$T$4),0)</f>
        <v>989.215053763441</v>
      </c>
    </row>
    <row r="68" customFormat="false" ht="15" hidden="false" customHeight="false" outlineLevel="0" collapsed="false">
      <c r="B68" s="42" t="str">
        <f aca="false">TEXT(C68,"mmm-yy")</f>
        <v>Aug-25</v>
      </c>
      <c r="C68" s="43" t="n">
        <v>45870</v>
      </c>
      <c r="D68" s="44" t="n">
        <f aca="false">COUNTIFS(d_Date,"&gt;="&amp;$C68,d_Date,"&lt;"&amp;EDATE($C68,1),d_Year,$P$4,d_City,$Q$4,d_Cuisine,$R$4,d_Pay,$S$4,d_Type,$T$4)</f>
        <v>93</v>
      </c>
      <c r="E68" s="44" t="n">
        <f aca="false">COUNTIFS(d_Date,"&gt;="&amp;$C68,d_Date,"&lt;"&amp;EDATE($C68,1),d_Status,"Delivered",d_Year,$P$4,d_City,$Q$4,d_Cuisine,$R$4,d_Pay,$S$4,d_Type,$T$4)</f>
        <v>70</v>
      </c>
      <c r="F68" s="44" t="n">
        <f aca="false">COUNTIFS(d_Date,"&gt;="&amp;$C68,d_Date,"&lt;"&amp;EDATE($C68,1),d_Status,"Pending",d_Year,$P$4,d_City,$Q$4,d_Cuisine,$R$4,d_Pay,$S$4,d_Type,$T$4)</f>
        <v>11</v>
      </c>
      <c r="G68" s="44" t="n">
        <f aca="false">COUNTIFS(d_Date,"&gt;="&amp;$C68,d_Date,"&lt;"&amp;EDATE($C68,1),d_Status,"Cancelled",d_Year,$P$4,d_City,$Q$4,d_Cuisine,$R$4,d_Pay,$S$4,d_Type,$T$4)</f>
        <v>12</v>
      </c>
      <c r="H68" s="45" t="n">
        <f aca="false">IFERROR(AVERAGEIFS(d_OV,d_Date,"&gt;="&amp;$C68,d_Date,"&lt;"&amp;EDATE($C68,1),d_Year,$P$4,d_City,$Q$4,d_Cuisine,$R$4,d_Pay,$S$4,d_Type,$T$4),0)</f>
        <v>876.881720430108</v>
      </c>
    </row>
    <row r="69" customFormat="false" ht="15" hidden="false" customHeight="false" outlineLevel="0" collapsed="false">
      <c r="B69" s="38" t="str">
        <f aca="false">TEXT(C69,"mmm-yy")</f>
        <v>Sep-25</v>
      </c>
      <c r="C69" s="39" t="n">
        <v>45901</v>
      </c>
      <c r="D69" s="40" t="n">
        <f aca="false">COUNTIFS(d_Date,"&gt;="&amp;$C69,d_Date,"&lt;"&amp;EDATE($C69,1),d_Year,$P$4,d_City,$Q$4,d_Cuisine,$R$4,d_Pay,$S$4,d_Type,$T$4)</f>
        <v>90</v>
      </c>
      <c r="E69" s="40" t="n">
        <f aca="false">COUNTIFS(d_Date,"&gt;="&amp;$C69,d_Date,"&lt;"&amp;EDATE($C69,1),d_Status,"Delivered",d_Year,$P$4,d_City,$Q$4,d_Cuisine,$R$4,d_Pay,$S$4,d_Type,$T$4)</f>
        <v>60</v>
      </c>
      <c r="F69" s="40" t="n">
        <f aca="false">COUNTIFS(d_Date,"&gt;="&amp;$C69,d_Date,"&lt;"&amp;EDATE($C69,1),d_Status,"Pending",d_Year,$P$4,d_City,$Q$4,d_Cuisine,$R$4,d_Pay,$S$4,d_Type,$T$4)</f>
        <v>14</v>
      </c>
      <c r="G69" s="40" t="n">
        <f aca="false">COUNTIFS(d_Date,"&gt;="&amp;$C69,d_Date,"&lt;"&amp;EDATE($C69,1),d_Status,"Cancelled",d_Year,$P$4,d_City,$Q$4,d_Cuisine,$R$4,d_Pay,$S$4,d_Type,$T$4)</f>
        <v>16</v>
      </c>
      <c r="H69" s="41" t="n">
        <f aca="false">IFERROR(AVERAGEIFS(d_OV,d_Date,"&gt;="&amp;$C69,d_Date,"&lt;"&amp;EDATE($C69,1),d_Year,$P$4,d_City,$Q$4,d_Cuisine,$R$4,d_Pay,$S$4,d_Type,$T$4),0)</f>
        <v>910.433333333333</v>
      </c>
    </row>
    <row r="70" customFormat="false" ht="15" hidden="false" customHeight="false" outlineLevel="0" collapsed="false">
      <c r="B70" s="42" t="str">
        <f aca="false">TEXT(C70,"mmm-yy")</f>
        <v>Oct-25</v>
      </c>
      <c r="C70" s="43" t="n">
        <v>45931</v>
      </c>
      <c r="D70" s="44" t="n">
        <f aca="false">COUNTIFS(d_Date,"&gt;="&amp;$C70,d_Date,"&lt;"&amp;EDATE($C70,1),d_Year,$P$4,d_City,$Q$4,d_Cuisine,$R$4,d_Pay,$S$4,d_Type,$T$4)</f>
        <v>93</v>
      </c>
      <c r="E70" s="44" t="n">
        <f aca="false">COUNTIFS(d_Date,"&gt;="&amp;$C70,d_Date,"&lt;"&amp;EDATE($C70,1),d_Status,"Delivered",d_Year,$P$4,d_City,$Q$4,d_Cuisine,$R$4,d_Pay,$S$4,d_Type,$T$4)</f>
        <v>63</v>
      </c>
      <c r="F70" s="44" t="n">
        <f aca="false">COUNTIFS(d_Date,"&gt;="&amp;$C70,d_Date,"&lt;"&amp;EDATE($C70,1),d_Status,"Pending",d_Year,$P$4,d_City,$Q$4,d_Cuisine,$R$4,d_Pay,$S$4,d_Type,$T$4)</f>
        <v>15</v>
      </c>
      <c r="G70" s="44" t="n">
        <f aca="false">COUNTIFS(d_Date,"&gt;="&amp;$C70,d_Date,"&lt;"&amp;EDATE($C70,1),d_Status,"Cancelled",d_Year,$P$4,d_City,$Q$4,d_Cuisine,$R$4,d_Pay,$S$4,d_Type,$T$4)</f>
        <v>15</v>
      </c>
      <c r="H70" s="45" t="n">
        <f aca="false">IFERROR(AVERAGEIFS(d_OV,d_Date,"&gt;="&amp;$C70,d_Date,"&lt;"&amp;EDATE($C70,1),d_Year,$P$4,d_City,$Q$4,d_Cuisine,$R$4,d_Pay,$S$4,d_Type,$T$4),0)</f>
        <v>937.032258064516</v>
      </c>
    </row>
    <row r="71" customFormat="false" ht="15" hidden="false" customHeight="false" outlineLevel="0" collapsed="false">
      <c r="B71" s="38" t="str">
        <f aca="false">TEXT(C71,"mmm-yy")</f>
        <v>Nov-25</v>
      </c>
      <c r="C71" s="39" t="n">
        <v>45962</v>
      </c>
      <c r="D71" s="40" t="n">
        <f aca="false">COUNTIFS(d_Date,"&gt;="&amp;$C71,d_Date,"&lt;"&amp;EDATE($C71,1),d_Year,$P$4,d_City,$Q$4,d_Cuisine,$R$4,d_Pay,$S$4,d_Type,$T$4)</f>
        <v>90</v>
      </c>
      <c r="E71" s="40" t="n">
        <f aca="false">COUNTIFS(d_Date,"&gt;="&amp;$C71,d_Date,"&lt;"&amp;EDATE($C71,1),d_Status,"Delivered",d_Year,$P$4,d_City,$Q$4,d_Cuisine,$R$4,d_Pay,$S$4,d_Type,$T$4)</f>
        <v>61</v>
      </c>
      <c r="F71" s="40" t="n">
        <f aca="false">COUNTIFS(d_Date,"&gt;="&amp;$C71,d_Date,"&lt;"&amp;EDATE($C71,1),d_Status,"Pending",d_Year,$P$4,d_City,$Q$4,d_Cuisine,$R$4,d_Pay,$S$4,d_Type,$T$4)</f>
        <v>14</v>
      </c>
      <c r="G71" s="40" t="n">
        <f aca="false">COUNTIFS(d_Date,"&gt;="&amp;$C71,d_Date,"&lt;"&amp;EDATE($C71,1),d_Status,"Cancelled",d_Year,$P$4,d_City,$Q$4,d_Cuisine,$R$4,d_Pay,$S$4,d_Type,$T$4)</f>
        <v>15</v>
      </c>
      <c r="H71" s="41" t="n">
        <f aca="false">IFERROR(AVERAGEIFS(d_OV,d_Date,"&gt;="&amp;$C71,d_Date,"&lt;"&amp;EDATE($C71,1),d_Year,$P$4,d_City,$Q$4,d_Cuisine,$R$4,d_Pay,$S$4,d_Type,$T$4),0)</f>
        <v>951.566666666667</v>
      </c>
    </row>
    <row r="72" customFormat="false" ht="15" hidden="false" customHeight="false" outlineLevel="0" collapsed="false">
      <c r="B72" s="42" t="str">
        <f aca="false">TEXT(C72,"mmm-yy")</f>
        <v>Dec-25</v>
      </c>
      <c r="C72" s="43" t="n">
        <v>45992</v>
      </c>
      <c r="D72" s="44" t="n">
        <f aca="false">COUNTIFS(d_Date,"&gt;="&amp;$C72,d_Date,"&lt;"&amp;EDATE($C72,1),d_Year,$P$4,d_City,$Q$4,d_Cuisine,$R$4,d_Pay,$S$4,d_Type,$T$4)</f>
        <v>93</v>
      </c>
      <c r="E72" s="44" t="n">
        <f aca="false">COUNTIFS(d_Date,"&gt;="&amp;$C72,d_Date,"&lt;"&amp;EDATE($C72,1),d_Status,"Delivered",d_Year,$P$4,d_City,$Q$4,d_Cuisine,$R$4,d_Pay,$S$4,d_Type,$T$4)</f>
        <v>61</v>
      </c>
      <c r="F72" s="44" t="n">
        <f aca="false">COUNTIFS(d_Date,"&gt;="&amp;$C72,d_Date,"&lt;"&amp;EDATE($C72,1),d_Status,"Pending",d_Year,$P$4,d_City,$Q$4,d_Cuisine,$R$4,d_Pay,$S$4,d_Type,$T$4)</f>
        <v>16</v>
      </c>
      <c r="G72" s="44" t="n">
        <f aca="false">COUNTIFS(d_Date,"&gt;="&amp;$C72,d_Date,"&lt;"&amp;EDATE($C72,1),d_Status,"Cancelled",d_Year,$P$4,d_City,$Q$4,d_Cuisine,$R$4,d_Pay,$S$4,d_Type,$T$4)</f>
        <v>16</v>
      </c>
      <c r="H72" s="45" t="n">
        <f aca="false">IFERROR(AVERAGEIFS(d_OV,d_Date,"&gt;="&amp;$C72,d_Date,"&lt;"&amp;EDATE($C72,1),d_Year,$P$4,d_City,$Q$4,d_Cuisine,$R$4,d_Pay,$S$4,d_Type,$T$4),0)</f>
        <v>946.569892473118</v>
      </c>
    </row>
    <row r="73" customFormat="false" ht="15" hidden="false" customHeight="false" outlineLevel="0" collapsed="false">
      <c r="B73" s="38" t="str">
        <f aca="false">TEXT(C73,"mmm-yy")</f>
        <v>Jan-26</v>
      </c>
      <c r="C73" s="39" t="n">
        <v>46023</v>
      </c>
      <c r="D73" s="40" t="n">
        <f aca="false">COUNTIFS(d_Date,"&gt;="&amp;$C73,d_Date,"&lt;"&amp;EDATE($C73,1),d_Year,$P$4,d_City,$Q$4,d_Cuisine,$R$4,d_Pay,$S$4,d_Type,$T$4)</f>
        <v>93</v>
      </c>
      <c r="E73" s="40" t="n">
        <f aca="false">COUNTIFS(d_Date,"&gt;="&amp;$C73,d_Date,"&lt;"&amp;EDATE($C73,1),d_Status,"Delivered",d_Year,$P$4,d_City,$Q$4,d_Cuisine,$R$4,d_Pay,$S$4,d_Type,$T$4)</f>
        <v>63</v>
      </c>
      <c r="F73" s="40" t="n">
        <f aca="false">COUNTIFS(d_Date,"&gt;="&amp;$C73,d_Date,"&lt;"&amp;EDATE($C73,1),d_Status,"Pending",d_Year,$P$4,d_City,$Q$4,d_Cuisine,$R$4,d_Pay,$S$4,d_Type,$T$4)</f>
        <v>20</v>
      </c>
      <c r="G73" s="40" t="n">
        <f aca="false">COUNTIFS(d_Date,"&gt;="&amp;$C73,d_Date,"&lt;"&amp;EDATE($C73,1),d_Status,"Cancelled",d_Year,$P$4,d_City,$Q$4,d_Cuisine,$R$4,d_Pay,$S$4,d_Type,$T$4)</f>
        <v>10</v>
      </c>
      <c r="H73" s="41" t="n">
        <f aca="false">IFERROR(AVERAGEIFS(d_OV,d_Date,"&gt;="&amp;$C73,d_Date,"&lt;"&amp;EDATE($C73,1),d_Year,$P$4,d_City,$Q$4,d_Cuisine,$R$4,d_Pay,$S$4,d_Type,$T$4),0)</f>
        <v>893.978494623656</v>
      </c>
    </row>
    <row r="74" customFormat="false" ht="15" hidden="false" customHeight="false" outlineLevel="0" collapsed="false">
      <c r="B74" s="42" t="str">
        <f aca="false">TEXT(C74,"mmm-yy")</f>
        <v>Feb-26</v>
      </c>
      <c r="C74" s="43" t="n">
        <v>46054</v>
      </c>
      <c r="D74" s="44" t="n">
        <f aca="false">COUNTIFS(d_Date,"&gt;="&amp;$C74,d_Date,"&lt;"&amp;EDATE($C74,1),d_Year,$P$4,d_City,$Q$4,d_Cuisine,$R$4,d_Pay,$S$4,d_Type,$T$4)</f>
        <v>12</v>
      </c>
      <c r="E74" s="44" t="n">
        <f aca="false">COUNTIFS(d_Date,"&gt;="&amp;$C74,d_Date,"&lt;"&amp;EDATE($C74,1),d_Status,"Delivered",d_Year,$P$4,d_City,$Q$4,d_Cuisine,$R$4,d_Pay,$S$4,d_Type,$T$4)</f>
        <v>7</v>
      </c>
      <c r="F74" s="44" t="n">
        <f aca="false">COUNTIFS(d_Date,"&gt;="&amp;$C74,d_Date,"&lt;"&amp;EDATE($C74,1),d_Status,"Pending",d_Year,$P$4,d_City,$Q$4,d_Cuisine,$R$4,d_Pay,$S$4,d_Type,$T$4)</f>
        <v>4</v>
      </c>
      <c r="G74" s="44" t="n">
        <f aca="false">COUNTIFS(d_Date,"&gt;="&amp;$C74,d_Date,"&lt;"&amp;EDATE($C74,1),d_Status,"Cancelled",d_Year,$P$4,d_City,$Q$4,d_Cuisine,$R$4,d_Pay,$S$4,d_Type,$T$4)</f>
        <v>1</v>
      </c>
      <c r="H74" s="45" t="n">
        <f aca="false">IFERROR(AVERAGEIFS(d_OV,d_Date,"&gt;="&amp;$C74,d_Date,"&lt;"&amp;EDATE($C74,1),d_Year,$P$4,d_City,$Q$4,d_Cuisine,$R$4,d_Pay,$S$4,d_Type,$T$4),0)</f>
        <v>677.416666666667</v>
      </c>
    </row>
    <row r="75" customFormat="false" ht="15" hidden="false" customHeight="false" outlineLevel="0" collapsed="false">
      <c r="B75" s="46" t="s">
        <v>69</v>
      </c>
      <c r="C75" s="47"/>
      <c r="D75" s="48" t="n">
        <f aca="false">SUM(D61:D74)</f>
        <v>1200</v>
      </c>
      <c r="E75" s="48" t="n">
        <f aca="false">SUM(E61:E74)</f>
        <v>791</v>
      </c>
      <c r="F75" s="48" t="n">
        <f aca="false">SUM(F61:F74)</f>
        <v>207</v>
      </c>
      <c r="G75" s="48" t="n">
        <f aca="false">SUM(G61:G74)</f>
        <v>202</v>
      </c>
      <c r="H75" s="49" t="n">
        <f aca="false">AVERAGEIFS(d_OV,d_ID,"&lt;&gt;",d_Year,$P$4,d_City,$Q$4,d_Cuisine,$R$4,d_Pay,$S$4,d_Type,$T$4)</f>
        <v>931.2875</v>
      </c>
    </row>
    <row r="76" customFormat="false" ht="15" hidden="false" customHeight="false" outlineLevel="0" collapsed="false">
      <c r="B76" s="50" t="s">
        <v>70</v>
      </c>
    </row>
    <row r="79" customFormat="false" ht="15" hidden="false" customHeight="false" outlineLevel="0" collapsed="false">
      <c r="B79" s="35" t="s">
        <v>71</v>
      </c>
    </row>
    <row r="80" customFormat="false" ht="30" hidden="false" customHeight="true" outlineLevel="0" collapsed="false">
      <c r="B80" s="36" t="s">
        <v>72</v>
      </c>
      <c r="C80" s="37" t="s">
        <v>64</v>
      </c>
      <c r="D80" s="37" t="s">
        <v>73</v>
      </c>
    </row>
    <row r="81" customFormat="false" ht="15" hidden="false" customHeight="false" outlineLevel="0" collapsed="false">
      <c r="B81" s="38" t="s">
        <v>65</v>
      </c>
      <c r="C81" s="40" t="n">
        <f aca="false">COUNTIFS(d_Status,$B81,d_Year,$P$4,d_City,$Q$4,d_Cuisine,$R$4,d_Pay,$S$4,d_Type,$T$4)</f>
        <v>791</v>
      </c>
      <c r="D81" s="51" t="n">
        <f aca="false">IFERROR(C81/COUNTIFS(d_ID,"&lt;&gt;",d_Year,$P$4,d_City,$Q$4,d_Cuisine,$R$4,d_Pay,$S$4,d_Type,$T$4),0)</f>
        <v>0.659166666666667</v>
      </c>
    </row>
    <row r="82" customFormat="false" ht="15" hidden="false" customHeight="false" outlineLevel="0" collapsed="false">
      <c r="B82" s="42" t="s">
        <v>66</v>
      </c>
      <c r="C82" s="44" t="n">
        <f aca="false">COUNTIFS(d_Status,$B82,d_Year,$P$4,d_City,$Q$4,d_Cuisine,$R$4,d_Pay,$S$4,d_Type,$T$4)</f>
        <v>207</v>
      </c>
      <c r="D82" s="52" t="n">
        <f aca="false">IFERROR(C82/COUNTIFS(d_ID,"&lt;&gt;",d_Year,$P$4,d_City,$Q$4,d_Cuisine,$R$4,d_Pay,$S$4,d_Type,$T$4),0)</f>
        <v>0.1725</v>
      </c>
    </row>
    <row r="83" customFormat="false" ht="15" hidden="false" customHeight="false" outlineLevel="0" collapsed="false">
      <c r="B83" s="38" t="s">
        <v>67</v>
      </c>
      <c r="C83" s="40" t="n">
        <f aca="false">COUNTIFS(d_Status,$B83,d_Year,$P$4,d_City,$Q$4,d_Cuisine,$R$4,d_Pay,$S$4,d_Type,$T$4)</f>
        <v>202</v>
      </c>
      <c r="D83" s="51" t="n">
        <f aca="false">IFERROR(C83/COUNTIFS(d_ID,"&lt;&gt;",d_Year,$P$4,d_City,$Q$4,d_Cuisine,$R$4,d_Pay,$S$4,d_Type,$T$4),0)</f>
        <v>0.168333333333333</v>
      </c>
    </row>
    <row r="84" customFormat="false" ht="15" hidden="false" customHeight="false" outlineLevel="0" collapsed="false">
      <c r="B84" s="46" t="s">
        <v>69</v>
      </c>
      <c r="C84" s="48" t="n">
        <f aca="false">SUM(C81:C83)</f>
        <v>1200</v>
      </c>
      <c r="D84" s="53" t="n">
        <f aca="false">SUM(D81:D83)</f>
        <v>1</v>
      </c>
    </row>
    <row r="87" customFormat="false" ht="15" hidden="false" customHeight="false" outlineLevel="0" collapsed="false">
      <c r="B87" s="35" t="s">
        <v>74</v>
      </c>
    </row>
    <row r="88" customFormat="false" ht="30" hidden="false" customHeight="true" outlineLevel="0" collapsed="false">
      <c r="B88" s="36" t="s">
        <v>75</v>
      </c>
      <c r="C88" s="37" t="s">
        <v>65</v>
      </c>
      <c r="D88" s="37" t="s">
        <v>66</v>
      </c>
      <c r="E88" s="37" t="s">
        <v>67</v>
      </c>
      <c r="F88" s="37" t="s">
        <v>76</v>
      </c>
    </row>
    <row r="89" customFormat="false" ht="15" hidden="false" customHeight="false" outlineLevel="0" collapsed="false">
      <c r="B89" s="38" t="s">
        <v>77</v>
      </c>
      <c r="C89" s="40" t="n">
        <f aca="false">COUNTIFS(d_Type,$B89,d_Status,"Delivered",d_Year,$P$4,d_City,$Q$4,d_Cuisine,$R$4,d_Pay,$S$4,d_Type,$T$4)</f>
        <v>592</v>
      </c>
      <c r="D89" s="40" t="n">
        <f aca="false">COUNTIFS(d_Type,$B89,d_Status,"Pending",d_Year,$P$4,d_City,$Q$4,d_Cuisine,$R$4,d_Pay,$S$4,d_Type,$T$4)</f>
        <v>146</v>
      </c>
      <c r="E89" s="40" t="n">
        <f aca="false">COUNTIFS(d_Type,$B89,d_Status,"Cancelled",d_Year,$P$4,d_City,$Q$4,d_Cuisine,$R$4,d_Pay,$S$4,d_Type,$T$4)</f>
        <v>143</v>
      </c>
      <c r="F89" s="40" t="n">
        <f aca="false">SUM(C89:E89)</f>
        <v>881</v>
      </c>
    </row>
    <row r="90" customFormat="false" ht="15" hidden="false" customHeight="false" outlineLevel="0" collapsed="false">
      <c r="B90" s="42" t="s">
        <v>78</v>
      </c>
      <c r="C90" s="44" t="n">
        <f aca="false">COUNTIFS(d_Type,$B90,d_Status,"Delivered",d_Year,$P$4,d_City,$Q$4,d_Cuisine,$R$4,d_Pay,$S$4,d_Type,$T$4)</f>
        <v>199</v>
      </c>
      <c r="D90" s="44" t="n">
        <f aca="false">COUNTIFS(d_Type,$B90,d_Status,"Pending",d_Year,$P$4,d_City,$Q$4,d_Cuisine,$R$4,d_Pay,$S$4,d_Type,$T$4)</f>
        <v>61</v>
      </c>
      <c r="E90" s="44" t="n">
        <f aca="false">COUNTIFS(d_Type,$B90,d_Status,"Cancelled",d_Year,$P$4,d_City,$Q$4,d_Cuisine,$R$4,d_Pay,$S$4,d_Type,$T$4)</f>
        <v>59</v>
      </c>
      <c r="F90" s="44" t="n">
        <f aca="false">SUM(C90:E90)</f>
        <v>319</v>
      </c>
    </row>
    <row r="91" customFormat="false" ht="15" hidden="false" customHeight="false" outlineLevel="0" collapsed="false">
      <c r="B91" s="46" t="s">
        <v>69</v>
      </c>
      <c r="C91" s="48" t="n">
        <f aca="false">SUM(C89:C90)</f>
        <v>791</v>
      </c>
      <c r="D91" s="48" t="n">
        <f aca="false">SUM(D89:D90)</f>
        <v>207</v>
      </c>
      <c r="E91" s="48" t="n">
        <f aca="false">SUM(E89:E90)</f>
        <v>202</v>
      </c>
      <c r="F91" s="48" t="n">
        <f aca="false">SUM(F89:F90)</f>
        <v>1200</v>
      </c>
    </row>
    <row r="94" customFormat="false" ht="15" hidden="false" customHeight="false" outlineLevel="0" collapsed="false">
      <c r="B94" s="35" t="s">
        <v>79</v>
      </c>
    </row>
    <row r="95" customFormat="false" ht="30" hidden="false" customHeight="true" outlineLevel="0" collapsed="false">
      <c r="B95" s="36" t="s">
        <v>80</v>
      </c>
      <c r="C95" s="37" t="s">
        <v>64</v>
      </c>
      <c r="D95" s="37" t="s">
        <v>68</v>
      </c>
    </row>
    <row r="96" customFormat="false" ht="15" hidden="false" customHeight="false" outlineLevel="0" collapsed="false">
      <c r="B96" s="38" t="s">
        <v>81</v>
      </c>
      <c r="C96" s="40" t="n">
        <f aca="false">COUNTIFS(d_Cuisine,$B96,d_Year,$P$4,d_City,$Q$4,d_Cuisine,$R$4,d_Pay,$S$4,d_Type,$T$4)</f>
        <v>138</v>
      </c>
      <c r="D96" s="41" t="n">
        <f aca="false">IFERROR(AVERAGEIFS(d_OV,d_Cuisine,$B96,d_Year,$P$4,d_City,$Q$4,d_Cuisine,$R$4,d_Pay,$S$4,d_Type,$T$4),0)</f>
        <v>919.623188405797</v>
      </c>
    </row>
    <row r="97" customFormat="false" ht="15" hidden="false" customHeight="false" outlineLevel="0" collapsed="false">
      <c r="B97" s="42" t="s">
        <v>82</v>
      </c>
      <c r="C97" s="44" t="n">
        <f aca="false">COUNTIFS(d_Cuisine,$B97,d_Year,$P$4,d_City,$Q$4,d_Cuisine,$R$4,d_Pay,$S$4,d_Type,$T$4)</f>
        <v>136</v>
      </c>
      <c r="D97" s="45" t="n">
        <f aca="false">IFERROR(AVERAGEIFS(d_OV,d_Cuisine,$B97,d_Year,$P$4,d_City,$Q$4,d_Cuisine,$R$4,d_Pay,$S$4,d_Type,$T$4),0)</f>
        <v>863.522058823529</v>
      </c>
    </row>
    <row r="98" customFormat="false" ht="15" hidden="false" customHeight="false" outlineLevel="0" collapsed="false">
      <c r="B98" s="38" t="s">
        <v>83</v>
      </c>
      <c r="C98" s="40" t="n">
        <f aca="false">COUNTIFS(d_Cuisine,$B98,d_Year,$P$4,d_City,$Q$4,d_Cuisine,$R$4,d_Pay,$S$4,d_Type,$T$4)</f>
        <v>128</v>
      </c>
      <c r="D98" s="41" t="n">
        <f aca="false">IFERROR(AVERAGEIFS(d_OV,d_Cuisine,$B98,d_Year,$P$4,d_City,$Q$4,d_Cuisine,$R$4,d_Pay,$S$4,d_Type,$T$4),0)</f>
        <v>914.59375</v>
      </c>
    </row>
    <row r="99" customFormat="false" ht="15" hidden="false" customHeight="false" outlineLevel="0" collapsed="false">
      <c r="B99" s="42" t="s">
        <v>84</v>
      </c>
      <c r="C99" s="44" t="n">
        <f aca="false">COUNTIFS(d_Cuisine,$B99,d_Year,$P$4,d_City,$Q$4,d_Cuisine,$R$4,d_Pay,$S$4,d_Type,$T$4)</f>
        <v>122</v>
      </c>
      <c r="D99" s="45" t="n">
        <f aca="false">IFERROR(AVERAGEIFS(d_OV,d_Cuisine,$B99,d_Year,$P$4,d_City,$Q$4,d_Cuisine,$R$4,d_Pay,$S$4,d_Type,$T$4),0)</f>
        <v>872.770491803279</v>
      </c>
    </row>
    <row r="100" customFormat="false" ht="15" hidden="false" customHeight="false" outlineLevel="0" collapsed="false">
      <c r="B100" s="38" t="s">
        <v>85</v>
      </c>
      <c r="C100" s="40" t="n">
        <f aca="false">COUNTIFS(d_Cuisine,$B100,d_Year,$P$4,d_City,$Q$4,d_Cuisine,$R$4,d_Pay,$S$4,d_Type,$T$4)</f>
        <v>121</v>
      </c>
      <c r="D100" s="41" t="n">
        <f aca="false">IFERROR(AVERAGEIFS(d_OV,d_Cuisine,$B100,d_Year,$P$4,d_City,$Q$4,d_Cuisine,$R$4,d_Pay,$S$4,d_Type,$T$4),0)</f>
        <v>943.380165289256</v>
      </c>
    </row>
    <row r="101" customFormat="false" ht="15" hidden="false" customHeight="false" outlineLevel="0" collapsed="false">
      <c r="B101" s="42" t="s">
        <v>86</v>
      </c>
      <c r="C101" s="44" t="n">
        <f aca="false">COUNTIFS(d_Cuisine,$B101,d_Year,$P$4,d_City,$Q$4,d_Cuisine,$R$4,d_Pay,$S$4,d_Type,$T$4)</f>
        <v>116</v>
      </c>
      <c r="D101" s="45" t="n">
        <f aca="false">IFERROR(AVERAGEIFS(d_OV,d_Cuisine,$B101,d_Year,$P$4,d_City,$Q$4,d_Cuisine,$R$4,d_Pay,$S$4,d_Type,$T$4),0)</f>
        <v>961.241379310345</v>
      </c>
    </row>
    <row r="102" customFormat="false" ht="15" hidden="false" customHeight="false" outlineLevel="0" collapsed="false">
      <c r="B102" s="38" t="s">
        <v>87</v>
      </c>
      <c r="C102" s="40" t="n">
        <f aca="false">COUNTIFS(d_Cuisine,$B102,d_Year,$P$4,d_City,$Q$4,d_Cuisine,$R$4,d_Pay,$S$4,d_Type,$T$4)</f>
        <v>115</v>
      </c>
      <c r="D102" s="41" t="n">
        <f aca="false">IFERROR(AVERAGEIFS(d_OV,d_Cuisine,$B102,d_Year,$P$4,d_City,$Q$4,d_Cuisine,$R$4,d_Pay,$S$4,d_Type,$T$4),0)</f>
        <v>949.44347826087</v>
      </c>
    </row>
    <row r="103" customFormat="false" ht="15" hidden="false" customHeight="false" outlineLevel="0" collapsed="false">
      <c r="B103" s="42" t="s">
        <v>88</v>
      </c>
      <c r="C103" s="44" t="n">
        <f aca="false">COUNTIFS(d_Cuisine,$B103,d_Year,$P$4,d_City,$Q$4,d_Cuisine,$R$4,d_Pay,$S$4,d_Type,$T$4)</f>
        <v>114</v>
      </c>
      <c r="D103" s="45" t="n">
        <f aca="false">IFERROR(AVERAGEIFS(d_OV,d_Cuisine,$B103,d_Year,$P$4,d_City,$Q$4,d_Cuisine,$R$4,d_Pay,$S$4,d_Type,$T$4),0)</f>
        <v>976.473684210526</v>
      </c>
    </row>
    <row r="104" customFormat="false" ht="15" hidden="false" customHeight="false" outlineLevel="0" collapsed="false">
      <c r="B104" s="38" t="s">
        <v>89</v>
      </c>
      <c r="C104" s="40" t="n">
        <f aca="false">COUNTIFS(d_Cuisine,$B104,d_Year,$P$4,d_City,$Q$4,d_Cuisine,$R$4,d_Pay,$S$4,d_Type,$T$4)</f>
        <v>109</v>
      </c>
      <c r="D104" s="41" t="n">
        <f aca="false">IFERROR(AVERAGEIFS(d_OV,d_Cuisine,$B104,d_Year,$P$4,d_City,$Q$4,d_Cuisine,$R$4,d_Pay,$S$4,d_Type,$T$4),0)</f>
        <v>999.596330275229</v>
      </c>
    </row>
    <row r="105" customFormat="false" ht="15" hidden="false" customHeight="false" outlineLevel="0" collapsed="false">
      <c r="B105" s="42" t="s">
        <v>90</v>
      </c>
      <c r="C105" s="44" t="n">
        <f aca="false">COUNTIFS(d_Cuisine,$B105,d_Year,$P$4,d_City,$Q$4,d_Cuisine,$R$4,d_Pay,$S$4,d_Type,$T$4)</f>
        <v>101</v>
      </c>
      <c r="D105" s="45" t="n">
        <f aca="false">IFERROR(AVERAGEIFS(d_OV,d_Cuisine,$B105,d_Year,$P$4,d_City,$Q$4,d_Cuisine,$R$4,d_Pay,$S$4,d_Type,$T$4),0)</f>
        <v>936.029702970297</v>
      </c>
    </row>
    <row r="106" customFormat="false" ht="15" hidden="false" customHeight="false" outlineLevel="0" collapsed="false">
      <c r="B106" s="46" t="s">
        <v>69</v>
      </c>
      <c r="C106" s="48" t="n">
        <f aca="false">SUM(C96:C105)</f>
        <v>1200</v>
      </c>
      <c r="D106" s="49" t="n">
        <f aca="false">AVERAGEIFS(d_OV,d_ID,"&lt;&gt;",d_Year,$P$4,d_City,$Q$4,d_Cuisine,$R$4,d_Pay,$S$4,d_Type,$T$4)</f>
        <v>931.2875</v>
      </c>
    </row>
    <row r="109" customFormat="false" ht="15" hidden="false" customHeight="false" outlineLevel="0" collapsed="false">
      <c r="B109" s="35" t="s">
        <v>91</v>
      </c>
    </row>
    <row r="110" customFormat="false" ht="30" hidden="false" customHeight="true" outlineLevel="0" collapsed="false">
      <c r="B110" s="36" t="s">
        <v>92</v>
      </c>
      <c r="C110" s="37" t="s">
        <v>64</v>
      </c>
      <c r="D110" s="37" t="s">
        <v>73</v>
      </c>
    </row>
    <row r="111" customFormat="false" ht="15" hidden="false" customHeight="false" outlineLevel="0" collapsed="false">
      <c r="B111" s="38" t="s">
        <v>93</v>
      </c>
      <c r="C111" s="40" t="n">
        <f aca="false">COUNTIFS(d_Pay,$B111,d_Year,$P$4,d_City,$Q$4,d_Cuisine,$R$4,d_Pay,$S$4,d_Type,$T$4)</f>
        <v>496</v>
      </c>
      <c r="D111" s="51" t="n">
        <f aca="false">IFERROR(C111/COUNTIFS(d_ID,"&lt;&gt;",d_Year,$P$4,d_City,$Q$4,d_Cuisine,$R$4,d_Pay,$S$4,d_Type,$T$4),0)</f>
        <v>0.413333333333333</v>
      </c>
    </row>
    <row r="112" customFormat="false" ht="15" hidden="false" customHeight="false" outlineLevel="0" collapsed="false">
      <c r="B112" s="42" t="s">
        <v>94</v>
      </c>
      <c r="C112" s="44" t="n">
        <f aca="false">COUNTIFS(d_Pay,$B112,d_Year,$P$4,d_City,$Q$4,d_Cuisine,$R$4,d_Pay,$S$4,d_Type,$T$4)</f>
        <v>239</v>
      </c>
      <c r="D112" s="52" t="n">
        <f aca="false">IFERROR(C112/COUNTIFS(d_ID,"&lt;&gt;",d_Year,$P$4,d_City,$Q$4,d_Cuisine,$R$4,d_Pay,$S$4,d_Type,$T$4),0)</f>
        <v>0.199166666666667</v>
      </c>
    </row>
    <row r="113" customFormat="false" ht="15" hidden="false" customHeight="false" outlineLevel="0" collapsed="false">
      <c r="B113" s="38" t="s">
        <v>95</v>
      </c>
      <c r="C113" s="40" t="n">
        <f aca="false">COUNTIFS(d_Pay,$B113,d_Year,$P$4,d_City,$Q$4,d_Cuisine,$R$4,d_Pay,$S$4,d_Type,$T$4)</f>
        <v>232</v>
      </c>
      <c r="D113" s="51" t="n">
        <f aca="false">IFERROR(C113/COUNTIFS(d_ID,"&lt;&gt;",d_Year,$P$4,d_City,$Q$4,d_Cuisine,$R$4,d_Pay,$S$4,d_Type,$T$4),0)</f>
        <v>0.193333333333333</v>
      </c>
    </row>
    <row r="114" customFormat="false" ht="15" hidden="false" customHeight="false" outlineLevel="0" collapsed="false">
      <c r="B114" s="42" t="s">
        <v>96</v>
      </c>
      <c r="C114" s="44" t="n">
        <f aca="false">COUNTIFS(d_Pay,$B114,d_Year,$P$4,d_City,$Q$4,d_Cuisine,$R$4,d_Pay,$S$4,d_Type,$T$4)</f>
        <v>138</v>
      </c>
      <c r="D114" s="52" t="n">
        <f aca="false">IFERROR(C114/COUNTIFS(d_ID,"&lt;&gt;",d_Year,$P$4,d_City,$Q$4,d_Cuisine,$R$4,d_Pay,$S$4,d_Type,$T$4),0)</f>
        <v>0.115</v>
      </c>
    </row>
    <row r="115" customFormat="false" ht="15" hidden="false" customHeight="false" outlineLevel="0" collapsed="false">
      <c r="B115" s="38" t="s">
        <v>97</v>
      </c>
      <c r="C115" s="40" t="n">
        <f aca="false">COUNTIFS(d_Pay,$B115,d_Year,$P$4,d_City,$Q$4,d_Cuisine,$R$4,d_Pay,$S$4,d_Type,$T$4)</f>
        <v>95</v>
      </c>
      <c r="D115" s="51" t="n">
        <f aca="false">IFERROR(C115/COUNTIFS(d_ID,"&lt;&gt;",d_Year,$P$4,d_City,$Q$4,d_Cuisine,$R$4,d_Pay,$S$4,d_Type,$T$4),0)</f>
        <v>0.0791666666666667</v>
      </c>
    </row>
    <row r="116" customFormat="false" ht="15" hidden="false" customHeight="false" outlineLevel="0" collapsed="false">
      <c r="B116" s="46" t="s">
        <v>69</v>
      </c>
      <c r="C116" s="48" t="n">
        <f aca="false">SUM(C111:C115)</f>
        <v>1200</v>
      </c>
      <c r="D116" s="53" t="n">
        <f aca="false">SUM(D111:D115)</f>
        <v>1</v>
      </c>
    </row>
    <row r="119" customFormat="false" ht="15" hidden="false" customHeight="false" outlineLevel="0" collapsed="false">
      <c r="B119" s="35" t="s">
        <v>98</v>
      </c>
    </row>
    <row r="120" customFormat="false" ht="30" hidden="false" customHeight="true" outlineLevel="0" collapsed="false">
      <c r="B120" s="36" t="s">
        <v>99</v>
      </c>
      <c r="C120" s="37" t="s">
        <v>64</v>
      </c>
      <c r="D120" s="37" t="s">
        <v>68</v>
      </c>
    </row>
    <row r="121" customFormat="false" ht="15" hidden="false" customHeight="false" outlineLevel="0" collapsed="false">
      <c r="B121" s="38" t="s">
        <v>100</v>
      </c>
      <c r="C121" s="40" t="n">
        <f aca="false">COUNTIFS(d_City,$B121,d_Year,$P$4,d_City,$Q$4,d_Cuisine,$R$4,d_Pay,$S$4,d_Type,$T$4)</f>
        <v>119</v>
      </c>
      <c r="D121" s="41" t="n">
        <f aca="false">IFERROR(AVERAGEIFS(d_OV,d_City,$B121,d_Year,$P$4,d_City,$Q$4,d_Cuisine,$R$4,d_Pay,$S$4,d_Type,$T$4),0)</f>
        <v>943.823529411765</v>
      </c>
    </row>
    <row r="122" customFormat="false" ht="15" hidden="false" customHeight="false" outlineLevel="0" collapsed="false">
      <c r="B122" s="42" t="s">
        <v>101</v>
      </c>
      <c r="C122" s="44" t="n">
        <f aca="false">COUNTIFS(d_City,$B122,d_Year,$P$4,d_City,$Q$4,d_Cuisine,$R$4,d_Pay,$S$4,d_Type,$T$4)</f>
        <v>114</v>
      </c>
      <c r="D122" s="45" t="n">
        <f aca="false">IFERROR(AVERAGEIFS(d_OV,d_City,$B122,d_Year,$P$4,d_City,$Q$4,d_Cuisine,$R$4,d_Pay,$S$4,d_Type,$T$4),0)</f>
        <v>868.157894736842</v>
      </c>
    </row>
    <row r="123" customFormat="false" ht="15" hidden="false" customHeight="false" outlineLevel="0" collapsed="false">
      <c r="B123" s="38" t="s">
        <v>102</v>
      </c>
      <c r="C123" s="40" t="n">
        <f aca="false">COUNTIFS(d_City,$B123,d_Year,$P$4,d_City,$Q$4,d_Cuisine,$R$4,d_Pay,$S$4,d_Type,$T$4)</f>
        <v>110</v>
      </c>
      <c r="D123" s="41" t="n">
        <f aca="false">IFERROR(AVERAGEIFS(d_OV,d_City,$B123,d_Year,$P$4,d_City,$Q$4,d_Cuisine,$R$4,d_Pay,$S$4,d_Type,$T$4),0)</f>
        <v>967.172727272727</v>
      </c>
    </row>
    <row r="124" customFormat="false" ht="15" hidden="false" customHeight="false" outlineLevel="0" collapsed="false">
      <c r="B124" s="42" t="s">
        <v>103</v>
      </c>
      <c r="C124" s="44" t="n">
        <f aca="false">COUNTIFS(d_City,$B124,d_Year,$P$4,d_City,$Q$4,d_Cuisine,$R$4,d_Pay,$S$4,d_Type,$T$4)</f>
        <v>108</v>
      </c>
      <c r="D124" s="45" t="n">
        <f aca="false">IFERROR(AVERAGEIFS(d_OV,d_City,$B124,d_Year,$P$4,d_City,$Q$4,d_Cuisine,$R$4,d_Pay,$S$4,d_Type,$T$4),0)</f>
        <v>942.824074074074</v>
      </c>
    </row>
    <row r="125" customFormat="false" ht="15" hidden="false" customHeight="false" outlineLevel="0" collapsed="false">
      <c r="B125" s="38" t="s">
        <v>104</v>
      </c>
      <c r="C125" s="40" t="n">
        <f aca="false">COUNTIFS(d_City,$B125,d_Year,$P$4,d_City,$Q$4,d_Cuisine,$R$4,d_Pay,$S$4,d_Type,$T$4)</f>
        <v>107</v>
      </c>
      <c r="D125" s="41" t="n">
        <f aca="false">IFERROR(AVERAGEIFS(d_OV,d_City,$B125,d_Year,$P$4,d_City,$Q$4,d_Cuisine,$R$4,d_Pay,$S$4,d_Type,$T$4),0)</f>
        <v>961.841121495327</v>
      </c>
    </row>
    <row r="126" customFormat="false" ht="15" hidden="false" customHeight="false" outlineLevel="0" collapsed="false">
      <c r="B126" s="42" t="s">
        <v>105</v>
      </c>
      <c r="C126" s="44" t="n">
        <f aca="false">COUNTIFS(d_City,$B126,d_Year,$P$4,d_City,$Q$4,d_Cuisine,$R$4,d_Pay,$S$4,d_Type,$T$4)</f>
        <v>102</v>
      </c>
      <c r="D126" s="45" t="n">
        <f aca="false">IFERROR(AVERAGEIFS(d_OV,d_City,$B126,d_Year,$P$4,d_City,$Q$4,d_Cuisine,$R$4,d_Pay,$S$4,d_Type,$T$4),0)</f>
        <v>839.843137254902</v>
      </c>
    </row>
    <row r="127" customFormat="false" ht="15" hidden="false" customHeight="false" outlineLevel="0" collapsed="false">
      <c r="B127" s="38" t="s">
        <v>106</v>
      </c>
      <c r="C127" s="40" t="n">
        <f aca="false">COUNTIFS(d_City,$B127,d_Year,$P$4,d_City,$Q$4,d_Cuisine,$R$4,d_Pay,$S$4,d_Type,$T$4)</f>
        <v>96</v>
      </c>
      <c r="D127" s="41" t="n">
        <f aca="false">IFERROR(AVERAGEIFS(d_OV,d_City,$B127,d_Year,$P$4,d_City,$Q$4,d_Cuisine,$R$4,d_Pay,$S$4,d_Type,$T$4),0)</f>
        <v>965.427083333333</v>
      </c>
    </row>
    <row r="128" customFormat="false" ht="15" hidden="false" customHeight="false" outlineLevel="0" collapsed="false">
      <c r="B128" s="42" t="s">
        <v>107</v>
      </c>
      <c r="C128" s="44" t="n">
        <f aca="false">COUNTIFS(d_City,$B128,d_Year,$P$4,d_City,$Q$4,d_Cuisine,$R$4,d_Pay,$S$4,d_Type,$T$4)</f>
        <v>96</v>
      </c>
      <c r="D128" s="45" t="n">
        <f aca="false">IFERROR(AVERAGEIFS(d_OV,d_City,$B128,d_Year,$P$4,d_City,$Q$4,d_Cuisine,$R$4,d_Pay,$S$4,d_Type,$T$4),0)</f>
        <v>929.5625</v>
      </c>
    </row>
    <row r="129" customFormat="false" ht="15" hidden="false" customHeight="false" outlineLevel="0" collapsed="false">
      <c r="B129" s="38" t="s">
        <v>108</v>
      </c>
      <c r="C129" s="40" t="n">
        <f aca="false">COUNTIFS(d_City,$B129,d_Year,$P$4,d_City,$Q$4,d_Cuisine,$R$4,d_Pay,$S$4,d_Type,$T$4)</f>
        <v>94</v>
      </c>
      <c r="D129" s="41" t="n">
        <f aca="false">IFERROR(AVERAGEIFS(d_OV,d_City,$B129,d_Year,$P$4,d_City,$Q$4,d_Cuisine,$R$4,d_Pay,$S$4,d_Type,$T$4),0)</f>
        <v>891.734042553191</v>
      </c>
    </row>
    <row r="130" customFormat="false" ht="15" hidden="false" customHeight="false" outlineLevel="0" collapsed="false">
      <c r="B130" s="42" t="s">
        <v>109</v>
      </c>
      <c r="C130" s="44" t="n">
        <f aca="false">COUNTIFS(d_City,$B130,d_Year,$P$4,d_City,$Q$4,d_Cuisine,$R$4,d_Pay,$S$4,d_Type,$T$4)</f>
        <v>91</v>
      </c>
      <c r="D130" s="45" t="n">
        <f aca="false">IFERROR(AVERAGEIFS(d_OV,d_City,$B130,d_Year,$P$4,d_City,$Q$4,d_Cuisine,$R$4,d_Pay,$S$4,d_Type,$T$4),0)</f>
        <v>991.307692307692</v>
      </c>
    </row>
    <row r="131" customFormat="false" ht="15" hidden="false" customHeight="false" outlineLevel="0" collapsed="false">
      <c r="B131" s="38" t="s">
        <v>110</v>
      </c>
      <c r="C131" s="40" t="n">
        <f aca="false">COUNTIFS(d_City,$B131,d_Year,$P$4,d_City,$Q$4,d_Cuisine,$R$4,d_Pay,$S$4,d_Type,$T$4)</f>
        <v>83</v>
      </c>
      <c r="D131" s="41" t="n">
        <f aca="false">IFERROR(AVERAGEIFS(d_OV,d_City,$B131,d_Year,$P$4,d_City,$Q$4,d_Cuisine,$R$4,d_Pay,$S$4,d_Type,$T$4),0)</f>
        <v>891.867469879518</v>
      </c>
    </row>
    <row r="132" customFormat="false" ht="15" hidden="false" customHeight="false" outlineLevel="0" collapsed="false">
      <c r="B132" s="42" t="s">
        <v>111</v>
      </c>
      <c r="C132" s="44" t="n">
        <f aca="false">COUNTIFS(d_City,$B132,d_Year,$P$4,d_City,$Q$4,d_Cuisine,$R$4,d_Pay,$S$4,d_Type,$T$4)</f>
        <v>80</v>
      </c>
      <c r="D132" s="45" t="n">
        <f aca="false">IFERROR(AVERAGEIFS(d_OV,d_City,$B132,d_Year,$P$4,d_City,$Q$4,d_Cuisine,$R$4,d_Pay,$S$4,d_Type,$T$4),0)</f>
        <v>993.6125</v>
      </c>
    </row>
    <row r="133" customFormat="false" ht="15" hidden="false" customHeight="false" outlineLevel="0" collapsed="false">
      <c r="B133" s="46" t="s">
        <v>69</v>
      </c>
      <c r="C133" s="48" t="n">
        <f aca="false">SUM(C121:C132)</f>
        <v>1200</v>
      </c>
      <c r="D133" s="49" t="n">
        <f aca="false">AVERAGEIFS(d_OV,d_ID,"&lt;&gt;",d_Year,$P$4,d_City,$Q$4,d_Cuisine,$R$4,d_Pay,$S$4,d_Type,$T$4)</f>
        <v>931.2875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D8A"/>
    <pageSetUpPr fitToPage="false"/>
  </sheetPr>
  <dimension ref="B1:T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112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113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114</v>
      </c>
      <c r="C5" s="3"/>
      <c r="D5" s="4" t="s">
        <v>3</v>
      </c>
      <c r="E5" s="4"/>
      <c r="F5" s="5" t="s">
        <v>115</v>
      </c>
      <c r="G5" s="5"/>
      <c r="H5" s="7" t="s">
        <v>116</v>
      </c>
      <c r="I5" s="7"/>
      <c r="J5" s="8" t="s">
        <v>117</v>
      </c>
      <c r="K5" s="8"/>
      <c r="L5" s="6" t="s">
        <v>118</v>
      </c>
      <c r="M5" s="6"/>
    </row>
    <row r="6" customFormat="false" ht="36" hidden="false" customHeight="true" outlineLevel="0" collapsed="false">
      <c r="B6" s="9" t="n">
        <f aca="false">COUNTA(B61:B72)</f>
        <v>12</v>
      </c>
      <c r="C6" s="9"/>
      <c r="D6" s="10" t="n">
        <f aca="false">SUM(G61:G72)</f>
        <v>699950</v>
      </c>
      <c r="E6" s="10"/>
      <c r="F6" s="54" t="str">
        <f aca="false">INDEX(B61:B72,MATCH(MAX(G61:G72),G61:G72,0))</f>
        <v>Burger House</v>
      </c>
      <c r="G6" s="54"/>
      <c r="H6" s="55" t="str">
        <f aca="false">INDEX(B61:B72,MATCH(MAX(J61:J72),J61:J72,0))</f>
        <v>Cafe Aroma</v>
      </c>
      <c r="I6" s="55"/>
      <c r="J6" s="14" t="n">
        <f aca="false">AVERAGEIFS(d_RRating,d_ID,"&lt;&gt;",d_Year,$P$4,d_City,$Q$4,d_Cuisine,$R$4,d_Pay,$S$4,d_Type,$T$4)</f>
        <v>3.7175</v>
      </c>
      <c r="K6" s="14"/>
      <c r="L6" s="56" t="str">
        <f aca="false">INDEX(B61:B72,MATCH(MAX(F61:F72),F61:F72,0))</f>
        <v>Food Street</v>
      </c>
      <c r="M6" s="56"/>
    </row>
    <row r="7" customFormat="false" ht="24" hidden="false" customHeight="true" outlineLevel="0" collapsed="false">
      <c r="B7" s="15" t="s">
        <v>119</v>
      </c>
      <c r="C7" s="15"/>
      <c r="D7" s="15" t="s">
        <v>9</v>
      </c>
      <c r="E7" s="15"/>
      <c r="F7" s="15" t="s">
        <v>120</v>
      </c>
      <c r="G7" s="15"/>
      <c r="H7" s="15" t="s">
        <v>121</v>
      </c>
      <c r="I7" s="15"/>
      <c r="J7" s="15" t="s">
        <v>12</v>
      </c>
      <c r="K7" s="15"/>
      <c r="L7" s="15" t="s">
        <v>122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123</v>
      </c>
    </row>
    <row r="60" customFormat="false" ht="30" hidden="false" customHeight="true" outlineLevel="0" collapsed="false">
      <c r="B60" s="36" t="s">
        <v>124</v>
      </c>
      <c r="C60" s="37" t="s">
        <v>64</v>
      </c>
      <c r="D60" s="37" t="s">
        <v>65</v>
      </c>
      <c r="E60" s="37" t="s">
        <v>67</v>
      </c>
      <c r="F60" s="37" t="s">
        <v>125</v>
      </c>
      <c r="G60" s="37" t="s">
        <v>126</v>
      </c>
      <c r="H60" s="37" t="s">
        <v>68</v>
      </c>
      <c r="I60" s="37" t="s">
        <v>127</v>
      </c>
      <c r="J60" s="37" t="s">
        <v>128</v>
      </c>
      <c r="K60" s="37" t="s">
        <v>129</v>
      </c>
      <c r="L60" s="37" t="s">
        <v>130</v>
      </c>
    </row>
    <row r="61" customFormat="false" ht="15" hidden="false" customHeight="false" outlineLevel="0" collapsed="false">
      <c r="B61" s="38" t="s">
        <v>131</v>
      </c>
      <c r="C61" s="40" t="n">
        <f aca="false">COUNTIFS(d_Rest,$B61,d_Year,$P$4,d_City,$Q$4,d_Cuisine,$R$4,d_Pay,$S$4,d_Type,$T$4)</f>
        <v>117</v>
      </c>
      <c r="D61" s="40" t="n">
        <f aca="false">COUNTIFS(d_Rest,$B61,d_Status,"Delivered",d_Year,$P$4,d_City,$Q$4,d_Cuisine,$R$4,d_Pay,$S$4,d_Type,$T$4)</f>
        <v>78</v>
      </c>
      <c r="E61" s="40" t="n">
        <f aca="false">COUNTIFS(d_Rest,$B61,d_Status,"Cancelled",d_Year,$P$4,d_City,$Q$4,d_Cuisine,$R$4,d_Pay,$S$4,d_Type,$T$4)</f>
        <v>16</v>
      </c>
      <c r="F61" s="51" t="n">
        <f aca="false">IFERROR(E61/C61,0)</f>
        <v>0.136752136752137</v>
      </c>
      <c r="G61" s="41" t="n">
        <f aca="false">SUMIFS(d_Net,d_Rest,$B61,d_Status,"Delivered",d_Year,$P$4,d_City,$Q$4,d_Cuisine,$R$4,d_Pay,$S$4,d_Type,$T$4)</f>
        <v>66822</v>
      </c>
      <c r="H61" s="41" t="n">
        <f aca="false">IFERROR(AVERAGEIFS(d_OV,d_Rest,$B61,d_Year,$P$4,d_City,$Q$4,d_Cuisine,$R$4,d_Pay,$S$4,d_Type,$T$4),0)</f>
        <v>904.837606837607</v>
      </c>
      <c r="I61" s="57" t="n">
        <f aca="false">IFERROR(AVERAGEIFS(d_RRating,d_Rest,$B61,d_Year,$P$4,d_City,$Q$4,d_Cuisine,$R$4,d_Pay,$S$4,d_Type,$T$4),0)</f>
        <v>3.7042735042735</v>
      </c>
      <c r="J61" s="57" t="n">
        <f aca="false">IFERROR(AVERAGEIFS(d_CRating,d_Rest,$B61,d_Year,$P$4,d_City,$Q$4,d_Cuisine,$R$4,d_Pay,$S$4,d_Type,$T$4),0)</f>
        <v>4.08547008547009</v>
      </c>
      <c r="K61" s="58" t="n">
        <f aca="false">IFERROR(AVERAGEIFS(d_Time,d_Rest,$B61,d_Status,"Delivered",d_Year,$P$4,d_City,$Q$4,d_Cuisine,$R$4,d_Pay,$S$4,d_Type,$T$4),0)</f>
        <v>41.0897435897436</v>
      </c>
      <c r="L61" s="59" t="n">
        <f aca="false">RANK(G61,$G$61:$G$72)</f>
        <v>2</v>
      </c>
    </row>
    <row r="62" customFormat="false" ht="15" hidden="false" customHeight="false" outlineLevel="0" collapsed="false">
      <c r="B62" s="42" t="s">
        <v>132</v>
      </c>
      <c r="C62" s="44" t="n">
        <f aca="false">COUNTIFS(d_Rest,$B62,d_Year,$P$4,d_City,$Q$4,d_Cuisine,$R$4,d_Pay,$S$4,d_Type,$T$4)</f>
        <v>107</v>
      </c>
      <c r="D62" s="44" t="n">
        <f aca="false">COUNTIFS(d_Rest,$B62,d_Status,"Delivered",d_Year,$P$4,d_City,$Q$4,d_Cuisine,$R$4,d_Pay,$S$4,d_Type,$T$4)</f>
        <v>73</v>
      </c>
      <c r="E62" s="44" t="n">
        <f aca="false">COUNTIFS(d_Rest,$B62,d_Status,"Cancelled",d_Year,$P$4,d_City,$Q$4,d_Cuisine,$R$4,d_Pay,$S$4,d_Type,$T$4)</f>
        <v>15</v>
      </c>
      <c r="F62" s="52" t="n">
        <f aca="false">IFERROR(E62/C62,0)</f>
        <v>0.14018691588785</v>
      </c>
      <c r="G62" s="45" t="n">
        <f aca="false">SUMIFS(d_Net,d_Rest,$B62,d_Status,"Delivered",d_Year,$P$4,d_City,$Q$4,d_Cuisine,$R$4,d_Pay,$S$4,d_Type,$T$4)</f>
        <v>60113</v>
      </c>
      <c r="H62" s="45" t="n">
        <f aca="false">IFERROR(AVERAGEIFS(d_OV,d_Rest,$B62,d_Year,$P$4,d_City,$Q$4,d_Cuisine,$R$4,d_Pay,$S$4,d_Type,$T$4),0)</f>
        <v>867.943925233645</v>
      </c>
      <c r="I62" s="60" t="n">
        <f aca="false">IFERROR(AVERAGEIFS(d_RRating,d_Rest,$B62,d_Year,$P$4,d_City,$Q$4,d_Cuisine,$R$4,d_Pay,$S$4,d_Type,$T$4),0)</f>
        <v>3.76261682242991</v>
      </c>
      <c r="J62" s="60" t="n">
        <f aca="false">IFERROR(AVERAGEIFS(d_CRating,d_Rest,$B62,d_Year,$P$4,d_City,$Q$4,d_Cuisine,$R$4,d_Pay,$S$4,d_Type,$T$4),0)</f>
        <v>3.90654205607477</v>
      </c>
      <c r="K62" s="61" t="n">
        <f aca="false">IFERROR(AVERAGEIFS(d_Time,d_Rest,$B62,d_Status,"Delivered",d_Year,$P$4,d_City,$Q$4,d_Cuisine,$R$4,d_Pay,$S$4,d_Type,$T$4),0)</f>
        <v>42.027397260274</v>
      </c>
      <c r="L62" s="62" t="n">
        <f aca="false">RANK(G62,$G$61:$G$72)</f>
        <v>5</v>
      </c>
    </row>
    <row r="63" customFormat="false" ht="15" hidden="false" customHeight="false" outlineLevel="0" collapsed="false">
      <c r="B63" s="38" t="s">
        <v>133</v>
      </c>
      <c r="C63" s="40" t="n">
        <f aca="false">COUNTIFS(d_Rest,$B63,d_Year,$P$4,d_City,$Q$4,d_Cuisine,$R$4,d_Pay,$S$4,d_Type,$T$4)</f>
        <v>104</v>
      </c>
      <c r="D63" s="40" t="n">
        <f aca="false">COUNTIFS(d_Rest,$B63,d_Status,"Delivered",d_Year,$P$4,d_City,$Q$4,d_Cuisine,$R$4,d_Pay,$S$4,d_Type,$T$4)</f>
        <v>70</v>
      </c>
      <c r="E63" s="40" t="n">
        <f aca="false">COUNTIFS(d_Rest,$B63,d_Status,"Cancelled",d_Year,$P$4,d_City,$Q$4,d_Cuisine,$R$4,d_Pay,$S$4,d_Type,$T$4)</f>
        <v>22</v>
      </c>
      <c r="F63" s="51" t="n">
        <f aca="false">IFERROR(E63/C63,0)</f>
        <v>0.211538461538462</v>
      </c>
      <c r="G63" s="41" t="n">
        <f aca="false">SUMIFS(d_Net,d_Rest,$B63,d_Status,"Delivered",d_Year,$P$4,d_City,$Q$4,d_Cuisine,$R$4,d_Pay,$S$4,d_Type,$T$4)</f>
        <v>55539</v>
      </c>
      <c r="H63" s="41" t="n">
        <f aca="false">IFERROR(AVERAGEIFS(d_OV,d_Rest,$B63,d_Year,$P$4,d_City,$Q$4,d_Cuisine,$R$4,d_Pay,$S$4,d_Type,$T$4),0)</f>
        <v>883.951923076923</v>
      </c>
      <c r="I63" s="57" t="n">
        <f aca="false">IFERROR(AVERAGEIFS(d_RRating,d_Rest,$B63,d_Year,$P$4,d_City,$Q$4,d_Cuisine,$R$4,d_Pay,$S$4,d_Type,$T$4),0)</f>
        <v>3.75865384615385</v>
      </c>
      <c r="J63" s="57" t="n">
        <f aca="false">IFERROR(AVERAGEIFS(d_CRating,d_Rest,$B63,d_Year,$P$4,d_City,$Q$4,d_Cuisine,$R$4,d_Pay,$S$4,d_Type,$T$4),0)</f>
        <v>4.24038461538462</v>
      </c>
      <c r="K63" s="58" t="n">
        <f aca="false">IFERROR(AVERAGEIFS(d_Time,d_Rest,$B63,d_Status,"Delivered",d_Year,$P$4,d_City,$Q$4,d_Cuisine,$R$4,d_Pay,$S$4,d_Type,$T$4),0)</f>
        <v>42.2285714285714</v>
      </c>
      <c r="L63" s="59" t="n">
        <f aca="false">RANK(G63,$G$61:$G$72)</f>
        <v>9</v>
      </c>
    </row>
    <row r="64" customFormat="false" ht="15" hidden="false" customHeight="false" outlineLevel="0" collapsed="false">
      <c r="B64" s="42" t="s">
        <v>134</v>
      </c>
      <c r="C64" s="44" t="n">
        <f aca="false">COUNTIFS(d_Rest,$B64,d_Year,$P$4,d_City,$Q$4,d_Cuisine,$R$4,d_Pay,$S$4,d_Type,$T$4)</f>
        <v>102</v>
      </c>
      <c r="D64" s="44" t="n">
        <f aca="false">COUNTIFS(d_Rest,$B64,d_Status,"Delivered",d_Year,$P$4,d_City,$Q$4,d_Cuisine,$R$4,d_Pay,$S$4,d_Type,$T$4)</f>
        <v>70</v>
      </c>
      <c r="E64" s="44" t="n">
        <f aca="false">COUNTIFS(d_Rest,$B64,d_Status,"Cancelled",d_Year,$P$4,d_City,$Q$4,d_Cuisine,$R$4,d_Pay,$S$4,d_Type,$T$4)</f>
        <v>17</v>
      </c>
      <c r="F64" s="52" t="n">
        <f aca="false">IFERROR(E64/C64,0)</f>
        <v>0.166666666666667</v>
      </c>
      <c r="G64" s="45" t="n">
        <f aca="false">SUMIFS(d_Net,d_Rest,$B64,d_Status,"Delivered",d_Year,$P$4,d_City,$Q$4,d_Cuisine,$R$4,d_Pay,$S$4,d_Type,$T$4)</f>
        <v>59187</v>
      </c>
      <c r="H64" s="45" t="n">
        <f aca="false">IFERROR(AVERAGEIFS(d_OV,d_Rest,$B64,d_Year,$P$4,d_City,$Q$4,d_Cuisine,$R$4,d_Pay,$S$4,d_Type,$T$4),0)</f>
        <v>926.421568627451</v>
      </c>
      <c r="I64" s="60" t="n">
        <f aca="false">IFERROR(AVERAGEIFS(d_RRating,d_Rest,$B64,d_Year,$P$4,d_City,$Q$4,d_Cuisine,$R$4,d_Pay,$S$4,d_Type,$T$4),0)</f>
        <v>3.76176470588235</v>
      </c>
      <c r="J64" s="60" t="n">
        <f aca="false">IFERROR(AVERAGEIFS(d_CRating,d_Rest,$B64,d_Year,$P$4,d_City,$Q$4,d_Cuisine,$R$4,d_Pay,$S$4,d_Type,$T$4),0)</f>
        <v>3.83333333333333</v>
      </c>
      <c r="K64" s="61" t="n">
        <f aca="false">IFERROR(AVERAGEIFS(d_Time,d_Rest,$B64,d_Status,"Delivered",d_Year,$P$4,d_City,$Q$4,d_Cuisine,$R$4,d_Pay,$S$4,d_Type,$T$4),0)</f>
        <v>42.8428571428571</v>
      </c>
      <c r="L64" s="62" t="n">
        <f aca="false">RANK(G64,$G$61:$G$72)</f>
        <v>6</v>
      </c>
    </row>
    <row r="65" customFormat="false" ht="15" hidden="false" customHeight="false" outlineLevel="0" collapsed="false">
      <c r="B65" s="38" t="s">
        <v>135</v>
      </c>
      <c r="C65" s="40" t="n">
        <f aca="false">COUNTIFS(d_Rest,$B65,d_Year,$P$4,d_City,$Q$4,d_Cuisine,$R$4,d_Pay,$S$4,d_Type,$T$4)</f>
        <v>101</v>
      </c>
      <c r="D65" s="40" t="n">
        <f aca="false">COUNTIFS(d_Rest,$B65,d_Status,"Delivered",d_Year,$P$4,d_City,$Q$4,d_Cuisine,$R$4,d_Pay,$S$4,d_Type,$T$4)</f>
        <v>69</v>
      </c>
      <c r="E65" s="40" t="n">
        <f aca="false">COUNTIFS(d_Rest,$B65,d_Status,"Cancelled",d_Year,$P$4,d_City,$Q$4,d_Cuisine,$R$4,d_Pay,$S$4,d_Type,$T$4)</f>
        <v>17</v>
      </c>
      <c r="F65" s="51" t="n">
        <f aca="false">IFERROR(E65/C65,0)</f>
        <v>0.168316831683168</v>
      </c>
      <c r="G65" s="41" t="n">
        <f aca="false">SUMIFS(d_Net,d_Rest,$B65,d_Status,"Delivered",d_Year,$P$4,d_City,$Q$4,d_Cuisine,$R$4,d_Pay,$S$4,d_Type,$T$4)</f>
        <v>67652</v>
      </c>
      <c r="H65" s="41" t="n">
        <f aca="false">IFERROR(AVERAGEIFS(d_OV,d_Rest,$B65,d_Year,$P$4,d_City,$Q$4,d_Cuisine,$R$4,d_Pay,$S$4,d_Type,$T$4),0)</f>
        <v>1019.69306930693</v>
      </c>
      <c r="I65" s="57" t="n">
        <f aca="false">IFERROR(AVERAGEIFS(d_RRating,d_Rest,$B65,d_Year,$P$4,d_City,$Q$4,d_Cuisine,$R$4,d_Pay,$S$4,d_Type,$T$4),0)</f>
        <v>3.62376237623762</v>
      </c>
      <c r="J65" s="57" t="n">
        <f aca="false">IFERROR(AVERAGEIFS(d_CRating,d_Rest,$B65,d_Year,$P$4,d_City,$Q$4,d_Cuisine,$R$4,d_Pay,$S$4,d_Type,$T$4),0)</f>
        <v>3.9009900990099</v>
      </c>
      <c r="K65" s="58" t="n">
        <f aca="false">IFERROR(AVERAGEIFS(d_Time,d_Rest,$B65,d_Status,"Delivered",d_Year,$P$4,d_City,$Q$4,d_Cuisine,$R$4,d_Pay,$S$4,d_Type,$T$4),0)</f>
        <v>41.2028985507246</v>
      </c>
      <c r="L65" s="59" t="n">
        <f aca="false">RANK(G65,$G$61:$G$72)</f>
        <v>1</v>
      </c>
    </row>
    <row r="66" customFormat="false" ht="15" hidden="false" customHeight="false" outlineLevel="0" collapsed="false">
      <c r="B66" s="42" t="s">
        <v>136</v>
      </c>
      <c r="C66" s="44" t="n">
        <f aca="false">COUNTIFS(d_Rest,$B66,d_Year,$P$4,d_City,$Q$4,d_Cuisine,$R$4,d_Pay,$S$4,d_Type,$T$4)</f>
        <v>100</v>
      </c>
      <c r="D66" s="44" t="n">
        <f aca="false">COUNTIFS(d_Rest,$B66,d_Status,"Delivered",d_Year,$P$4,d_City,$Q$4,d_Cuisine,$R$4,d_Pay,$S$4,d_Type,$T$4)</f>
        <v>67</v>
      </c>
      <c r="E66" s="44" t="n">
        <f aca="false">COUNTIFS(d_Rest,$B66,d_Status,"Cancelled",d_Year,$P$4,d_City,$Q$4,d_Cuisine,$R$4,d_Pay,$S$4,d_Type,$T$4)</f>
        <v>11</v>
      </c>
      <c r="F66" s="52" t="n">
        <f aca="false">IFERROR(E66/C66,0)</f>
        <v>0.11</v>
      </c>
      <c r="G66" s="45" t="n">
        <f aca="false">SUMIFS(d_Net,d_Rest,$B66,d_Status,"Delivered",d_Year,$P$4,d_City,$Q$4,d_Cuisine,$R$4,d_Pay,$S$4,d_Type,$T$4)</f>
        <v>63464</v>
      </c>
      <c r="H66" s="45" t="n">
        <f aca="false">IFERROR(AVERAGEIFS(d_OV,d_Rest,$B66,d_Year,$P$4,d_City,$Q$4,d_Cuisine,$R$4,d_Pay,$S$4,d_Type,$T$4),0)</f>
        <v>926.22</v>
      </c>
      <c r="I66" s="60" t="n">
        <f aca="false">IFERROR(AVERAGEIFS(d_RRating,d_Rest,$B66,d_Year,$P$4,d_City,$Q$4,d_Cuisine,$R$4,d_Pay,$S$4,d_Type,$T$4),0)</f>
        <v>3.676</v>
      </c>
      <c r="J66" s="60" t="n">
        <f aca="false">IFERROR(AVERAGEIFS(d_CRating,d_Rest,$B66,d_Year,$P$4,d_City,$Q$4,d_Cuisine,$R$4,d_Pay,$S$4,d_Type,$T$4),0)</f>
        <v>4</v>
      </c>
      <c r="K66" s="61" t="n">
        <f aca="false">IFERROR(AVERAGEIFS(d_Time,d_Rest,$B66,d_Status,"Delivered",d_Year,$P$4,d_City,$Q$4,d_Cuisine,$R$4,d_Pay,$S$4,d_Type,$T$4),0)</f>
        <v>40.4029850746269</v>
      </c>
      <c r="L66" s="62" t="n">
        <f aca="false">RANK(G66,$G$61:$G$72)</f>
        <v>3</v>
      </c>
    </row>
    <row r="67" customFormat="false" ht="15" hidden="false" customHeight="false" outlineLevel="0" collapsed="false">
      <c r="B67" s="38" t="s">
        <v>137</v>
      </c>
      <c r="C67" s="40" t="n">
        <f aca="false">COUNTIFS(d_Rest,$B67,d_Year,$P$4,d_City,$Q$4,d_Cuisine,$R$4,d_Pay,$S$4,d_Type,$T$4)</f>
        <v>99</v>
      </c>
      <c r="D67" s="40" t="n">
        <f aca="false">COUNTIFS(d_Rest,$B67,d_Status,"Delivered",d_Year,$P$4,d_City,$Q$4,d_Cuisine,$R$4,d_Pay,$S$4,d_Type,$T$4)</f>
        <v>74</v>
      </c>
      <c r="E67" s="40" t="n">
        <f aca="false">COUNTIFS(d_Rest,$B67,d_Status,"Cancelled",d_Year,$P$4,d_City,$Q$4,d_Cuisine,$R$4,d_Pay,$S$4,d_Type,$T$4)</f>
        <v>18</v>
      </c>
      <c r="F67" s="51" t="n">
        <f aca="false">IFERROR(E67/C67,0)</f>
        <v>0.181818181818182</v>
      </c>
      <c r="G67" s="41" t="n">
        <f aca="false">SUMIFS(d_Net,d_Rest,$B67,d_Status,"Delivered",d_Year,$P$4,d_City,$Q$4,d_Cuisine,$R$4,d_Pay,$S$4,d_Type,$T$4)</f>
        <v>60969</v>
      </c>
      <c r="H67" s="41" t="n">
        <f aca="false">IFERROR(AVERAGEIFS(d_OV,d_Rest,$B67,d_Year,$P$4,d_City,$Q$4,d_Cuisine,$R$4,d_Pay,$S$4,d_Type,$T$4),0)</f>
        <v>876</v>
      </c>
      <c r="I67" s="57" t="n">
        <f aca="false">IFERROR(AVERAGEIFS(d_RRating,d_Rest,$B67,d_Year,$P$4,d_City,$Q$4,d_Cuisine,$R$4,d_Pay,$S$4,d_Type,$T$4),0)</f>
        <v>3.86666666666667</v>
      </c>
      <c r="J67" s="57" t="n">
        <f aca="false">IFERROR(AVERAGEIFS(d_CRating,d_Rest,$B67,d_Year,$P$4,d_City,$Q$4,d_Cuisine,$R$4,d_Pay,$S$4,d_Type,$T$4),0)</f>
        <v>4.18181818181818</v>
      </c>
      <c r="K67" s="58" t="n">
        <f aca="false">IFERROR(AVERAGEIFS(d_Time,d_Rest,$B67,d_Status,"Delivered",d_Year,$P$4,d_City,$Q$4,d_Cuisine,$R$4,d_Pay,$S$4,d_Type,$T$4),0)</f>
        <v>42.0540540540541</v>
      </c>
      <c r="L67" s="59" t="n">
        <f aca="false">RANK(G67,$G$61:$G$72)</f>
        <v>4</v>
      </c>
    </row>
    <row r="68" customFormat="false" ht="15" hidden="false" customHeight="false" outlineLevel="0" collapsed="false">
      <c r="B68" s="42" t="s">
        <v>138</v>
      </c>
      <c r="C68" s="44" t="n">
        <f aca="false">COUNTIFS(d_Rest,$B68,d_Year,$P$4,d_City,$Q$4,d_Cuisine,$R$4,d_Pay,$S$4,d_Type,$T$4)</f>
        <v>98</v>
      </c>
      <c r="D68" s="44" t="n">
        <f aca="false">COUNTIFS(d_Rest,$B68,d_Status,"Delivered",d_Year,$P$4,d_City,$Q$4,d_Cuisine,$R$4,d_Pay,$S$4,d_Type,$T$4)</f>
        <v>60</v>
      </c>
      <c r="E68" s="44" t="n">
        <f aca="false">COUNTIFS(d_Rest,$B68,d_Status,"Cancelled",d_Year,$P$4,d_City,$Q$4,d_Cuisine,$R$4,d_Pay,$S$4,d_Type,$T$4)</f>
        <v>14</v>
      </c>
      <c r="F68" s="52" t="n">
        <f aca="false">IFERROR(E68/C68,0)</f>
        <v>0.142857142857143</v>
      </c>
      <c r="G68" s="45" t="n">
        <f aca="false">SUMIFS(d_Net,d_Rest,$B68,d_Status,"Delivered",d_Year,$P$4,d_City,$Q$4,d_Cuisine,$R$4,d_Pay,$S$4,d_Type,$T$4)</f>
        <v>54523</v>
      </c>
      <c r="H68" s="45" t="n">
        <f aca="false">IFERROR(AVERAGEIFS(d_OV,d_Rest,$B68,d_Year,$P$4,d_City,$Q$4,d_Cuisine,$R$4,d_Pay,$S$4,d_Type,$T$4),0)</f>
        <v>978.673469387755</v>
      </c>
      <c r="I68" s="60" t="n">
        <f aca="false">IFERROR(AVERAGEIFS(d_RRating,d_Rest,$B68,d_Year,$P$4,d_City,$Q$4,d_Cuisine,$R$4,d_Pay,$S$4,d_Type,$T$4),0)</f>
        <v>3.7</v>
      </c>
      <c r="J68" s="60" t="n">
        <f aca="false">IFERROR(AVERAGEIFS(d_CRating,d_Rest,$B68,d_Year,$P$4,d_City,$Q$4,d_Cuisine,$R$4,d_Pay,$S$4,d_Type,$T$4),0)</f>
        <v>4.18367346938776</v>
      </c>
      <c r="K68" s="61" t="n">
        <f aca="false">IFERROR(AVERAGEIFS(d_Time,d_Rest,$B68,d_Status,"Delivered",d_Year,$P$4,d_City,$Q$4,d_Cuisine,$R$4,d_Pay,$S$4,d_Type,$T$4),0)</f>
        <v>43.5</v>
      </c>
      <c r="L68" s="62" t="n">
        <f aca="false">RANK(G68,$G$61:$G$72)</f>
        <v>11</v>
      </c>
    </row>
    <row r="69" customFormat="false" ht="15" hidden="false" customHeight="false" outlineLevel="0" collapsed="false">
      <c r="B69" s="38" t="s">
        <v>139</v>
      </c>
      <c r="C69" s="40" t="n">
        <f aca="false">COUNTIFS(d_Rest,$B69,d_Year,$P$4,d_City,$Q$4,d_Cuisine,$R$4,d_Pay,$S$4,d_Type,$T$4)</f>
        <v>97</v>
      </c>
      <c r="D69" s="40" t="n">
        <f aca="false">COUNTIFS(d_Rest,$B69,d_Status,"Delivered",d_Year,$P$4,d_City,$Q$4,d_Cuisine,$R$4,d_Pay,$S$4,d_Type,$T$4)</f>
        <v>62</v>
      </c>
      <c r="E69" s="40" t="n">
        <f aca="false">COUNTIFS(d_Rest,$B69,d_Status,"Cancelled",d_Year,$P$4,d_City,$Q$4,d_Cuisine,$R$4,d_Pay,$S$4,d_Type,$T$4)</f>
        <v>21</v>
      </c>
      <c r="F69" s="51" t="n">
        <f aca="false">IFERROR(E69/C69,0)</f>
        <v>0.216494845360825</v>
      </c>
      <c r="G69" s="41" t="n">
        <f aca="false">SUMIFS(d_Net,d_Rest,$B69,d_Status,"Delivered",d_Year,$P$4,d_City,$Q$4,d_Cuisine,$R$4,d_Pay,$S$4,d_Type,$T$4)</f>
        <v>56948</v>
      </c>
      <c r="H69" s="41" t="n">
        <f aca="false">IFERROR(AVERAGEIFS(d_OV,d_Rest,$B69,d_Year,$P$4,d_City,$Q$4,d_Cuisine,$R$4,d_Pay,$S$4,d_Type,$T$4),0)</f>
        <v>957.082474226804</v>
      </c>
      <c r="I69" s="57" t="n">
        <f aca="false">IFERROR(AVERAGEIFS(d_RRating,d_Rest,$B69,d_Year,$P$4,d_City,$Q$4,d_Cuisine,$R$4,d_Pay,$S$4,d_Type,$T$4),0)</f>
        <v>3.76185567010309</v>
      </c>
      <c r="J69" s="57" t="n">
        <f aca="false">IFERROR(AVERAGEIFS(d_CRating,d_Rest,$B69,d_Year,$P$4,d_City,$Q$4,d_Cuisine,$R$4,d_Pay,$S$4,d_Type,$T$4),0)</f>
        <v>3.85567010309278</v>
      </c>
      <c r="K69" s="58" t="n">
        <f aca="false">IFERROR(AVERAGEIFS(d_Time,d_Rest,$B69,d_Status,"Delivered",d_Year,$P$4,d_City,$Q$4,d_Cuisine,$R$4,d_Pay,$S$4,d_Type,$T$4),0)</f>
        <v>41.5483870967742</v>
      </c>
      <c r="L69" s="59" t="n">
        <f aca="false">RANK(G69,$G$61:$G$72)</f>
        <v>8</v>
      </c>
    </row>
    <row r="70" customFormat="false" ht="15" hidden="false" customHeight="false" outlineLevel="0" collapsed="false">
      <c r="B70" s="42" t="s">
        <v>140</v>
      </c>
      <c r="C70" s="44" t="n">
        <f aca="false">COUNTIFS(d_Rest,$B70,d_Year,$P$4,d_City,$Q$4,d_Cuisine,$R$4,d_Pay,$S$4,d_Type,$T$4)</f>
        <v>93</v>
      </c>
      <c r="D70" s="44" t="n">
        <f aca="false">COUNTIFS(d_Rest,$B70,d_Status,"Delivered",d_Year,$P$4,d_City,$Q$4,d_Cuisine,$R$4,d_Pay,$S$4,d_Type,$T$4)</f>
        <v>54</v>
      </c>
      <c r="E70" s="44" t="n">
        <f aca="false">COUNTIFS(d_Rest,$B70,d_Status,"Cancelled",d_Year,$P$4,d_City,$Q$4,d_Cuisine,$R$4,d_Pay,$S$4,d_Type,$T$4)</f>
        <v>15</v>
      </c>
      <c r="F70" s="52" t="n">
        <f aca="false">IFERROR(E70/C70,0)</f>
        <v>0.161290322580645</v>
      </c>
      <c r="G70" s="45" t="n">
        <f aca="false">SUMIFS(d_Net,d_Rest,$B70,d_Status,"Delivered",d_Year,$P$4,d_City,$Q$4,d_Cuisine,$R$4,d_Pay,$S$4,d_Type,$T$4)</f>
        <v>42448</v>
      </c>
      <c r="H70" s="45" t="n">
        <f aca="false">IFERROR(AVERAGEIFS(d_OV,d_Rest,$B70,d_Year,$P$4,d_City,$Q$4,d_Cuisine,$R$4,d_Pay,$S$4,d_Type,$T$4),0)</f>
        <v>863.548387096774</v>
      </c>
      <c r="I70" s="60" t="n">
        <f aca="false">IFERROR(AVERAGEIFS(d_RRating,d_Rest,$B70,d_Year,$P$4,d_City,$Q$4,d_Cuisine,$R$4,d_Pay,$S$4,d_Type,$T$4),0)</f>
        <v>3.72150537634409</v>
      </c>
      <c r="J70" s="60" t="n">
        <f aca="false">IFERROR(AVERAGEIFS(d_CRating,d_Rest,$B70,d_Year,$P$4,d_City,$Q$4,d_Cuisine,$R$4,d_Pay,$S$4,d_Type,$T$4),0)</f>
        <v>4.02150537634409</v>
      </c>
      <c r="K70" s="61" t="n">
        <f aca="false">IFERROR(AVERAGEIFS(d_Time,d_Rest,$B70,d_Status,"Delivered",d_Year,$P$4,d_City,$Q$4,d_Cuisine,$R$4,d_Pay,$S$4,d_Type,$T$4),0)</f>
        <v>40.4814814814815</v>
      </c>
      <c r="L70" s="62" t="n">
        <f aca="false">RANK(G70,$G$61:$G$72)</f>
        <v>12</v>
      </c>
    </row>
    <row r="71" customFormat="false" ht="15" hidden="false" customHeight="false" outlineLevel="0" collapsed="false">
      <c r="B71" s="38" t="s">
        <v>141</v>
      </c>
      <c r="C71" s="40" t="n">
        <f aca="false">COUNTIFS(d_Rest,$B71,d_Year,$P$4,d_City,$Q$4,d_Cuisine,$R$4,d_Pay,$S$4,d_Type,$T$4)</f>
        <v>93</v>
      </c>
      <c r="D71" s="40" t="n">
        <f aca="false">COUNTIFS(d_Rest,$B71,d_Status,"Delivered",d_Year,$P$4,d_City,$Q$4,d_Cuisine,$R$4,d_Pay,$S$4,d_Type,$T$4)</f>
        <v>57</v>
      </c>
      <c r="E71" s="40" t="n">
        <f aca="false">COUNTIFS(d_Rest,$B71,d_Status,"Cancelled",d_Year,$P$4,d_City,$Q$4,d_Cuisine,$R$4,d_Pay,$S$4,d_Type,$T$4)</f>
        <v>22</v>
      </c>
      <c r="F71" s="51" t="n">
        <f aca="false">IFERROR(E71/C71,0)</f>
        <v>0.236559139784946</v>
      </c>
      <c r="G71" s="41" t="n">
        <f aca="false">SUMIFS(d_Net,d_Rest,$B71,d_Status,"Delivered",d_Year,$P$4,d_City,$Q$4,d_Cuisine,$R$4,d_Pay,$S$4,d_Type,$T$4)</f>
        <v>54955</v>
      </c>
      <c r="H71" s="41" t="n">
        <f aca="false">IFERROR(AVERAGEIFS(d_OV,d_Rest,$B71,d_Year,$P$4,d_City,$Q$4,d_Cuisine,$R$4,d_Pay,$S$4,d_Type,$T$4),0)</f>
        <v>989.182795698925</v>
      </c>
      <c r="I71" s="57" t="n">
        <f aca="false">IFERROR(AVERAGEIFS(d_RRating,d_Rest,$B71,d_Year,$P$4,d_City,$Q$4,d_Cuisine,$R$4,d_Pay,$S$4,d_Type,$T$4),0)</f>
        <v>3.60215053763441</v>
      </c>
      <c r="J71" s="57" t="n">
        <f aca="false">IFERROR(AVERAGEIFS(d_CRating,d_Rest,$B71,d_Year,$P$4,d_City,$Q$4,d_Cuisine,$R$4,d_Pay,$S$4,d_Type,$T$4),0)</f>
        <v>3.96774193548387</v>
      </c>
      <c r="K71" s="58" t="n">
        <f aca="false">IFERROR(AVERAGEIFS(d_Time,d_Rest,$B71,d_Status,"Delivered",d_Year,$P$4,d_City,$Q$4,d_Cuisine,$R$4,d_Pay,$S$4,d_Type,$T$4),0)</f>
        <v>39.8771929824561</v>
      </c>
      <c r="L71" s="59" t="n">
        <f aca="false">RANK(G71,$G$61:$G$72)</f>
        <v>10</v>
      </c>
    </row>
    <row r="72" customFormat="false" ht="15" hidden="false" customHeight="false" outlineLevel="0" collapsed="false">
      <c r="B72" s="42" t="s">
        <v>142</v>
      </c>
      <c r="C72" s="44" t="n">
        <f aca="false">COUNTIFS(d_Rest,$B72,d_Year,$P$4,d_City,$Q$4,d_Cuisine,$R$4,d_Pay,$S$4,d_Type,$T$4)</f>
        <v>89</v>
      </c>
      <c r="D72" s="44" t="n">
        <f aca="false">COUNTIFS(d_Rest,$B72,d_Status,"Delivered",d_Year,$P$4,d_City,$Q$4,d_Cuisine,$R$4,d_Pay,$S$4,d_Type,$T$4)</f>
        <v>57</v>
      </c>
      <c r="E72" s="44" t="n">
        <f aca="false">COUNTIFS(d_Rest,$B72,d_Status,"Cancelled",d_Year,$P$4,d_City,$Q$4,d_Cuisine,$R$4,d_Pay,$S$4,d_Type,$T$4)</f>
        <v>14</v>
      </c>
      <c r="F72" s="52" t="n">
        <f aca="false">IFERROR(E72/C72,0)</f>
        <v>0.157303370786517</v>
      </c>
      <c r="G72" s="45" t="n">
        <f aca="false">SUMIFS(d_Net,d_Rest,$B72,d_Status,"Delivered",d_Year,$P$4,d_City,$Q$4,d_Cuisine,$R$4,d_Pay,$S$4,d_Type,$T$4)</f>
        <v>57330</v>
      </c>
      <c r="H72" s="45" t="n">
        <f aca="false">IFERROR(AVERAGEIFS(d_OV,d_Rest,$B72,d_Year,$P$4,d_City,$Q$4,d_Cuisine,$R$4,d_Pay,$S$4,d_Type,$T$4),0)</f>
        <v>999.966292134831</v>
      </c>
      <c r="I72" s="60" t="n">
        <f aca="false">IFERROR(AVERAGEIFS(d_RRating,d_Rest,$B72,d_Year,$P$4,d_City,$Q$4,d_Cuisine,$R$4,d_Pay,$S$4,d_Type,$T$4),0)</f>
        <v>3.6561797752809</v>
      </c>
      <c r="J72" s="60" t="n">
        <f aca="false">IFERROR(AVERAGEIFS(d_CRating,d_Rest,$B72,d_Year,$P$4,d_City,$Q$4,d_Cuisine,$R$4,d_Pay,$S$4,d_Type,$T$4),0)</f>
        <v>4.03370786516854</v>
      </c>
      <c r="K72" s="61" t="n">
        <f aca="false">IFERROR(AVERAGEIFS(d_Time,d_Rest,$B72,d_Status,"Delivered",d_Year,$P$4,d_City,$Q$4,d_Cuisine,$R$4,d_Pay,$S$4,d_Type,$T$4),0)</f>
        <v>40.6315789473684</v>
      </c>
      <c r="L72" s="62" t="n">
        <f aca="false">RANK(G72,$G$61:$G$72)</f>
        <v>7</v>
      </c>
    </row>
    <row r="73" customFormat="false" ht="15" hidden="false" customHeight="false" outlineLevel="0" collapsed="false">
      <c r="B73" s="46" t="s">
        <v>69</v>
      </c>
      <c r="C73" s="48" t="n">
        <f aca="false">SUM(C61:C72)</f>
        <v>1200</v>
      </c>
      <c r="D73" s="48" t="n">
        <f aca="false">SUM(D61:D72)</f>
        <v>791</v>
      </c>
      <c r="E73" s="48" t="n">
        <f aca="false">SUM(E61:E72)</f>
        <v>202</v>
      </c>
      <c r="F73" s="53" t="n">
        <f aca="false">IFERROR(E73/C73,0)</f>
        <v>0.168333333333333</v>
      </c>
      <c r="G73" s="49" t="n">
        <f aca="false">SUM(G61:G72)</f>
        <v>699950</v>
      </c>
      <c r="H73" s="49" t="n">
        <f aca="false">AVERAGEIFS(d_OV,d_ID,"&lt;&gt;",d_Year,$P$4,d_City,$Q$4,d_Cuisine,$R$4,d_Pay,$S$4,d_Type,$T$4)</f>
        <v>931.2875</v>
      </c>
      <c r="I73" s="63" t="n">
        <f aca="false">AVERAGEIFS(d_RRating,d_ID,"&lt;&gt;",d_Year,$P$4,d_City,$Q$4,d_Cuisine,$R$4,d_Pay,$S$4,d_Type,$T$4)</f>
        <v>3.7175</v>
      </c>
      <c r="J73" s="63" t="n">
        <f aca="false">AVERAGEIFS(d_CRating,d_ID,"&lt;&gt;",d_Year,$P$4,d_City,$Q$4,d_Cuisine,$R$4,d_Pay,$S$4,d_Type,$T$4)</f>
        <v>4.01833333333333</v>
      </c>
      <c r="K73" s="64" t="n">
        <f aca="false">IFERROR(AVERAGEIFS(d_Time,d_Status,"Delivered",d_Year,$P$4,d_City,$Q$4,d_Cuisine,$R$4,d_Pay,$S$4,d_Type,$T$4),0)</f>
        <v>41.5309734513274</v>
      </c>
      <c r="L73" s="47"/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1C9"/>
    <pageSetUpPr fitToPage="false"/>
  </sheetPr>
  <dimension ref="B1:T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143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144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145</v>
      </c>
      <c r="C5" s="3"/>
      <c r="D5" s="5" t="s">
        <v>146</v>
      </c>
      <c r="E5" s="5"/>
      <c r="F5" s="4" t="s">
        <v>147</v>
      </c>
      <c r="G5" s="4"/>
      <c r="H5" s="7" t="s">
        <v>148</v>
      </c>
      <c r="I5" s="7"/>
      <c r="J5" s="8" t="s">
        <v>149</v>
      </c>
      <c r="K5" s="8"/>
      <c r="L5" s="6" t="s">
        <v>150</v>
      </c>
      <c r="M5" s="6"/>
    </row>
    <row r="6" customFormat="false" ht="36" hidden="false" customHeight="true" outlineLevel="0" collapsed="false">
      <c r="B6" s="9" t="n">
        <f aca="false">COUNTIF(Customers!$B$2:$B$351,"&gt;0")</f>
        <v>350</v>
      </c>
      <c r="C6" s="9"/>
      <c r="D6" s="65" t="n">
        <f aca="false">COUNTIF(Customers!$B$2:$B$351,"&gt;1")</f>
        <v>350</v>
      </c>
      <c r="E6" s="65"/>
      <c r="F6" s="66" t="n">
        <f aca="false">IFERROR(COUNTIF(Customers!$B$2:$B$351,"&gt;1")/COUNTIF(Customers!$B$2:$B$351,"&gt;0"),0)</f>
        <v>1</v>
      </c>
      <c r="G6" s="66"/>
      <c r="H6" s="67" t="n">
        <f aca="false">IFERROR(COUNTIFS(d_ID,"&lt;&gt;",d_Year,$P$4,d_City,$Q$4,d_Cuisine,$R$4,d_Pay,$S$4,d_Type,$T$4)/COUNTIF(Customers!$B$2:$B$351,"&gt;0"),0)</f>
        <v>3.42857142857143</v>
      </c>
      <c r="I6" s="67"/>
      <c r="J6" s="68" t="n">
        <f aca="false">AVERAGEIFS(d_Age,d_ID,"&lt;&gt;",d_Year,$P$4,d_City,$Q$4,d_Cuisine,$R$4,d_Pay,$S$4,d_Type,$T$4)</f>
        <v>39.025</v>
      </c>
      <c r="K6" s="68"/>
      <c r="L6" s="69" t="n">
        <f aca="false">IFERROR(SUM(Customers!$D$2:$D$351)/COUNTIF(Customers!$B$2:$B$351,"&gt;0"),0)</f>
        <v>1999.85714285714</v>
      </c>
      <c r="M6" s="69"/>
    </row>
    <row r="7" customFormat="false" ht="24" hidden="false" customHeight="true" outlineLevel="0" collapsed="false">
      <c r="B7" s="15" t="s">
        <v>151</v>
      </c>
      <c r="C7" s="15"/>
      <c r="D7" s="15" t="s">
        <v>152</v>
      </c>
      <c r="E7" s="15"/>
      <c r="F7" s="15" t="s">
        <v>153</v>
      </c>
      <c r="G7" s="15"/>
      <c r="H7" s="15" t="s">
        <v>154</v>
      </c>
      <c r="I7" s="15"/>
      <c r="J7" s="15" t="s">
        <v>155</v>
      </c>
      <c r="K7" s="15"/>
      <c r="L7" s="15" t="s">
        <v>156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157</v>
      </c>
    </row>
    <row r="60" customFormat="false" ht="30" hidden="false" customHeight="true" outlineLevel="0" collapsed="false">
      <c r="B60" s="36" t="s">
        <v>158</v>
      </c>
      <c r="C60" s="37" t="s">
        <v>159</v>
      </c>
      <c r="D60" s="37" t="s">
        <v>160</v>
      </c>
      <c r="E60" s="37" t="s">
        <v>64</v>
      </c>
      <c r="F60" s="37" t="s">
        <v>65</v>
      </c>
      <c r="G60" s="37" t="s">
        <v>126</v>
      </c>
      <c r="H60" s="37" t="s">
        <v>68</v>
      </c>
      <c r="I60" s="37" t="s">
        <v>161</v>
      </c>
    </row>
    <row r="61" customFormat="false" ht="15" hidden="false" customHeight="false" outlineLevel="0" collapsed="false">
      <c r="B61" s="38" t="s">
        <v>162</v>
      </c>
      <c r="C61" s="70" t="n">
        <v>18</v>
      </c>
      <c r="D61" s="70" t="n">
        <v>24</v>
      </c>
      <c r="E61" s="40" t="n">
        <f aca="false">COUNTIFS(d_Age,"&gt;="&amp;$C61,d_Age,"&lt;="&amp;$D61,d_Year,$P$4,d_City,$Q$4,d_Cuisine,$R$4,d_Pay,$S$4,d_Type,$T$4)</f>
        <v>186</v>
      </c>
      <c r="F61" s="40" t="n">
        <f aca="false">COUNTIFS(d_Age,"&gt;="&amp;$C61,d_Age,"&lt;="&amp;$D61,d_Status,"Delivered",d_Year,$P$4,d_City,$Q$4,d_Cuisine,$R$4,d_Pay,$S$4,d_Type,$T$4)</f>
        <v>130</v>
      </c>
      <c r="G61" s="41" t="n">
        <f aca="false">SUMIFS(d_Net,d_Age,"&gt;="&amp;$C61,d_Age,"&lt;="&amp;$D61,d_Status,"Delivered",d_Year,$P$4,d_City,$Q$4,d_Cuisine,$R$4,d_Pay,$S$4,d_Type,$T$4)</f>
        <v>105420</v>
      </c>
      <c r="H61" s="41" t="n">
        <f aca="false">IFERROR(AVERAGEIFS(d_OV,d_Age,"&gt;="&amp;$C61,d_Age,"&lt;="&amp;$D61,d_Year,$P$4,d_City,$Q$4,d_Cuisine,$R$4,d_Pay,$S$4,d_Type,$T$4),0)</f>
        <v>856.639784946237</v>
      </c>
      <c r="I61" s="57" t="n">
        <f aca="false">IFERROR(AVERAGEIFS(d_CRating,d_Age,"&gt;="&amp;$C61,d_Age,"&lt;="&amp;$D61,d_Year,$P$4,d_City,$Q$4,d_Cuisine,$R$4,d_Pay,$S$4,d_Type,$T$4),0)</f>
        <v>4.05376344086022</v>
      </c>
    </row>
    <row r="62" customFormat="false" ht="15" hidden="false" customHeight="false" outlineLevel="0" collapsed="false">
      <c r="B62" s="42" t="s">
        <v>163</v>
      </c>
      <c r="C62" s="71" t="n">
        <v>25</v>
      </c>
      <c r="D62" s="71" t="n">
        <v>34</v>
      </c>
      <c r="E62" s="44" t="n">
        <f aca="false">COUNTIFS(d_Age,"&gt;="&amp;$C62,d_Age,"&lt;="&amp;$D62,d_Year,$P$4,d_City,$Q$4,d_Cuisine,$R$4,d_Pay,$S$4,d_Type,$T$4)</f>
        <v>285</v>
      </c>
      <c r="F62" s="44" t="n">
        <f aca="false">COUNTIFS(d_Age,"&gt;="&amp;$C62,d_Age,"&lt;="&amp;$D62,d_Status,"Delivered",d_Year,$P$4,d_City,$Q$4,d_Cuisine,$R$4,d_Pay,$S$4,d_Type,$T$4)</f>
        <v>181</v>
      </c>
      <c r="G62" s="45" t="n">
        <f aca="false">SUMIFS(d_Net,d_Age,"&gt;="&amp;$C62,d_Age,"&lt;="&amp;$D62,d_Status,"Delivered",d_Year,$P$4,d_City,$Q$4,d_Cuisine,$R$4,d_Pay,$S$4,d_Type,$T$4)</f>
        <v>160352</v>
      </c>
      <c r="H62" s="45" t="n">
        <f aca="false">IFERROR(AVERAGEIFS(d_OV,d_Age,"&gt;="&amp;$C62,d_Age,"&lt;="&amp;$D62,d_Year,$P$4,d_City,$Q$4,d_Cuisine,$R$4,d_Pay,$S$4,d_Type,$T$4),0)</f>
        <v>947.442105263158</v>
      </c>
      <c r="I62" s="60" t="n">
        <f aca="false">IFERROR(AVERAGEIFS(d_CRating,d_Age,"&gt;="&amp;$C62,d_Age,"&lt;="&amp;$D62,d_Year,$P$4,d_City,$Q$4,d_Cuisine,$R$4,d_Pay,$S$4,d_Type,$T$4),0)</f>
        <v>3.94385964912281</v>
      </c>
    </row>
    <row r="63" customFormat="false" ht="15" hidden="false" customHeight="false" outlineLevel="0" collapsed="false">
      <c r="B63" s="38" t="s">
        <v>164</v>
      </c>
      <c r="C63" s="70" t="n">
        <v>35</v>
      </c>
      <c r="D63" s="70" t="n">
        <v>44</v>
      </c>
      <c r="E63" s="40" t="n">
        <f aca="false">COUNTIFS(d_Age,"&gt;="&amp;$C63,d_Age,"&lt;="&amp;$D63,d_Year,$P$4,d_City,$Q$4,d_Cuisine,$R$4,d_Pay,$S$4,d_Type,$T$4)</f>
        <v>279</v>
      </c>
      <c r="F63" s="40" t="n">
        <f aca="false">COUNTIFS(d_Age,"&gt;="&amp;$C63,d_Age,"&lt;="&amp;$D63,d_Status,"Delivered",d_Year,$P$4,d_City,$Q$4,d_Cuisine,$R$4,d_Pay,$S$4,d_Type,$T$4)</f>
        <v>180</v>
      </c>
      <c r="G63" s="41" t="n">
        <f aca="false">SUMIFS(d_Net,d_Age,"&gt;="&amp;$C63,d_Age,"&lt;="&amp;$D63,d_Status,"Delivered",d_Year,$P$4,d_City,$Q$4,d_Cuisine,$R$4,d_Pay,$S$4,d_Type,$T$4)</f>
        <v>167235</v>
      </c>
      <c r="H63" s="41" t="n">
        <f aca="false">IFERROR(AVERAGEIFS(d_OV,d_Age,"&gt;="&amp;$C63,d_Age,"&lt;="&amp;$D63,d_Year,$P$4,d_City,$Q$4,d_Cuisine,$R$4,d_Pay,$S$4,d_Type,$T$4),0)</f>
        <v>983.709677419355</v>
      </c>
      <c r="I63" s="57" t="n">
        <f aca="false">IFERROR(AVERAGEIFS(d_CRating,d_Age,"&gt;="&amp;$C63,d_Age,"&lt;="&amp;$D63,d_Year,$P$4,d_City,$Q$4,d_Cuisine,$R$4,d_Pay,$S$4,d_Type,$T$4),0)</f>
        <v>3.93189964157706</v>
      </c>
    </row>
    <row r="64" customFormat="false" ht="15" hidden="false" customHeight="false" outlineLevel="0" collapsed="false">
      <c r="B64" s="42" t="s">
        <v>165</v>
      </c>
      <c r="C64" s="71" t="n">
        <v>45</v>
      </c>
      <c r="D64" s="71" t="n">
        <v>54</v>
      </c>
      <c r="E64" s="44" t="n">
        <f aca="false">COUNTIFS(d_Age,"&gt;="&amp;$C64,d_Age,"&lt;="&amp;$D64,d_Year,$P$4,d_City,$Q$4,d_Cuisine,$R$4,d_Pay,$S$4,d_Type,$T$4)</f>
        <v>294</v>
      </c>
      <c r="F64" s="44" t="n">
        <f aca="false">COUNTIFS(d_Age,"&gt;="&amp;$C64,d_Age,"&lt;="&amp;$D64,d_Status,"Delivered",d_Year,$P$4,d_City,$Q$4,d_Cuisine,$R$4,d_Pay,$S$4,d_Type,$T$4)</f>
        <v>197</v>
      </c>
      <c r="G64" s="45" t="n">
        <f aca="false">SUMIFS(d_Net,d_Age,"&gt;="&amp;$C64,d_Age,"&lt;="&amp;$D64,d_Status,"Delivered",d_Year,$P$4,d_City,$Q$4,d_Cuisine,$R$4,d_Pay,$S$4,d_Type,$T$4)</f>
        <v>173287</v>
      </c>
      <c r="H64" s="45" t="n">
        <f aca="false">IFERROR(AVERAGEIFS(d_OV,d_Age,"&gt;="&amp;$C64,d_Age,"&lt;="&amp;$D64,d_Year,$P$4,d_City,$Q$4,d_Cuisine,$R$4,d_Pay,$S$4,d_Type,$T$4),0)</f>
        <v>902.56462585034</v>
      </c>
      <c r="I64" s="60" t="n">
        <f aca="false">IFERROR(AVERAGEIFS(d_CRating,d_Age,"&gt;="&amp;$C64,d_Age,"&lt;="&amp;$D64,d_Year,$P$4,d_City,$Q$4,d_Cuisine,$R$4,d_Pay,$S$4,d_Type,$T$4),0)</f>
        <v>4.08163265306123</v>
      </c>
    </row>
    <row r="65" customFormat="false" ht="15" hidden="false" customHeight="false" outlineLevel="0" collapsed="false">
      <c r="B65" s="38" t="s">
        <v>166</v>
      </c>
      <c r="C65" s="70" t="n">
        <v>55</v>
      </c>
      <c r="D65" s="70" t="n">
        <v>60</v>
      </c>
      <c r="E65" s="40" t="n">
        <f aca="false">COUNTIFS(d_Age,"&gt;="&amp;$C65,d_Age,"&lt;="&amp;$D65,d_Year,$P$4,d_City,$Q$4,d_Cuisine,$R$4,d_Pay,$S$4,d_Type,$T$4)</f>
        <v>156</v>
      </c>
      <c r="F65" s="40" t="n">
        <f aca="false">COUNTIFS(d_Age,"&gt;="&amp;$C65,d_Age,"&lt;="&amp;$D65,d_Status,"Delivered",d_Year,$P$4,d_City,$Q$4,d_Cuisine,$R$4,d_Pay,$S$4,d_Type,$T$4)</f>
        <v>103</v>
      </c>
      <c r="G65" s="41" t="n">
        <f aca="false">SUMIFS(d_Net,d_Age,"&gt;="&amp;$C65,d_Age,"&lt;="&amp;$D65,d_Status,"Delivered",d_Year,$P$4,d_City,$Q$4,d_Cuisine,$R$4,d_Pay,$S$4,d_Type,$T$4)</f>
        <v>93656</v>
      </c>
      <c r="H65" s="41" t="n">
        <f aca="false">IFERROR(AVERAGEIFS(d_OV,d_Age,"&gt;="&amp;$C65,d_Age,"&lt;="&amp;$D65,d_Year,$P$4,d_City,$Q$4,d_Cuisine,$R$4,d_Pay,$S$4,d_Type,$T$4),0)</f>
        <v>951.153846153846</v>
      </c>
      <c r="I65" s="57" t="n">
        <f aca="false">IFERROR(AVERAGEIFS(d_CRating,d_Age,"&gt;="&amp;$C65,d_Age,"&lt;="&amp;$D65,d_Year,$P$4,d_City,$Q$4,d_Cuisine,$R$4,d_Pay,$S$4,d_Type,$T$4),0)</f>
        <v>4.1474358974359</v>
      </c>
    </row>
    <row r="66" customFormat="false" ht="15" hidden="false" customHeight="false" outlineLevel="0" collapsed="false">
      <c r="B66" s="46" t="s">
        <v>69</v>
      </c>
      <c r="C66" s="47"/>
      <c r="D66" s="47"/>
      <c r="E66" s="48" t="n">
        <f aca="false">SUM(E61:E65)</f>
        <v>1200</v>
      </c>
      <c r="F66" s="48" t="n">
        <f aca="false">SUM(F61:F65)</f>
        <v>791</v>
      </c>
      <c r="G66" s="49" t="n">
        <f aca="false">SUM(G61:G65)</f>
        <v>699950</v>
      </c>
      <c r="H66" s="49" t="n">
        <f aca="false">AVERAGEIFS(d_OV,d_ID,"&lt;&gt;",d_Year,$P$4,d_City,$Q$4,d_Cuisine,$R$4,d_Pay,$S$4,d_Type,$T$4)</f>
        <v>931.2875</v>
      </c>
      <c r="I66" s="63" t="n">
        <f aca="false">AVERAGEIFS(d_CRating,d_ID,"&lt;&gt;",d_Year,$P$4,d_City,$Q$4,d_Cuisine,$R$4,d_Pay,$S$4,d_Type,$T$4)</f>
        <v>4.01833333333333</v>
      </c>
    </row>
    <row r="67" customFormat="false" ht="15" hidden="false" customHeight="false" outlineLevel="0" collapsed="false">
      <c r="B67" s="50" t="s">
        <v>167</v>
      </c>
    </row>
    <row r="70" customFormat="false" ht="15" hidden="false" customHeight="false" outlineLevel="0" collapsed="false">
      <c r="B70" s="35" t="s">
        <v>168</v>
      </c>
    </row>
    <row r="71" customFormat="false" ht="30" hidden="false" customHeight="true" outlineLevel="0" collapsed="false">
      <c r="B71" s="36" t="s">
        <v>169</v>
      </c>
      <c r="C71" s="37" t="s">
        <v>64</v>
      </c>
      <c r="D71" s="37" t="s">
        <v>73</v>
      </c>
      <c r="E71" s="37" t="s">
        <v>68</v>
      </c>
    </row>
    <row r="72" customFormat="false" ht="15" hidden="false" customHeight="false" outlineLevel="0" collapsed="false">
      <c r="B72" s="38" t="s">
        <v>170</v>
      </c>
      <c r="C72" s="40" t="n">
        <f aca="false">COUNTIFS(d_Gender,$B72,d_Year,$P$4,d_City,$Q$4,d_Cuisine,$R$4,d_Pay,$S$4,d_Type,$T$4)</f>
        <v>589</v>
      </c>
      <c r="D72" s="51" t="n">
        <f aca="false">IFERROR(C72/COUNTIFS(d_ID,"&lt;&gt;",d_Year,$P$4,d_City,$Q$4,d_Cuisine,$R$4,d_Pay,$S$4,d_Type,$T$4),0)</f>
        <v>0.490833333333333</v>
      </c>
      <c r="E72" s="41" t="n">
        <f aca="false">IFERROR(AVERAGEIFS(d_OV,d_Gender,$B72,d_Year,$P$4,d_City,$Q$4,d_Cuisine,$R$4,d_Pay,$S$4,d_Type,$T$4),0)</f>
        <v>928.777589134126</v>
      </c>
    </row>
    <row r="73" customFormat="false" ht="15" hidden="false" customHeight="false" outlineLevel="0" collapsed="false">
      <c r="B73" s="42" t="s">
        <v>171</v>
      </c>
      <c r="C73" s="44" t="n">
        <f aca="false">COUNTIFS(d_Gender,$B73,d_Year,$P$4,d_City,$Q$4,d_Cuisine,$R$4,d_Pay,$S$4,d_Type,$T$4)</f>
        <v>576</v>
      </c>
      <c r="D73" s="52" t="n">
        <f aca="false">IFERROR(C73/COUNTIFS(d_ID,"&lt;&gt;",d_Year,$P$4,d_City,$Q$4,d_Cuisine,$R$4,d_Pay,$S$4,d_Type,$T$4),0)</f>
        <v>0.48</v>
      </c>
      <c r="E73" s="45" t="n">
        <f aca="false">IFERROR(AVERAGEIFS(d_OV,d_Gender,$B73,d_Year,$P$4,d_City,$Q$4,d_Cuisine,$R$4,d_Pay,$S$4,d_Type,$T$4),0)</f>
        <v>929.300347222222</v>
      </c>
    </row>
    <row r="74" customFormat="false" ht="15" hidden="false" customHeight="false" outlineLevel="0" collapsed="false">
      <c r="B74" s="38" t="s">
        <v>172</v>
      </c>
      <c r="C74" s="40" t="n">
        <f aca="false">COUNTIFS(d_Gender,$B74,d_Year,$P$4,d_City,$Q$4,d_Cuisine,$R$4,d_Pay,$S$4,d_Type,$T$4)</f>
        <v>35</v>
      </c>
      <c r="D74" s="51" t="n">
        <f aca="false">IFERROR(C74/COUNTIFS(d_ID,"&lt;&gt;",d_Year,$P$4,d_City,$Q$4,d_Cuisine,$R$4,d_Pay,$S$4,d_Type,$T$4),0)</f>
        <v>0.0291666666666667</v>
      </c>
      <c r="E74" s="41" t="n">
        <f aca="false">IFERROR(AVERAGEIFS(d_OV,d_Gender,$B74,d_Year,$P$4,d_City,$Q$4,d_Cuisine,$R$4,d_Pay,$S$4,d_Type,$T$4),0)</f>
        <v>1006.22857142857</v>
      </c>
    </row>
    <row r="75" customFormat="false" ht="15" hidden="false" customHeight="false" outlineLevel="0" collapsed="false">
      <c r="B75" s="46" t="s">
        <v>69</v>
      </c>
      <c r="C75" s="48" t="n">
        <f aca="false">SUM(C72:C74)</f>
        <v>1200</v>
      </c>
      <c r="D75" s="53" t="n">
        <f aca="false">SUM(D72:D74)</f>
        <v>1</v>
      </c>
      <c r="E75" s="49" t="n">
        <f aca="false">AVERAGEIFS(d_OV,d_ID,"&lt;&gt;",d_Year,$P$4,d_City,$Q$4,d_Cuisine,$R$4,d_Pay,$S$4,d_Type,$T$4)</f>
        <v>931.2875</v>
      </c>
    </row>
    <row r="78" customFormat="false" ht="15" hidden="false" customHeight="false" outlineLevel="0" collapsed="false">
      <c r="B78" s="35" t="s">
        <v>173</v>
      </c>
    </row>
    <row r="79" customFormat="false" ht="30" hidden="false" customHeight="true" outlineLevel="0" collapsed="false">
      <c r="B79" s="36" t="s">
        <v>174</v>
      </c>
      <c r="C79" s="37" t="s">
        <v>175</v>
      </c>
      <c r="D79" s="37" t="s">
        <v>176</v>
      </c>
    </row>
    <row r="80" customFormat="false" ht="15" hidden="false" customHeight="false" outlineLevel="0" collapsed="false">
      <c r="B80" s="38" t="s">
        <v>177</v>
      </c>
      <c r="C80" s="40" t="n">
        <f aca="false">COUNTIF(Customers!$B$2:$B$351,1)</f>
        <v>0</v>
      </c>
      <c r="D80" s="51" t="n">
        <f aca="false">IFERROR(C80/COUNTIF(Customers!$B$2:$B$351,"&gt;0"),0)</f>
        <v>0</v>
      </c>
    </row>
    <row r="81" customFormat="false" ht="15" hidden="false" customHeight="false" outlineLevel="0" collapsed="false">
      <c r="B81" s="42" t="s">
        <v>178</v>
      </c>
      <c r="C81" s="44" t="n">
        <f aca="false">COUNTIF(Customers!$B$2:$B$351,2)</f>
        <v>0</v>
      </c>
      <c r="D81" s="52" t="n">
        <f aca="false">IFERROR(C81/COUNTIF(Customers!$B$2:$B$351,"&gt;0"),0)</f>
        <v>0</v>
      </c>
    </row>
    <row r="82" customFormat="false" ht="15" hidden="false" customHeight="false" outlineLevel="0" collapsed="false">
      <c r="B82" s="38" t="s">
        <v>179</v>
      </c>
      <c r="C82" s="40" t="n">
        <f aca="false">COUNTIF(Customers!$B$2:$B$351,3)</f>
        <v>200</v>
      </c>
      <c r="D82" s="51" t="n">
        <f aca="false">IFERROR(C82/COUNTIF(Customers!$B$2:$B$351,"&gt;0"),0)</f>
        <v>0.571428571428571</v>
      </c>
    </row>
    <row r="83" customFormat="false" ht="15" hidden="false" customHeight="false" outlineLevel="0" collapsed="false">
      <c r="B83" s="42" t="s">
        <v>180</v>
      </c>
      <c r="C83" s="44" t="n">
        <f aca="false">COUNTIF(Customers!$B$2:$B$351,4)</f>
        <v>150</v>
      </c>
      <c r="D83" s="52" t="n">
        <f aca="false">IFERROR(C83/COUNTIF(Customers!$B$2:$B$351,"&gt;0"),0)</f>
        <v>0.428571428571429</v>
      </c>
    </row>
    <row r="84" customFormat="false" ht="15" hidden="false" customHeight="false" outlineLevel="0" collapsed="false">
      <c r="B84" s="38" t="s">
        <v>181</v>
      </c>
      <c r="C84" s="40" t="n">
        <f aca="false">COUNTIF(Customers!$B$2:$B$351,5)</f>
        <v>0</v>
      </c>
      <c r="D84" s="51" t="n">
        <f aca="false">IFERROR(C84/COUNTIF(Customers!$B$2:$B$351,"&gt;0"),0)</f>
        <v>0</v>
      </c>
    </row>
    <row r="85" customFormat="false" ht="15" hidden="false" customHeight="false" outlineLevel="0" collapsed="false">
      <c r="B85" s="42" t="s">
        <v>182</v>
      </c>
      <c r="C85" s="44" t="n">
        <f aca="false">COUNTIF(Customers!$B$2:$B$351,"&gt;=6")</f>
        <v>0</v>
      </c>
      <c r="D85" s="52" t="n">
        <f aca="false">IFERROR(C85/COUNTIF(Customers!$B$2:$B$351,"&gt;0"),0)</f>
        <v>0</v>
      </c>
    </row>
    <row r="86" customFormat="false" ht="15" hidden="false" customHeight="false" outlineLevel="0" collapsed="false">
      <c r="B86" s="46" t="s">
        <v>69</v>
      </c>
      <c r="C86" s="48" t="n">
        <f aca="false">SUM(C80:C85)</f>
        <v>350</v>
      </c>
      <c r="D86" s="53" t="n">
        <f aca="false">SUM(D80:D85)</f>
        <v>1</v>
      </c>
    </row>
    <row r="89" customFormat="false" ht="15" hidden="false" customHeight="false" outlineLevel="0" collapsed="false">
      <c r="B89" s="35" t="s">
        <v>183</v>
      </c>
    </row>
    <row r="90" customFormat="false" ht="30" hidden="false" customHeight="true" outlineLevel="0" collapsed="false">
      <c r="B90" s="36" t="s">
        <v>184</v>
      </c>
      <c r="C90" s="37" t="s">
        <v>185</v>
      </c>
      <c r="D90" s="37" t="s">
        <v>64</v>
      </c>
      <c r="E90" s="37" t="s">
        <v>186</v>
      </c>
      <c r="F90" s="37" t="s">
        <v>161</v>
      </c>
    </row>
    <row r="91" customFormat="false" ht="15" hidden="false" customHeight="false" outlineLevel="0" collapsed="false">
      <c r="B91" s="59" t="n">
        <v>1</v>
      </c>
      <c r="C91" s="72" t="str">
        <f aca="false">INDEX(Customers!$A$2:$A$351,MATCH($B91,Customers!$G$2:$G$351,0))</f>
        <v>C1052</v>
      </c>
      <c r="D91" s="40" t="n">
        <f aca="false">INDEX(Customers!$B$2:$B$351,MATCH($B91,Customers!$G$2:$G$351,0))</f>
        <v>4</v>
      </c>
      <c r="E91" s="41" t="n">
        <f aca="false">INDEX(Customers!$D$2:$D$351,MATCH($B91,Customers!$G$2:$G$351,0))</f>
        <v>5485</v>
      </c>
      <c r="F91" s="57" t="n">
        <f aca="false">INDEX(Customers!$E$2:$E$351,MATCH($B91,Customers!$G$2:$G$351,0))</f>
        <v>4.25</v>
      </c>
    </row>
    <row r="92" customFormat="false" ht="15" hidden="false" customHeight="false" outlineLevel="0" collapsed="false">
      <c r="B92" s="62" t="n">
        <v>2</v>
      </c>
      <c r="C92" s="73" t="str">
        <f aca="false">INDEX(Customers!$A$2:$A$351,MATCH($B92,Customers!$G$2:$G$351,0))</f>
        <v>C1075</v>
      </c>
      <c r="D92" s="44" t="n">
        <f aca="false">INDEX(Customers!$B$2:$B$351,MATCH($B92,Customers!$G$2:$G$351,0))</f>
        <v>4</v>
      </c>
      <c r="E92" s="45" t="n">
        <f aca="false">INDEX(Customers!$D$2:$D$351,MATCH($B92,Customers!$G$2:$G$351,0))</f>
        <v>4940</v>
      </c>
      <c r="F92" s="60" t="n">
        <f aca="false">INDEX(Customers!$E$2:$E$351,MATCH($B92,Customers!$G$2:$G$351,0))</f>
        <v>4.5</v>
      </c>
    </row>
    <row r="93" customFormat="false" ht="15" hidden="false" customHeight="false" outlineLevel="0" collapsed="false">
      <c r="B93" s="59" t="n">
        <v>3</v>
      </c>
      <c r="C93" s="72" t="str">
        <f aca="false">INDEX(Customers!$A$2:$A$351,MATCH($B93,Customers!$G$2:$G$351,0))</f>
        <v>C1235</v>
      </c>
      <c r="D93" s="40" t="n">
        <f aca="false">INDEX(Customers!$B$2:$B$351,MATCH($B93,Customers!$G$2:$G$351,0))</f>
        <v>3</v>
      </c>
      <c r="E93" s="41" t="n">
        <f aca="false">INDEX(Customers!$D$2:$D$351,MATCH($B93,Customers!$G$2:$G$351,0))</f>
        <v>4806</v>
      </c>
      <c r="F93" s="57" t="n">
        <f aca="false">INDEX(Customers!$E$2:$E$351,MATCH($B93,Customers!$G$2:$G$351,0))</f>
        <v>3.66666666666667</v>
      </c>
    </row>
    <row r="94" customFormat="false" ht="15" hidden="false" customHeight="false" outlineLevel="0" collapsed="false">
      <c r="B94" s="62" t="n">
        <v>4</v>
      </c>
      <c r="C94" s="73" t="str">
        <f aca="false">INDEX(Customers!$A$2:$A$351,MATCH($B94,Customers!$G$2:$G$351,0))</f>
        <v>C1025</v>
      </c>
      <c r="D94" s="44" t="n">
        <f aca="false">INDEX(Customers!$B$2:$B$351,MATCH($B94,Customers!$G$2:$G$351,0))</f>
        <v>4</v>
      </c>
      <c r="E94" s="45" t="n">
        <f aca="false">INDEX(Customers!$D$2:$D$351,MATCH($B94,Customers!$G$2:$G$351,0))</f>
        <v>4768</v>
      </c>
      <c r="F94" s="60" t="n">
        <f aca="false">INDEX(Customers!$E$2:$E$351,MATCH($B94,Customers!$G$2:$G$351,0))</f>
        <v>4</v>
      </c>
    </row>
    <row r="95" customFormat="false" ht="15" hidden="false" customHeight="false" outlineLevel="0" collapsed="false">
      <c r="B95" s="59" t="n">
        <v>5</v>
      </c>
      <c r="C95" s="72" t="str">
        <f aca="false">INDEX(Customers!$A$2:$A$351,MATCH($B95,Customers!$G$2:$G$351,0))</f>
        <v>C1053</v>
      </c>
      <c r="D95" s="40" t="n">
        <f aca="false">INDEX(Customers!$B$2:$B$351,MATCH($B95,Customers!$G$2:$G$351,0))</f>
        <v>4</v>
      </c>
      <c r="E95" s="41" t="n">
        <f aca="false">INDEX(Customers!$D$2:$D$351,MATCH($B95,Customers!$G$2:$G$351,0))</f>
        <v>4682</v>
      </c>
      <c r="F95" s="57" t="n">
        <f aca="false">INDEX(Customers!$E$2:$E$351,MATCH($B95,Customers!$G$2:$G$351,0))</f>
        <v>4.5</v>
      </c>
    </row>
    <row r="96" customFormat="false" ht="15" hidden="false" customHeight="false" outlineLevel="0" collapsed="false">
      <c r="B96" s="62" t="n">
        <v>6</v>
      </c>
      <c r="C96" s="73" t="str">
        <f aca="false">INDEX(Customers!$A$2:$A$351,MATCH($B96,Customers!$G$2:$G$351,0))</f>
        <v>C1126</v>
      </c>
      <c r="D96" s="44" t="n">
        <f aca="false">INDEX(Customers!$B$2:$B$351,MATCH($B96,Customers!$G$2:$G$351,0))</f>
        <v>4</v>
      </c>
      <c r="E96" s="45" t="n">
        <f aca="false">INDEX(Customers!$D$2:$D$351,MATCH($B96,Customers!$G$2:$G$351,0))</f>
        <v>4548</v>
      </c>
      <c r="F96" s="60" t="n">
        <f aca="false">INDEX(Customers!$E$2:$E$351,MATCH($B96,Customers!$G$2:$G$351,0))</f>
        <v>4.5</v>
      </c>
    </row>
    <row r="97" customFormat="false" ht="15" hidden="false" customHeight="false" outlineLevel="0" collapsed="false">
      <c r="B97" s="59" t="n">
        <v>7</v>
      </c>
      <c r="C97" s="72" t="str">
        <f aca="false">INDEX(Customers!$A$2:$A$351,MATCH($B97,Customers!$G$2:$G$351,0))</f>
        <v>C1111</v>
      </c>
      <c r="D97" s="40" t="n">
        <f aca="false">INDEX(Customers!$B$2:$B$351,MATCH($B97,Customers!$G$2:$G$351,0))</f>
        <v>4</v>
      </c>
      <c r="E97" s="41" t="n">
        <f aca="false">INDEX(Customers!$D$2:$D$351,MATCH($B97,Customers!$G$2:$G$351,0))</f>
        <v>4505</v>
      </c>
      <c r="F97" s="57" t="n">
        <f aca="false">INDEX(Customers!$E$2:$E$351,MATCH($B97,Customers!$G$2:$G$351,0))</f>
        <v>5</v>
      </c>
    </row>
    <row r="98" customFormat="false" ht="15" hidden="false" customHeight="false" outlineLevel="0" collapsed="false">
      <c r="B98" s="62" t="n">
        <v>8</v>
      </c>
      <c r="C98" s="73" t="str">
        <f aca="false">INDEX(Customers!$A$2:$A$351,MATCH($B98,Customers!$G$2:$G$351,0))</f>
        <v>C1150</v>
      </c>
      <c r="D98" s="44" t="n">
        <f aca="false">INDEX(Customers!$B$2:$B$351,MATCH($B98,Customers!$G$2:$G$351,0))</f>
        <v>4</v>
      </c>
      <c r="E98" s="45" t="n">
        <f aca="false">INDEX(Customers!$D$2:$D$351,MATCH($B98,Customers!$G$2:$G$351,0))</f>
        <v>4235</v>
      </c>
      <c r="F98" s="60" t="n">
        <f aca="false">INDEX(Customers!$E$2:$E$351,MATCH($B98,Customers!$G$2:$G$351,0))</f>
        <v>4.25</v>
      </c>
    </row>
    <row r="99" customFormat="false" ht="15" hidden="false" customHeight="false" outlineLevel="0" collapsed="false">
      <c r="B99" s="59" t="n">
        <v>9</v>
      </c>
      <c r="C99" s="72" t="str">
        <f aca="false">INDEX(Customers!$A$2:$A$351,MATCH($B99,Customers!$G$2:$G$351,0))</f>
        <v>C1032</v>
      </c>
      <c r="D99" s="40" t="n">
        <f aca="false">INDEX(Customers!$B$2:$B$351,MATCH($B99,Customers!$G$2:$G$351,0))</f>
        <v>4</v>
      </c>
      <c r="E99" s="41" t="n">
        <f aca="false">INDEX(Customers!$D$2:$D$351,MATCH($B99,Customers!$G$2:$G$351,0))</f>
        <v>3938</v>
      </c>
      <c r="F99" s="57" t="n">
        <f aca="false">INDEX(Customers!$E$2:$E$351,MATCH($B99,Customers!$G$2:$G$351,0))</f>
        <v>3.75</v>
      </c>
    </row>
    <row r="100" customFormat="false" ht="15" hidden="false" customHeight="false" outlineLevel="0" collapsed="false">
      <c r="B100" s="62" t="n">
        <v>10</v>
      </c>
      <c r="C100" s="73" t="str">
        <f aca="false">INDEX(Customers!$A$2:$A$351,MATCH($B100,Customers!$G$2:$G$351,0))</f>
        <v>C1092</v>
      </c>
      <c r="D100" s="44" t="n">
        <f aca="false">INDEX(Customers!$B$2:$B$351,MATCH($B100,Customers!$G$2:$G$351,0))</f>
        <v>4</v>
      </c>
      <c r="E100" s="45" t="n">
        <f aca="false">INDEX(Customers!$D$2:$D$351,MATCH($B100,Customers!$G$2:$G$351,0))</f>
        <v>3894</v>
      </c>
      <c r="F100" s="60" t="n">
        <f aca="false">INDEX(Customers!$E$2:$E$351,MATCH($B100,Customers!$G$2:$G$351,0))</f>
        <v>4.75</v>
      </c>
    </row>
    <row r="103" customFormat="false" ht="15" hidden="false" customHeight="false" outlineLevel="0" collapsed="false">
      <c r="B103" s="35" t="s">
        <v>187</v>
      </c>
    </row>
    <row r="104" customFormat="false" ht="30" hidden="false" customHeight="true" outlineLevel="0" collapsed="false">
      <c r="B104" s="36" t="s">
        <v>99</v>
      </c>
      <c r="C104" s="37" t="s">
        <v>64</v>
      </c>
      <c r="D104" s="37" t="s">
        <v>68</v>
      </c>
      <c r="E104" s="37" t="s">
        <v>161</v>
      </c>
    </row>
    <row r="105" customFormat="false" ht="15" hidden="false" customHeight="false" outlineLevel="0" collapsed="false">
      <c r="B105" s="38" t="s">
        <v>100</v>
      </c>
      <c r="C105" s="40" t="n">
        <f aca="false">COUNTIFS(d_City,$B105,d_Year,$P$4,d_City,$Q$4,d_Cuisine,$R$4,d_Pay,$S$4,d_Type,$T$4)</f>
        <v>119</v>
      </c>
      <c r="D105" s="41" t="n">
        <f aca="false">IFERROR(AVERAGEIFS(d_OV,d_City,$B105,d_Year,$P$4,d_City,$Q$4,d_Cuisine,$R$4,d_Pay,$S$4,d_Type,$T$4),0)</f>
        <v>943.823529411765</v>
      </c>
      <c r="E105" s="57" t="n">
        <f aca="false">IFERROR(AVERAGEIFS(d_CRating,d_City,$B105,d_Year,$P$4,d_City,$Q$4,d_Cuisine,$R$4,d_Pay,$S$4,d_Type,$T$4),0)</f>
        <v>4.13445378151261</v>
      </c>
    </row>
    <row r="106" customFormat="false" ht="15" hidden="false" customHeight="false" outlineLevel="0" collapsed="false">
      <c r="B106" s="42" t="s">
        <v>101</v>
      </c>
      <c r="C106" s="44" t="n">
        <f aca="false">COUNTIFS(d_City,$B106,d_Year,$P$4,d_City,$Q$4,d_Cuisine,$R$4,d_Pay,$S$4,d_Type,$T$4)</f>
        <v>114</v>
      </c>
      <c r="D106" s="45" t="n">
        <f aca="false">IFERROR(AVERAGEIFS(d_OV,d_City,$B106,d_Year,$P$4,d_City,$Q$4,d_Cuisine,$R$4,d_Pay,$S$4,d_Type,$T$4),0)</f>
        <v>868.157894736842</v>
      </c>
      <c r="E106" s="60" t="n">
        <f aca="false">IFERROR(AVERAGEIFS(d_CRating,d_City,$B106,d_Year,$P$4,d_City,$Q$4,d_Cuisine,$R$4,d_Pay,$S$4,d_Type,$T$4),0)</f>
        <v>3.99122807017544</v>
      </c>
    </row>
    <row r="107" customFormat="false" ht="15" hidden="false" customHeight="false" outlineLevel="0" collapsed="false">
      <c r="B107" s="38" t="s">
        <v>102</v>
      </c>
      <c r="C107" s="40" t="n">
        <f aca="false">COUNTIFS(d_City,$B107,d_Year,$P$4,d_City,$Q$4,d_Cuisine,$R$4,d_Pay,$S$4,d_Type,$T$4)</f>
        <v>110</v>
      </c>
      <c r="D107" s="41" t="n">
        <f aca="false">IFERROR(AVERAGEIFS(d_OV,d_City,$B107,d_Year,$P$4,d_City,$Q$4,d_Cuisine,$R$4,d_Pay,$S$4,d_Type,$T$4),0)</f>
        <v>967.172727272727</v>
      </c>
      <c r="E107" s="57" t="n">
        <f aca="false">IFERROR(AVERAGEIFS(d_CRating,d_City,$B107,d_Year,$P$4,d_City,$Q$4,d_Cuisine,$R$4,d_Pay,$S$4,d_Type,$T$4),0)</f>
        <v>4.10909090909091</v>
      </c>
    </row>
    <row r="108" customFormat="false" ht="15" hidden="false" customHeight="false" outlineLevel="0" collapsed="false">
      <c r="B108" s="42" t="s">
        <v>103</v>
      </c>
      <c r="C108" s="44" t="n">
        <f aca="false">COUNTIFS(d_City,$B108,d_Year,$P$4,d_City,$Q$4,d_Cuisine,$R$4,d_Pay,$S$4,d_Type,$T$4)</f>
        <v>108</v>
      </c>
      <c r="D108" s="45" t="n">
        <f aca="false">IFERROR(AVERAGEIFS(d_OV,d_City,$B108,d_Year,$P$4,d_City,$Q$4,d_Cuisine,$R$4,d_Pay,$S$4,d_Type,$T$4),0)</f>
        <v>942.824074074074</v>
      </c>
      <c r="E108" s="60" t="n">
        <f aca="false">IFERROR(AVERAGEIFS(d_CRating,d_City,$B108,d_Year,$P$4,d_City,$Q$4,d_Cuisine,$R$4,d_Pay,$S$4,d_Type,$T$4),0)</f>
        <v>4</v>
      </c>
    </row>
    <row r="109" customFormat="false" ht="15" hidden="false" customHeight="false" outlineLevel="0" collapsed="false">
      <c r="B109" s="38" t="s">
        <v>104</v>
      </c>
      <c r="C109" s="40" t="n">
        <f aca="false">COUNTIFS(d_City,$B109,d_Year,$P$4,d_City,$Q$4,d_Cuisine,$R$4,d_Pay,$S$4,d_Type,$T$4)</f>
        <v>107</v>
      </c>
      <c r="D109" s="41" t="n">
        <f aca="false">IFERROR(AVERAGEIFS(d_OV,d_City,$B109,d_Year,$P$4,d_City,$Q$4,d_Cuisine,$R$4,d_Pay,$S$4,d_Type,$T$4),0)</f>
        <v>961.841121495327</v>
      </c>
      <c r="E109" s="57" t="n">
        <f aca="false">IFERROR(AVERAGEIFS(d_CRating,d_City,$B109,d_Year,$P$4,d_City,$Q$4,d_Cuisine,$R$4,d_Pay,$S$4,d_Type,$T$4),0)</f>
        <v>3.94392523364486</v>
      </c>
    </row>
    <row r="110" customFormat="false" ht="15" hidden="false" customHeight="false" outlineLevel="0" collapsed="false">
      <c r="B110" s="42" t="s">
        <v>105</v>
      </c>
      <c r="C110" s="44" t="n">
        <f aca="false">COUNTIFS(d_City,$B110,d_Year,$P$4,d_City,$Q$4,d_Cuisine,$R$4,d_Pay,$S$4,d_Type,$T$4)</f>
        <v>102</v>
      </c>
      <c r="D110" s="45" t="n">
        <f aca="false">IFERROR(AVERAGEIFS(d_OV,d_City,$B110,d_Year,$P$4,d_City,$Q$4,d_Cuisine,$R$4,d_Pay,$S$4,d_Type,$T$4),0)</f>
        <v>839.843137254902</v>
      </c>
      <c r="E110" s="60" t="n">
        <f aca="false">IFERROR(AVERAGEIFS(d_CRating,d_City,$B110,d_Year,$P$4,d_City,$Q$4,d_Cuisine,$R$4,d_Pay,$S$4,d_Type,$T$4),0)</f>
        <v>4</v>
      </c>
    </row>
    <row r="111" customFormat="false" ht="15" hidden="false" customHeight="false" outlineLevel="0" collapsed="false">
      <c r="B111" s="38" t="s">
        <v>106</v>
      </c>
      <c r="C111" s="40" t="n">
        <f aca="false">COUNTIFS(d_City,$B111,d_Year,$P$4,d_City,$Q$4,d_Cuisine,$R$4,d_Pay,$S$4,d_Type,$T$4)</f>
        <v>96</v>
      </c>
      <c r="D111" s="41" t="n">
        <f aca="false">IFERROR(AVERAGEIFS(d_OV,d_City,$B111,d_Year,$P$4,d_City,$Q$4,d_Cuisine,$R$4,d_Pay,$S$4,d_Type,$T$4),0)</f>
        <v>965.427083333333</v>
      </c>
      <c r="E111" s="57" t="n">
        <f aca="false">IFERROR(AVERAGEIFS(d_CRating,d_City,$B111,d_Year,$P$4,d_City,$Q$4,d_Cuisine,$R$4,d_Pay,$S$4,d_Type,$T$4),0)</f>
        <v>4.03125</v>
      </c>
    </row>
    <row r="112" customFormat="false" ht="15" hidden="false" customHeight="false" outlineLevel="0" collapsed="false">
      <c r="B112" s="42" t="s">
        <v>107</v>
      </c>
      <c r="C112" s="44" t="n">
        <f aca="false">COUNTIFS(d_City,$B112,d_Year,$P$4,d_City,$Q$4,d_Cuisine,$R$4,d_Pay,$S$4,d_Type,$T$4)</f>
        <v>96</v>
      </c>
      <c r="D112" s="45" t="n">
        <f aca="false">IFERROR(AVERAGEIFS(d_OV,d_City,$B112,d_Year,$P$4,d_City,$Q$4,d_Cuisine,$R$4,d_Pay,$S$4,d_Type,$T$4),0)</f>
        <v>929.5625</v>
      </c>
      <c r="E112" s="60" t="n">
        <f aca="false">IFERROR(AVERAGEIFS(d_CRating,d_City,$B112,d_Year,$P$4,d_City,$Q$4,d_Cuisine,$R$4,d_Pay,$S$4,d_Type,$T$4),0)</f>
        <v>4.19791666666667</v>
      </c>
    </row>
    <row r="113" customFormat="false" ht="15" hidden="false" customHeight="false" outlineLevel="0" collapsed="false">
      <c r="B113" s="38" t="s">
        <v>108</v>
      </c>
      <c r="C113" s="40" t="n">
        <f aca="false">COUNTIFS(d_City,$B113,d_Year,$P$4,d_City,$Q$4,d_Cuisine,$R$4,d_Pay,$S$4,d_Type,$T$4)</f>
        <v>94</v>
      </c>
      <c r="D113" s="41" t="n">
        <f aca="false">IFERROR(AVERAGEIFS(d_OV,d_City,$B113,d_Year,$P$4,d_City,$Q$4,d_Cuisine,$R$4,d_Pay,$S$4,d_Type,$T$4),0)</f>
        <v>891.734042553191</v>
      </c>
      <c r="E113" s="57" t="n">
        <f aca="false">IFERROR(AVERAGEIFS(d_CRating,d_City,$B113,d_Year,$P$4,d_City,$Q$4,d_Cuisine,$R$4,d_Pay,$S$4,d_Type,$T$4),0)</f>
        <v>4.0531914893617</v>
      </c>
    </row>
    <row r="114" customFormat="false" ht="15" hidden="false" customHeight="false" outlineLevel="0" collapsed="false">
      <c r="B114" s="42" t="s">
        <v>109</v>
      </c>
      <c r="C114" s="44" t="n">
        <f aca="false">COUNTIFS(d_City,$B114,d_Year,$P$4,d_City,$Q$4,d_Cuisine,$R$4,d_Pay,$S$4,d_Type,$T$4)</f>
        <v>91</v>
      </c>
      <c r="D114" s="45" t="n">
        <f aca="false">IFERROR(AVERAGEIFS(d_OV,d_City,$B114,d_Year,$P$4,d_City,$Q$4,d_Cuisine,$R$4,d_Pay,$S$4,d_Type,$T$4),0)</f>
        <v>991.307692307692</v>
      </c>
      <c r="E114" s="60" t="n">
        <f aca="false">IFERROR(AVERAGEIFS(d_CRating,d_City,$B114,d_Year,$P$4,d_City,$Q$4,d_Cuisine,$R$4,d_Pay,$S$4,d_Type,$T$4),0)</f>
        <v>3.91208791208791</v>
      </c>
    </row>
    <row r="115" customFormat="false" ht="15" hidden="false" customHeight="false" outlineLevel="0" collapsed="false">
      <c r="B115" s="38" t="s">
        <v>110</v>
      </c>
      <c r="C115" s="40" t="n">
        <f aca="false">COUNTIFS(d_City,$B115,d_Year,$P$4,d_City,$Q$4,d_Cuisine,$R$4,d_Pay,$S$4,d_Type,$T$4)</f>
        <v>83</v>
      </c>
      <c r="D115" s="41" t="n">
        <f aca="false">IFERROR(AVERAGEIFS(d_OV,d_City,$B115,d_Year,$P$4,d_City,$Q$4,d_Cuisine,$R$4,d_Pay,$S$4,d_Type,$T$4),0)</f>
        <v>891.867469879518</v>
      </c>
      <c r="E115" s="57" t="n">
        <f aca="false">IFERROR(AVERAGEIFS(d_CRating,d_City,$B115,d_Year,$P$4,d_City,$Q$4,d_Cuisine,$R$4,d_Pay,$S$4,d_Type,$T$4),0)</f>
        <v>3.93975903614458</v>
      </c>
    </row>
    <row r="116" customFormat="false" ht="15" hidden="false" customHeight="false" outlineLevel="0" collapsed="false">
      <c r="B116" s="42" t="s">
        <v>111</v>
      </c>
      <c r="C116" s="44" t="n">
        <f aca="false">COUNTIFS(d_City,$B116,d_Year,$P$4,d_City,$Q$4,d_Cuisine,$R$4,d_Pay,$S$4,d_Type,$T$4)</f>
        <v>80</v>
      </c>
      <c r="D116" s="45" t="n">
        <f aca="false">IFERROR(AVERAGEIFS(d_OV,d_City,$B116,d_Year,$P$4,d_City,$Q$4,d_Cuisine,$R$4,d_Pay,$S$4,d_Type,$T$4),0)</f>
        <v>993.6125</v>
      </c>
      <c r="E116" s="60" t="n">
        <f aca="false">IFERROR(AVERAGEIFS(d_CRating,d_City,$B116,d_Year,$P$4,d_City,$Q$4,d_Cuisine,$R$4,d_Pay,$S$4,d_Type,$T$4),0)</f>
        <v>3.8375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C28"/>
    <pageSetUpPr fitToPage="false"/>
  </sheetPr>
  <dimension ref="B1:T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188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189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190</v>
      </c>
      <c r="C5" s="3"/>
      <c r="D5" s="4" t="s">
        <v>50</v>
      </c>
      <c r="E5" s="4"/>
      <c r="F5" s="5" t="s">
        <v>191</v>
      </c>
      <c r="G5" s="5"/>
      <c r="H5" s="7" t="s">
        <v>6</v>
      </c>
      <c r="I5" s="7"/>
      <c r="J5" s="8" t="s">
        <v>192</v>
      </c>
      <c r="K5" s="8"/>
      <c r="L5" s="6" t="s">
        <v>193</v>
      </c>
      <c r="M5" s="6"/>
    </row>
    <row r="6" customFormat="false" ht="36" hidden="false" customHeight="true" outlineLevel="0" collapsed="false">
      <c r="B6" s="9" t="n">
        <f aca="false">COUNTIFS(d_Type,"Delivery",d_Year,$P$4,d_City,$Q$4,d_Cuisine,$R$4,d_Pay,$S$4,d_Type,$T$4)</f>
        <v>881</v>
      </c>
      <c r="C6" s="9"/>
      <c r="D6" s="31" t="n">
        <f aca="false">COUNTIFS(d_Type,"Delivery",d_Status,"Delivered",d_Year,$P$4,d_City,$Q$4,d_Cuisine,$R$4,d_Pay,$S$4,d_Type,$T$4)</f>
        <v>592</v>
      </c>
      <c r="E6" s="31"/>
      <c r="F6" s="11" t="n">
        <f aca="false">IFERROR(COUNTIFS(d_Type,"Delivery",d_Status,"Delivered",d_Year,$P$4,d_City,$Q$4,d_Cuisine,$R$4,d_Pay,$S$4,d_Type,$T$4)/COUNTIFS(d_Type,"Delivery",d_Year,$P$4,d_City,$Q$4,d_Cuisine,$R$4,d_Pay,$S$4,d_Type,$T$4),0)</f>
        <v>0.671963677639047</v>
      </c>
      <c r="G6" s="11"/>
      <c r="H6" s="13" t="n">
        <f aca="false">IFERROR(AVERAGEIFS(d_Time,d_Type,"Delivery",d_Status,"Delivered",d_Year,$P$4,d_City,$Q$4,d_Cuisine,$R$4,d_Pay,$S$4,d_Type,$T$4),0)</f>
        <v>41.6942567567568</v>
      </c>
      <c r="I6" s="13"/>
      <c r="J6" s="74" t="n">
        <f aca="false">IFERROR(AVERAGEIFS(d_Dist,d_Type,"Delivery",d_Year,$P$4,d_City,$Q$4,d_Cuisine,$R$4,d_Pay,$S$4,d_Type,$T$4),0)</f>
        <v>7.6994324631101</v>
      </c>
      <c r="K6" s="74"/>
      <c r="L6" s="69" t="n">
        <f aca="false">SUMIFS(d_Fee,d_Type,"Delivery",d_Status,"Delivered",d_Year,$P$4,d_City,$Q$4,d_Cuisine,$R$4,d_Pay,$S$4,d_Type,$T$4)</f>
        <v>18100</v>
      </c>
      <c r="M6" s="69"/>
    </row>
    <row r="7" customFormat="false" ht="24" hidden="false" customHeight="true" outlineLevel="0" collapsed="false">
      <c r="B7" s="15" t="s">
        <v>194</v>
      </c>
      <c r="C7" s="15"/>
      <c r="D7" s="15" t="s">
        <v>195</v>
      </c>
      <c r="E7" s="15"/>
      <c r="F7" s="15" t="s">
        <v>196</v>
      </c>
      <c r="G7" s="15"/>
      <c r="H7" s="15" t="s">
        <v>197</v>
      </c>
      <c r="I7" s="15"/>
      <c r="J7" s="15" t="s">
        <v>198</v>
      </c>
      <c r="K7" s="15"/>
      <c r="L7" s="15" t="s">
        <v>197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199</v>
      </c>
    </row>
    <row r="60" customFormat="false" ht="30" hidden="false" customHeight="true" outlineLevel="0" collapsed="false">
      <c r="B60" s="36" t="s">
        <v>99</v>
      </c>
      <c r="C60" s="37" t="s">
        <v>200</v>
      </c>
      <c r="D60" s="37" t="s">
        <v>65</v>
      </c>
      <c r="E60" s="37" t="s">
        <v>201</v>
      </c>
      <c r="F60" s="37" t="s">
        <v>129</v>
      </c>
      <c r="G60" s="37" t="s">
        <v>202</v>
      </c>
      <c r="H60" s="37" t="s">
        <v>203</v>
      </c>
    </row>
    <row r="61" customFormat="false" ht="15" hidden="false" customHeight="false" outlineLevel="0" collapsed="false">
      <c r="B61" s="38" t="s">
        <v>100</v>
      </c>
      <c r="C61" s="40" t="n">
        <f aca="false">COUNTIFS(d_City,$B61,d_Type,"Delivery",d_Year,$P$4,d_City,$Q$4,d_Cuisine,$R$4,d_Pay,$S$4,d_Type,$T$4)</f>
        <v>85</v>
      </c>
      <c r="D61" s="40" t="n">
        <f aca="false">COUNTIFS(d_City,$B61,d_Type,"Delivery",d_Status,"Delivered",d_Year,$P$4,d_City,$Q$4,d_Cuisine,$R$4,d_Pay,$S$4,d_Type,$T$4)</f>
        <v>58</v>
      </c>
      <c r="E61" s="51" t="n">
        <f aca="false">IFERROR(D61/C61,0)</f>
        <v>0.682352941176471</v>
      </c>
      <c r="F61" s="58" t="n">
        <f aca="false">IFERROR(AVERAGEIFS(d_Time,d_City,$B61,d_Type,"Delivery",d_Status,"Delivered",d_Year,$P$4,d_City,$Q$4,d_Cuisine,$R$4,d_Pay,$S$4,d_Type,$T$4),0)</f>
        <v>40.0689655172414</v>
      </c>
      <c r="G61" s="58" t="n">
        <f aca="false">IFERROR(AVERAGEIFS(d_Dist,d_City,$B61,d_Type,"Delivery",d_Year,$P$4,d_City,$Q$4,d_Cuisine,$R$4,d_Pay,$S$4,d_Type,$T$4),0)</f>
        <v>7.36588235294118</v>
      </c>
      <c r="H61" s="41" t="n">
        <f aca="false">SUMIFS(d_Fee,d_City,$B61,d_Type,"Delivery",d_Status,"Delivered",d_Year,$P$4,d_City,$Q$4,d_Cuisine,$R$4,d_Pay,$S$4,d_Type,$T$4)</f>
        <v>1500</v>
      </c>
    </row>
    <row r="62" customFormat="false" ht="15" hidden="false" customHeight="false" outlineLevel="0" collapsed="false">
      <c r="B62" s="42" t="s">
        <v>101</v>
      </c>
      <c r="C62" s="44" t="n">
        <f aca="false">COUNTIFS(d_City,$B62,d_Type,"Delivery",d_Year,$P$4,d_City,$Q$4,d_Cuisine,$R$4,d_Pay,$S$4,d_Type,$T$4)</f>
        <v>88</v>
      </c>
      <c r="D62" s="44" t="n">
        <f aca="false">COUNTIFS(d_City,$B62,d_Type,"Delivery",d_Status,"Delivered",d_Year,$P$4,d_City,$Q$4,d_Cuisine,$R$4,d_Pay,$S$4,d_Type,$T$4)</f>
        <v>61</v>
      </c>
      <c r="E62" s="52" t="n">
        <f aca="false">IFERROR(D62/C62,0)</f>
        <v>0.693181818181818</v>
      </c>
      <c r="F62" s="61" t="n">
        <f aca="false">IFERROR(AVERAGEIFS(d_Time,d_City,$B62,d_Type,"Delivery",d_Status,"Delivered",d_Year,$P$4,d_City,$Q$4,d_Cuisine,$R$4,d_Pay,$S$4,d_Type,$T$4),0)</f>
        <v>42.3934426229508</v>
      </c>
      <c r="G62" s="61" t="n">
        <f aca="false">IFERROR(AVERAGEIFS(d_Dist,d_City,$B62,d_Type,"Delivery",d_Year,$P$4,d_City,$Q$4,d_Cuisine,$R$4,d_Pay,$S$4,d_Type,$T$4),0)</f>
        <v>7.68068181818182</v>
      </c>
      <c r="H62" s="45" t="n">
        <f aca="false">SUMIFS(d_Fee,d_City,$B62,d_Type,"Delivery",d_Status,"Delivered",d_Year,$P$4,d_City,$Q$4,d_Cuisine,$R$4,d_Pay,$S$4,d_Type,$T$4)</f>
        <v>1620</v>
      </c>
    </row>
    <row r="63" customFormat="false" ht="15" hidden="false" customHeight="false" outlineLevel="0" collapsed="false">
      <c r="B63" s="38" t="s">
        <v>102</v>
      </c>
      <c r="C63" s="40" t="n">
        <f aca="false">COUNTIFS(d_City,$B63,d_Type,"Delivery",d_Year,$P$4,d_City,$Q$4,d_Cuisine,$R$4,d_Pay,$S$4,d_Type,$T$4)</f>
        <v>78</v>
      </c>
      <c r="D63" s="40" t="n">
        <f aca="false">COUNTIFS(d_City,$B63,d_Type,"Delivery",d_Status,"Delivered",d_Year,$P$4,d_City,$Q$4,d_Cuisine,$R$4,d_Pay,$S$4,d_Type,$T$4)</f>
        <v>54</v>
      </c>
      <c r="E63" s="51" t="n">
        <f aca="false">IFERROR(D63/C63,0)</f>
        <v>0.692307692307692</v>
      </c>
      <c r="F63" s="58" t="n">
        <f aca="false">IFERROR(AVERAGEIFS(d_Time,d_City,$B63,d_Type,"Delivery",d_Status,"Delivered",d_Year,$P$4,d_City,$Q$4,d_Cuisine,$R$4,d_Pay,$S$4,d_Type,$T$4),0)</f>
        <v>47.8148148148148</v>
      </c>
      <c r="G63" s="58" t="n">
        <f aca="false">IFERROR(AVERAGEIFS(d_Dist,d_City,$B63,d_Type,"Delivery",d_Year,$P$4,d_City,$Q$4,d_Cuisine,$R$4,d_Pay,$S$4,d_Type,$T$4),0)</f>
        <v>7.96666666666667</v>
      </c>
      <c r="H63" s="41" t="n">
        <f aca="false">SUMIFS(d_Fee,d_City,$B63,d_Type,"Delivery",d_Status,"Delivered",d_Year,$P$4,d_City,$Q$4,d_Cuisine,$R$4,d_Pay,$S$4,d_Type,$T$4)</f>
        <v>1740</v>
      </c>
    </row>
    <row r="64" customFormat="false" ht="15" hidden="false" customHeight="false" outlineLevel="0" collapsed="false">
      <c r="B64" s="42" t="s">
        <v>103</v>
      </c>
      <c r="C64" s="44" t="n">
        <f aca="false">COUNTIFS(d_City,$B64,d_Type,"Delivery",d_Year,$P$4,d_City,$Q$4,d_Cuisine,$R$4,d_Pay,$S$4,d_Type,$T$4)</f>
        <v>88</v>
      </c>
      <c r="D64" s="44" t="n">
        <f aca="false">COUNTIFS(d_City,$B64,d_Type,"Delivery",d_Status,"Delivered",d_Year,$P$4,d_City,$Q$4,d_Cuisine,$R$4,d_Pay,$S$4,d_Type,$T$4)</f>
        <v>58</v>
      </c>
      <c r="E64" s="52" t="n">
        <f aca="false">IFERROR(D64/C64,0)</f>
        <v>0.659090909090909</v>
      </c>
      <c r="F64" s="61" t="n">
        <f aca="false">IFERROR(AVERAGEIFS(d_Time,d_City,$B64,d_Type,"Delivery",d_Status,"Delivered",d_Year,$P$4,d_City,$Q$4,d_Cuisine,$R$4,d_Pay,$S$4,d_Type,$T$4),0)</f>
        <v>38.9137931034483</v>
      </c>
      <c r="G64" s="61" t="n">
        <f aca="false">IFERROR(AVERAGEIFS(d_Dist,d_City,$B64,d_Type,"Delivery",d_Year,$P$4,d_City,$Q$4,d_Cuisine,$R$4,d_Pay,$S$4,d_Type,$T$4),0)</f>
        <v>8.275</v>
      </c>
      <c r="H64" s="45" t="n">
        <f aca="false">SUMIFS(d_Fee,d_City,$B64,d_Type,"Delivery",d_Status,"Delivered",d_Year,$P$4,d_City,$Q$4,d_Cuisine,$R$4,d_Pay,$S$4,d_Type,$T$4)</f>
        <v>1950</v>
      </c>
    </row>
    <row r="65" customFormat="false" ht="15" hidden="false" customHeight="false" outlineLevel="0" collapsed="false">
      <c r="B65" s="38" t="s">
        <v>104</v>
      </c>
      <c r="C65" s="40" t="n">
        <f aca="false">COUNTIFS(d_City,$B65,d_Type,"Delivery",d_Year,$P$4,d_City,$Q$4,d_Cuisine,$R$4,d_Pay,$S$4,d_Type,$T$4)</f>
        <v>81</v>
      </c>
      <c r="D65" s="40" t="n">
        <f aca="false">COUNTIFS(d_City,$B65,d_Type,"Delivery",d_Status,"Delivered",d_Year,$P$4,d_City,$Q$4,d_Cuisine,$R$4,d_Pay,$S$4,d_Type,$T$4)</f>
        <v>52</v>
      </c>
      <c r="E65" s="51" t="n">
        <f aca="false">IFERROR(D65/C65,0)</f>
        <v>0.641975308641975</v>
      </c>
      <c r="F65" s="58" t="n">
        <f aca="false">IFERROR(AVERAGEIFS(d_Time,d_City,$B65,d_Type,"Delivery",d_Status,"Delivered",d_Year,$P$4,d_City,$Q$4,d_Cuisine,$R$4,d_Pay,$S$4,d_Type,$T$4),0)</f>
        <v>43.7307692307692</v>
      </c>
      <c r="G65" s="58" t="n">
        <f aca="false">IFERROR(AVERAGEIFS(d_Dist,d_City,$B65,d_Type,"Delivery",d_Year,$P$4,d_City,$Q$4,d_Cuisine,$R$4,d_Pay,$S$4,d_Type,$T$4),0)</f>
        <v>7.55925925925926</v>
      </c>
      <c r="H65" s="41" t="n">
        <f aca="false">SUMIFS(d_Fee,d_City,$B65,d_Type,"Delivery",d_Status,"Delivered",d_Year,$P$4,d_City,$Q$4,d_Cuisine,$R$4,d_Pay,$S$4,d_Type,$T$4)</f>
        <v>1500</v>
      </c>
    </row>
    <row r="66" customFormat="false" ht="15" hidden="false" customHeight="false" outlineLevel="0" collapsed="false">
      <c r="B66" s="42" t="s">
        <v>105</v>
      </c>
      <c r="C66" s="44" t="n">
        <f aca="false">COUNTIFS(d_City,$B66,d_Type,"Delivery",d_Year,$P$4,d_City,$Q$4,d_Cuisine,$R$4,d_Pay,$S$4,d_Type,$T$4)</f>
        <v>70</v>
      </c>
      <c r="D66" s="44" t="n">
        <f aca="false">COUNTIFS(d_City,$B66,d_Type,"Delivery",d_Status,"Delivered",d_Year,$P$4,d_City,$Q$4,d_Cuisine,$R$4,d_Pay,$S$4,d_Type,$T$4)</f>
        <v>50</v>
      </c>
      <c r="E66" s="52" t="n">
        <f aca="false">IFERROR(D66/C66,0)</f>
        <v>0.714285714285714</v>
      </c>
      <c r="F66" s="61" t="n">
        <f aca="false">IFERROR(AVERAGEIFS(d_Time,d_City,$B66,d_Type,"Delivery",d_Status,"Delivered",d_Year,$P$4,d_City,$Q$4,d_Cuisine,$R$4,d_Pay,$S$4,d_Type,$T$4),0)</f>
        <v>40.82</v>
      </c>
      <c r="G66" s="61" t="n">
        <f aca="false">IFERROR(AVERAGEIFS(d_Dist,d_City,$B66,d_Type,"Delivery",d_Year,$P$4,d_City,$Q$4,d_Cuisine,$R$4,d_Pay,$S$4,d_Type,$T$4),0)</f>
        <v>7.57571428571429</v>
      </c>
      <c r="H66" s="45" t="n">
        <f aca="false">SUMIFS(d_Fee,d_City,$B66,d_Type,"Delivery",d_Status,"Delivered",d_Year,$P$4,d_City,$Q$4,d_Cuisine,$R$4,d_Pay,$S$4,d_Type,$T$4)</f>
        <v>1650</v>
      </c>
    </row>
    <row r="67" customFormat="false" ht="15" hidden="false" customHeight="false" outlineLevel="0" collapsed="false">
      <c r="B67" s="38" t="s">
        <v>106</v>
      </c>
      <c r="C67" s="40" t="n">
        <f aca="false">COUNTIFS(d_City,$B67,d_Type,"Delivery",d_Year,$P$4,d_City,$Q$4,d_Cuisine,$R$4,d_Pay,$S$4,d_Type,$T$4)</f>
        <v>72</v>
      </c>
      <c r="D67" s="40" t="n">
        <f aca="false">COUNTIFS(d_City,$B67,d_Type,"Delivery",d_Status,"Delivered",d_Year,$P$4,d_City,$Q$4,d_Cuisine,$R$4,d_Pay,$S$4,d_Type,$T$4)</f>
        <v>43</v>
      </c>
      <c r="E67" s="51" t="n">
        <f aca="false">IFERROR(D67/C67,0)</f>
        <v>0.597222222222222</v>
      </c>
      <c r="F67" s="58" t="n">
        <f aca="false">IFERROR(AVERAGEIFS(d_Time,d_City,$B67,d_Type,"Delivery",d_Status,"Delivered",d_Year,$P$4,d_City,$Q$4,d_Cuisine,$R$4,d_Pay,$S$4,d_Type,$T$4),0)</f>
        <v>41.7441860465116</v>
      </c>
      <c r="G67" s="58" t="n">
        <f aca="false">IFERROR(AVERAGEIFS(d_Dist,d_City,$B67,d_Type,"Delivery",d_Year,$P$4,d_City,$Q$4,d_Cuisine,$R$4,d_Pay,$S$4,d_Type,$T$4),0)</f>
        <v>6.81527777777778</v>
      </c>
      <c r="H67" s="41" t="n">
        <f aca="false">SUMIFS(d_Fee,d_City,$B67,d_Type,"Delivery",d_Status,"Delivered",d_Year,$P$4,d_City,$Q$4,d_Cuisine,$R$4,d_Pay,$S$4,d_Type,$T$4)</f>
        <v>1320</v>
      </c>
    </row>
    <row r="68" customFormat="false" ht="15" hidden="false" customHeight="false" outlineLevel="0" collapsed="false">
      <c r="B68" s="42" t="s">
        <v>107</v>
      </c>
      <c r="C68" s="44" t="n">
        <f aca="false">COUNTIFS(d_City,$B68,d_Type,"Delivery",d_Year,$P$4,d_City,$Q$4,d_Cuisine,$R$4,d_Pay,$S$4,d_Type,$T$4)</f>
        <v>70</v>
      </c>
      <c r="D68" s="44" t="n">
        <f aca="false">COUNTIFS(d_City,$B68,d_Type,"Delivery",d_Status,"Delivered",d_Year,$P$4,d_City,$Q$4,d_Cuisine,$R$4,d_Pay,$S$4,d_Type,$T$4)</f>
        <v>40</v>
      </c>
      <c r="E68" s="52" t="n">
        <f aca="false">IFERROR(D68/C68,0)</f>
        <v>0.571428571428571</v>
      </c>
      <c r="F68" s="61" t="n">
        <f aca="false">IFERROR(AVERAGEIFS(d_Time,d_City,$B68,d_Type,"Delivery",d_Status,"Delivered",d_Year,$P$4,d_City,$Q$4,d_Cuisine,$R$4,d_Pay,$S$4,d_Type,$T$4),0)</f>
        <v>40.475</v>
      </c>
      <c r="G68" s="61" t="n">
        <f aca="false">IFERROR(AVERAGEIFS(d_Dist,d_City,$B68,d_Type,"Delivery",d_Year,$P$4,d_City,$Q$4,d_Cuisine,$R$4,d_Pay,$S$4,d_Type,$T$4),0)</f>
        <v>7.66714285714286</v>
      </c>
      <c r="H68" s="45" t="n">
        <f aca="false">SUMIFS(d_Fee,d_City,$B68,d_Type,"Delivery",d_Status,"Delivered",d_Year,$P$4,d_City,$Q$4,d_Cuisine,$R$4,d_Pay,$S$4,d_Type,$T$4)</f>
        <v>1200</v>
      </c>
    </row>
    <row r="69" customFormat="false" ht="15" hidden="false" customHeight="false" outlineLevel="0" collapsed="false">
      <c r="B69" s="38" t="s">
        <v>108</v>
      </c>
      <c r="C69" s="40" t="n">
        <f aca="false">COUNTIFS(d_City,$B69,d_Type,"Delivery",d_Year,$P$4,d_City,$Q$4,d_Cuisine,$R$4,d_Pay,$S$4,d_Type,$T$4)</f>
        <v>73</v>
      </c>
      <c r="D69" s="40" t="n">
        <f aca="false">COUNTIFS(d_City,$B69,d_Type,"Delivery",d_Status,"Delivered",d_Year,$P$4,d_City,$Q$4,d_Cuisine,$R$4,d_Pay,$S$4,d_Type,$T$4)</f>
        <v>52</v>
      </c>
      <c r="E69" s="51" t="n">
        <f aca="false">IFERROR(D69/C69,0)</f>
        <v>0.712328767123288</v>
      </c>
      <c r="F69" s="58" t="n">
        <f aca="false">IFERROR(AVERAGEIFS(d_Time,d_City,$B69,d_Type,"Delivery",d_Status,"Delivered",d_Year,$P$4,d_City,$Q$4,d_Cuisine,$R$4,d_Pay,$S$4,d_Type,$T$4),0)</f>
        <v>40.9423076923077</v>
      </c>
      <c r="G69" s="58" t="n">
        <f aca="false">IFERROR(AVERAGEIFS(d_Dist,d_City,$B69,d_Type,"Delivery",d_Year,$P$4,d_City,$Q$4,d_Cuisine,$R$4,d_Pay,$S$4,d_Type,$T$4),0)</f>
        <v>8.35890410958904</v>
      </c>
      <c r="H69" s="41" t="n">
        <f aca="false">SUMIFS(d_Fee,d_City,$B69,d_Type,"Delivery",d_Status,"Delivered",d_Year,$P$4,d_City,$Q$4,d_Cuisine,$R$4,d_Pay,$S$4,d_Type,$T$4)</f>
        <v>1770</v>
      </c>
    </row>
    <row r="70" customFormat="false" ht="15" hidden="false" customHeight="false" outlineLevel="0" collapsed="false">
      <c r="B70" s="42" t="s">
        <v>109</v>
      </c>
      <c r="C70" s="44" t="n">
        <f aca="false">COUNTIFS(d_City,$B70,d_Type,"Delivery",d_Year,$P$4,d_City,$Q$4,d_Cuisine,$R$4,d_Pay,$S$4,d_Type,$T$4)</f>
        <v>64</v>
      </c>
      <c r="D70" s="44" t="n">
        <f aca="false">COUNTIFS(d_City,$B70,d_Type,"Delivery",d_Status,"Delivered",d_Year,$P$4,d_City,$Q$4,d_Cuisine,$R$4,d_Pay,$S$4,d_Type,$T$4)</f>
        <v>44</v>
      </c>
      <c r="E70" s="52" t="n">
        <f aca="false">IFERROR(D70/C70,0)</f>
        <v>0.6875</v>
      </c>
      <c r="F70" s="61" t="n">
        <f aca="false">IFERROR(AVERAGEIFS(d_Time,d_City,$B70,d_Type,"Delivery",d_Status,"Delivered",d_Year,$P$4,d_City,$Q$4,d_Cuisine,$R$4,d_Pay,$S$4,d_Type,$T$4),0)</f>
        <v>40.5454545454546</v>
      </c>
      <c r="G70" s="61" t="n">
        <f aca="false">IFERROR(AVERAGEIFS(d_Dist,d_City,$B70,d_Type,"Delivery",d_Year,$P$4,d_City,$Q$4,d_Cuisine,$R$4,d_Pay,$S$4,d_Type,$T$4),0)</f>
        <v>7.23125</v>
      </c>
      <c r="H70" s="45" t="n">
        <f aca="false">SUMIFS(d_Fee,d_City,$B70,d_Type,"Delivery",d_Status,"Delivered",d_Year,$P$4,d_City,$Q$4,d_Cuisine,$R$4,d_Pay,$S$4,d_Type,$T$4)</f>
        <v>1330</v>
      </c>
    </row>
    <row r="71" customFormat="false" ht="15" hidden="false" customHeight="false" outlineLevel="0" collapsed="false">
      <c r="B71" s="38" t="s">
        <v>110</v>
      </c>
      <c r="C71" s="40" t="n">
        <f aca="false">COUNTIFS(d_City,$B71,d_Type,"Delivery",d_Year,$P$4,d_City,$Q$4,d_Cuisine,$R$4,d_Pay,$S$4,d_Type,$T$4)</f>
        <v>55</v>
      </c>
      <c r="D71" s="40" t="n">
        <f aca="false">COUNTIFS(d_City,$B71,d_Type,"Delivery",d_Status,"Delivered",d_Year,$P$4,d_City,$Q$4,d_Cuisine,$R$4,d_Pay,$S$4,d_Type,$T$4)</f>
        <v>40</v>
      </c>
      <c r="E71" s="51" t="n">
        <f aca="false">IFERROR(D71/C71,0)</f>
        <v>0.727272727272727</v>
      </c>
      <c r="F71" s="58" t="n">
        <f aca="false">IFERROR(AVERAGEIFS(d_Time,d_City,$B71,d_Type,"Delivery",d_Status,"Delivered",d_Year,$P$4,d_City,$Q$4,d_Cuisine,$R$4,d_Pay,$S$4,d_Type,$T$4),0)</f>
        <v>39.25</v>
      </c>
      <c r="G71" s="58" t="n">
        <f aca="false">IFERROR(AVERAGEIFS(d_Dist,d_City,$B71,d_Type,"Delivery",d_Year,$P$4,d_City,$Q$4,d_Cuisine,$R$4,d_Pay,$S$4,d_Type,$T$4),0)</f>
        <v>7.78363636363636</v>
      </c>
      <c r="H71" s="41" t="n">
        <f aca="false">SUMIFS(d_Fee,d_City,$B71,d_Type,"Delivery",d_Status,"Delivered",d_Year,$P$4,d_City,$Q$4,d_Cuisine,$R$4,d_Pay,$S$4,d_Type,$T$4)</f>
        <v>1310</v>
      </c>
    </row>
    <row r="72" customFormat="false" ht="15" hidden="false" customHeight="false" outlineLevel="0" collapsed="false">
      <c r="B72" s="42" t="s">
        <v>111</v>
      </c>
      <c r="C72" s="44" t="n">
        <f aca="false">COUNTIFS(d_City,$B72,d_Type,"Delivery",d_Year,$P$4,d_City,$Q$4,d_Cuisine,$R$4,d_Pay,$S$4,d_Type,$T$4)</f>
        <v>57</v>
      </c>
      <c r="D72" s="44" t="n">
        <f aca="false">COUNTIFS(d_City,$B72,d_Type,"Delivery",d_Status,"Delivered",d_Year,$P$4,d_City,$Q$4,d_Cuisine,$R$4,d_Pay,$S$4,d_Type,$T$4)</f>
        <v>40</v>
      </c>
      <c r="E72" s="52" t="n">
        <f aca="false">IFERROR(D72/C72,0)</f>
        <v>0.701754385964912</v>
      </c>
      <c r="F72" s="61" t="n">
        <f aca="false">IFERROR(AVERAGEIFS(d_Time,d_City,$B72,d_Type,"Delivery",d_Status,"Delivered",d_Year,$P$4,d_City,$Q$4,d_Cuisine,$R$4,d_Pay,$S$4,d_Type,$T$4),0)</f>
        <v>43.05</v>
      </c>
      <c r="G72" s="61" t="n">
        <f aca="false">IFERROR(AVERAGEIFS(d_Dist,d_City,$B72,d_Type,"Delivery",d_Year,$P$4,d_City,$Q$4,d_Cuisine,$R$4,d_Pay,$S$4,d_Type,$T$4),0)</f>
        <v>8.07894736842105</v>
      </c>
      <c r="H72" s="45" t="n">
        <f aca="false">SUMIFS(d_Fee,d_City,$B72,d_Type,"Delivery",d_Status,"Delivered",d_Year,$P$4,d_City,$Q$4,d_Cuisine,$R$4,d_Pay,$S$4,d_Type,$T$4)</f>
        <v>1210</v>
      </c>
    </row>
    <row r="73" customFormat="false" ht="15" hidden="false" customHeight="false" outlineLevel="0" collapsed="false">
      <c r="B73" s="46" t="s">
        <v>69</v>
      </c>
      <c r="C73" s="48" t="n">
        <f aca="false">SUM(C61:C72)</f>
        <v>881</v>
      </c>
      <c r="D73" s="48" t="n">
        <f aca="false">SUM(D61:D72)</f>
        <v>592</v>
      </c>
      <c r="E73" s="53" t="n">
        <f aca="false">IFERROR(D73/C73,0)</f>
        <v>0.671963677639047</v>
      </c>
      <c r="F73" s="64" t="n">
        <f aca="false">IFERROR(AVERAGEIFS(d_Time,d_Type,"Delivery",d_Status,"Delivered",d_Year,$P$4,d_City,$Q$4,d_Cuisine,$R$4,d_Pay,$S$4,d_Type,$T$4),0)</f>
        <v>41.6942567567568</v>
      </c>
      <c r="G73" s="64" t="n">
        <f aca="false">IFERROR(AVERAGEIFS(d_Dist,d_Type,"Delivery",d_Year,$P$4,d_City,$Q$4,d_Cuisine,$R$4,d_Pay,$S$4,d_Type,$T$4),0)</f>
        <v>7.6994324631101</v>
      </c>
      <c r="H73" s="49" t="n">
        <f aca="false">SUM(H61:H72)</f>
        <v>18100</v>
      </c>
    </row>
    <row r="74" customFormat="false" ht="15" hidden="false" customHeight="false" outlineLevel="0" collapsed="false">
      <c r="B74" s="50" t="s">
        <v>204</v>
      </c>
    </row>
    <row r="77" customFormat="false" ht="15" hidden="false" customHeight="false" outlineLevel="0" collapsed="false">
      <c r="B77" s="35" t="s">
        <v>205</v>
      </c>
    </row>
    <row r="78" customFormat="false" ht="30" hidden="false" customHeight="true" outlineLevel="0" collapsed="false">
      <c r="B78" s="36" t="s">
        <v>206</v>
      </c>
      <c r="C78" s="37" t="s">
        <v>207</v>
      </c>
      <c r="D78" s="37" t="s">
        <v>208</v>
      </c>
      <c r="E78" s="37" t="s">
        <v>200</v>
      </c>
      <c r="F78" s="37" t="s">
        <v>65</v>
      </c>
      <c r="G78" s="37" t="s">
        <v>129</v>
      </c>
      <c r="H78" s="37" t="s">
        <v>209</v>
      </c>
    </row>
    <row r="79" customFormat="false" ht="15" hidden="false" customHeight="false" outlineLevel="0" collapsed="false">
      <c r="B79" s="38" t="s">
        <v>210</v>
      </c>
      <c r="C79" s="70" t="n">
        <v>0</v>
      </c>
      <c r="D79" s="70" t="n">
        <v>3</v>
      </c>
      <c r="E79" s="40" t="n">
        <f aca="false">COUNTIFS(d_Dist,"&gt;"&amp;$C79,d_Dist,"&lt;="&amp;$D79,d_Type,"Delivery",d_Year,$P$4,d_City,$Q$4,d_Cuisine,$R$4,d_Pay,$S$4,d_Type,$T$4)</f>
        <v>165</v>
      </c>
      <c r="F79" s="40" t="n">
        <f aca="false">COUNTIFS(d_Dist,"&gt;"&amp;$C79,d_Dist,"&lt;="&amp;$D79,d_Type,"Delivery",d_Status,"Delivered",d_Year,$P$4,d_City,$Q$4,d_Cuisine,$R$4,d_Pay,$S$4,d_Type,$T$4)</f>
        <v>112</v>
      </c>
      <c r="G79" s="58" t="n">
        <f aca="false">IFERROR(AVERAGEIFS(d_Time,d_Dist,"&gt;"&amp;$C79,d_Dist,"&lt;="&amp;$D79,d_Type,"Delivery",d_Status,"Delivered",d_Year,$P$4,d_City,$Q$4,d_Cuisine,$R$4,d_Pay,$S$4,d_Type,$T$4),0)</f>
        <v>41.1160714285714</v>
      </c>
      <c r="H79" s="41" t="n">
        <f aca="false">IFERROR(AVERAGEIFS(d_Fee,d_Dist,"&gt;"&amp;$C79,d_Dist,"&lt;="&amp;$D79,d_Type,"Delivery",d_Year,$P$4,d_City,$Q$4,d_Cuisine,$R$4,d_Pay,$S$4,d_Type,$T$4),0)</f>
        <v>33.2121212121212</v>
      </c>
    </row>
    <row r="80" customFormat="false" ht="15" hidden="false" customHeight="false" outlineLevel="0" collapsed="false">
      <c r="B80" s="42" t="s">
        <v>211</v>
      </c>
      <c r="C80" s="71" t="n">
        <v>3</v>
      </c>
      <c r="D80" s="71" t="n">
        <v>6</v>
      </c>
      <c r="E80" s="44" t="n">
        <f aca="false">COUNTIFS(d_Dist,"&gt;"&amp;$C80,d_Dist,"&lt;="&amp;$D80,d_Type,"Delivery",d_Year,$P$4,d_City,$Q$4,d_Cuisine,$R$4,d_Pay,$S$4,d_Type,$T$4)</f>
        <v>185</v>
      </c>
      <c r="F80" s="44" t="n">
        <f aca="false">COUNTIFS(d_Dist,"&gt;"&amp;$C80,d_Dist,"&lt;="&amp;$D80,d_Type,"Delivery",d_Status,"Delivered",d_Year,$P$4,d_City,$Q$4,d_Cuisine,$R$4,d_Pay,$S$4,d_Type,$T$4)</f>
        <v>121</v>
      </c>
      <c r="G80" s="61" t="n">
        <f aca="false">IFERROR(AVERAGEIFS(d_Time,d_Dist,"&gt;"&amp;$C80,d_Dist,"&lt;="&amp;$D80,d_Type,"Delivery",d_Status,"Delivered",d_Year,$P$4,d_City,$Q$4,d_Cuisine,$R$4,d_Pay,$S$4,d_Type,$T$4),0)</f>
        <v>43.3553719008265</v>
      </c>
      <c r="H80" s="45" t="n">
        <f aca="false">IFERROR(AVERAGEIFS(d_Fee,d_Dist,"&gt;"&amp;$C80,d_Dist,"&lt;="&amp;$D80,d_Type,"Delivery",d_Year,$P$4,d_City,$Q$4,d_Cuisine,$R$4,d_Pay,$S$4,d_Type,$T$4),0)</f>
        <v>34.0540540540541</v>
      </c>
    </row>
    <row r="81" customFormat="false" ht="15" hidden="false" customHeight="false" outlineLevel="0" collapsed="false">
      <c r="B81" s="38" t="s">
        <v>212</v>
      </c>
      <c r="C81" s="70" t="n">
        <v>6</v>
      </c>
      <c r="D81" s="70" t="n">
        <v>9</v>
      </c>
      <c r="E81" s="40" t="n">
        <f aca="false">COUNTIFS(d_Dist,"&gt;"&amp;$C81,d_Dist,"&lt;="&amp;$D81,d_Type,"Delivery",d_Year,$P$4,d_City,$Q$4,d_Cuisine,$R$4,d_Pay,$S$4,d_Type,$T$4)</f>
        <v>172</v>
      </c>
      <c r="F81" s="40" t="n">
        <f aca="false">COUNTIFS(d_Dist,"&gt;"&amp;$C81,d_Dist,"&lt;="&amp;$D81,d_Type,"Delivery",d_Status,"Delivered",d_Year,$P$4,d_City,$Q$4,d_Cuisine,$R$4,d_Pay,$S$4,d_Type,$T$4)</f>
        <v>123</v>
      </c>
      <c r="G81" s="58" t="n">
        <f aca="false">IFERROR(AVERAGEIFS(d_Time,d_Dist,"&gt;"&amp;$C81,d_Dist,"&lt;="&amp;$D81,d_Type,"Delivery",d_Status,"Delivered",d_Year,$P$4,d_City,$Q$4,d_Cuisine,$R$4,d_Pay,$S$4,d_Type,$T$4),0)</f>
        <v>40.8373983739837</v>
      </c>
      <c r="H81" s="41" t="n">
        <f aca="false">IFERROR(AVERAGEIFS(d_Fee,d_Dist,"&gt;"&amp;$C81,d_Dist,"&lt;="&amp;$D81,d_Type,"Delivery",d_Year,$P$4,d_City,$Q$4,d_Cuisine,$R$4,d_Pay,$S$4,d_Type,$T$4),0)</f>
        <v>30.0581395348837</v>
      </c>
    </row>
    <row r="82" customFormat="false" ht="15" hidden="false" customHeight="false" outlineLevel="0" collapsed="false">
      <c r="B82" s="42" t="s">
        <v>213</v>
      </c>
      <c r="C82" s="71" t="n">
        <v>9</v>
      </c>
      <c r="D82" s="71" t="n">
        <v>12</v>
      </c>
      <c r="E82" s="44" t="n">
        <f aca="false">COUNTIFS(d_Dist,"&gt;"&amp;$C82,d_Dist,"&lt;="&amp;$D82,d_Type,"Delivery",d_Year,$P$4,d_City,$Q$4,d_Cuisine,$R$4,d_Pay,$S$4,d_Type,$T$4)</f>
        <v>172</v>
      </c>
      <c r="F82" s="44" t="n">
        <f aca="false">COUNTIFS(d_Dist,"&gt;"&amp;$C82,d_Dist,"&lt;="&amp;$D82,d_Type,"Delivery",d_Status,"Delivered",d_Year,$P$4,d_City,$Q$4,d_Cuisine,$R$4,d_Pay,$S$4,d_Type,$T$4)</f>
        <v>115</v>
      </c>
      <c r="G82" s="61" t="n">
        <f aca="false">IFERROR(AVERAGEIFS(d_Time,d_Dist,"&gt;"&amp;$C82,d_Dist,"&lt;="&amp;$D82,d_Type,"Delivery",d_Status,"Delivered",d_Year,$P$4,d_City,$Q$4,d_Cuisine,$R$4,d_Pay,$S$4,d_Type,$T$4),0)</f>
        <v>40.4695652173913</v>
      </c>
      <c r="H82" s="45" t="n">
        <f aca="false">IFERROR(AVERAGEIFS(d_Fee,d_Dist,"&gt;"&amp;$C82,d_Dist,"&lt;="&amp;$D82,d_Type,"Delivery",d_Year,$P$4,d_City,$Q$4,d_Cuisine,$R$4,d_Pay,$S$4,d_Type,$T$4),0)</f>
        <v>31.8023255813953</v>
      </c>
    </row>
    <row r="83" customFormat="false" ht="15" hidden="false" customHeight="false" outlineLevel="0" collapsed="false">
      <c r="B83" s="38" t="s">
        <v>214</v>
      </c>
      <c r="C83" s="70" t="n">
        <v>12</v>
      </c>
      <c r="D83" s="70" t="n">
        <v>15</v>
      </c>
      <c r="E83" s="40" t="n">
        <f aca="false">COUNTIFS(d_Dist,"&gt;"&amp;$C83,d_Dist,"&lt;="&amp;$D83,d_Type,"Delivery",d_Year,$P$4,d_City,$Q$4,d_Cuisine,$R$4,d_Pay,$S$4,d_Type,$T$4)</f>
        <v>187</v>
      </c>
      <c r="F83" s="40" t="n">
        <f aca="false">COUNTIFS(d_Dist,"&gt;"&amp;$C83,d_Dist,"&lt;="&amp;$D83,d_Type,"Delivery",d_Status,"Delivered",d_Year,$P$4,d_City,$Q$4,d_Cuisine,$R$4,d_Pay,$S$4,d_Type,$T$4)</f>
        <v>121</v>
      </c>
      <c r="G83" s="58" t="n">
        <f aca="false">IFERROR(AVERAGEIFS(d_Time,d_Dist,"&gt;"&amp;$C83,d_Dist,"&lt;="&amp;$D83,d_Type,"Delivery",d_Status,"Delivered",d_Year,$P$4,d_City,$Q$4,d_Cuisine,$R$4,d_Pay,$S$4,d_Type,$T$4),0)</f>
        <v>42.603305785124</v>
      </c>
      <c r="H83" s="41" t="n">
        <f aca="false">IFERROR(AVERAGEIFS(d_Fee,d_Dist,"&gt;"&amp;$C83,d_Dist,"&lt;="&amp;$D83,d_Type,"Delivery",d_Year,$P$4,d_City,$Q$4,d_Cuisine,$R$4,d_Pay,$S$4,d_Type,$T$4),0)</f>
        <v>31.4973262032086</v>
      </c>
    </row>
    <row r="84" customFormat="false" ht="15" hidden="false" customHeight="false" outlineLevel="0" collapsed="false">
      <c r="B84" s="46" t="s">
        <v>69</v>
      </c>
      <c r="C84" s="47"/>
      <c r="D84" s="47"/>
      <c r="E84" s="48" t="n">
        <f aca="false">SUM(E79:E83)</f>
        <v>881</v>
      </c>
      <c r="F84" s="48" t="n">
        <f aca="false">SUM(F79:F83)</f>
        <v>592</v>
      </c>
      <c r="G84" s="47"/>
      <c r="H84" s="47"/>
    </row>
    <row r="85" customFormat="false" ht="15" hidden="false" customHeight="false" outlineLevel="0" collapsed="false">
      <c r="B85" s="50" t="s">
        <v>215</v>
      </c>
    </row>
    <row r="88" customFormat="false" ht="15" hidden="false" customHeight="false" outlineLevel="0" collapsed="false">
      <c r="B88" s="35" t="s">
        <v>216</v>
      </c>
    </row>
    <row r="89" customFormat="false" ht="30" hidden="false" customHeight="true" outlineLevel="0" collapsed="false">
      <c r="B89" s="36" t="s">
        <v>72</v>
      </c>
      <c r="C89" s="37" t="s">
        <v>200</v>
      </c>
      <c r="D89" s="37" t="s">
        <v>217</v>
      </c>
    </row>
    <row r="90" customFormat="false" ht="15" hidden="false" customHeight="false" outlineLevel="0" collapsed="false">
      <c r="B90" s="38" t="s">
        <v>65</v>
      </c>
      <c r="C90" s="40" t="n">
        <f aca="false">COUNTIFS(d_Status,$B90,d_Type,"Delivery",d_Year,$P$4,d_City,$Q$4,d_Cuisine,$R$4,d_Pay,$S$4,d_Type,$T$4)</f>
        <v>592</v>
      </c>
      <c r="D90" s="51" t="n">
        <f aca="false">IFERROR(C90/COUNTIFS(d_Type,"Delivery",d_Year,$P$4,d_City,$Q$4,d_Cuisine,$R$4,d_Pay,$S$4,d_Type,$T$4),0)</f>
        <v>0.671963677639047</v>
      </c>
    </row>
    <row r="91" customFormat="false" ht="15" hidden="false" customHeight="false" outlineLevel="0" collapsed="false">
      <c r="B91" s="42" t="s">
        <v>66</v>
      </c>
      <c r="C91" s="44" t="n">
        <f aca="false">COUNTIFS(d_Status,$B91,d_Type,"Delivery",d_Year,$P$4,d_City,$Q$4,d_Cuisine,$R$4,d_Pay,$S$4,d_Type,$T$4)</f>
        <v>146</v>
      </c>
      <c r="D91" s="52" t="n">
        <f aca="false">IFERROR(C91/COUNTIFS(d_Type,"Delivery",d_Year,$P$4,d_City,$Q$4,d_Cuisine,$R$4,d_Pay,$S$4,d_Type,$T$4),0)</f>
        <v>0.16572077185017</v>
      </c>
    </row>
    <row r="92" customFormat="false" ht="15" hidden="false" customHeight="false" outlineLevel="0" collapsed="false">
      <c r="B92" s="38" t="s">
        <v>67</v>
      </c>
      <c r="C92" s="40" t="n">
        <f aca="false">COUNTIFS(d_Status,$B92,d_Type,"Delivery",d_Year,$P$4,d_City,$Q$4,d_Cuisine,$R$4,d_Pay,$S$4,d_Type,$T$4)</f>
        <v>143</v>
      </c>
      <c r="D92" s="51" t="n">
        <f aca="false">IFERROR(C92/COUNTIFS(d_Type,"Delivery",d_Year,$P$4,d_City,$Q$4,d_Cuisine,$R$4,d_Pay,$S$4,d_Type,$T$4),0)</f>
        <v>0.162315550510783</v>
      </c>
    </row>
    <row r="93" customFormat="false" ht="15" hidden="false" customHeight="false" outlineLevel="0" collapsed="false">
      <c r="B93" s="46" t="s">
        <v>69</v>
      </c>
      <c r="C93" s="48" t="n">
        <f aca="false">SUM(C90:C92)</f>
        <v>881</v>
      </c>
      <c r="D93" s="53" t="n">
        <f aca="false">SUM(D90:D92)</f>
        <v>1</v>
      </c>
    </row>
    <row r="96" customFormat="false" ht="15" hidden="false" customHeight="false" outlineLevel="0" collapsed="false">
      <c r="B96" s="35" t="s">
        <v>218</v>
      </c>
    </row>
    <row r="97" customFormat="false" ht="30" hidden="false" customHeight="true" outlineLevel="0" collapsed="false">
      <c r="B97" s="36" t="s">
        <v>62</v>
      </c>
      <c r="C97" s="37" t="s">
        <v>63</v>
      </c>
      <c r="D97" s="37" t="s">
        <v>200</v>
      </c>
      <c r="E97" s="37" t="s">
        <v>65</v>
      </c>
      <c r="F97" s="37" t="s">
        <v>129</v>
      </c>
    </row>
    <row r="98" customFormat="false" ht="15" hidden="false" customHeight="false" outlineLevel="0" collapsed="false">
      <c r="B98" s="38" t="str">
        <f aca="false">TEXT(C98,"mmm-yy")</f>
        <v>Jan-25</v>
      </c>
      <c r="C98" s="39" t="n">
        <v>45658</v>
      </c>
      <c r="D98" s="40" t="n">
        <f aca="false">COUNTIFS(d_Date,"&gt;="&amp;$C98,d_Date,"&lt;"&amp;EDATE($C98,1),d_Type,"Delivery",d_Year,$P$4,d_City,$Q$4,d_Cuisine,$R$4,d_Pay,$S$4,d_Type,$T$4)</f>
        <v>58</v>
      </c>
      <c r="E98" s="40" t="n">
        <f aca="false">COUNTIFS(d_Date,"&gt;="&amp;$C98,d_Date,"&lt;"&amp;EDATE($C98,1),d_Type,"Delivery",d_Status,"Delivered",d_Year,$P$4,d_City,$Q$4,d_Cuisine,$R$4,d_Pay,$S$4,d_Type,$T$4)</f>
        <v>40</v>
      </c>
      <c r="F98" s="58" t="n">
        <f aca="false">IFERROR(AVERAGEIFS(d_Time,d_Date,"&gt;="&amp;$C98,d_Date,"&lt;"&amp;EDATE($C98,1),d_Type,"Delivery",d_Status,"Delivered",d_Year,$P$4,d_City,$Q$4,d_Cuisine,$R$4,d_Pay,$S$4,d_Type,$T$4),0)</f>
        <v>42.775</v>
      </c>
    </row>
    <row r="99" customFormat="false" ht="15" hidden="false" customHeight="false" outlineLevel="0" collapsed="false">
      <c r="B99" s="42" t="str">
        <f aca="false">TEXT(C99,"mmm-yy")</f>
        <v>Feb-25</v>
      </c>
      <c r="C99" s="43" t="n">
        <v>45689</v>
      </c>
      <c r="D99" s="44" t="n">
        <f aca="false">COUNTIFS(d_Date,"&gt;="&amp;$C99,d_Date,"&lt;"&amp;EDATE($C99,1),d_Type,"Delivery",d_Year,$P$4,d_City,$Q$4,d_Cuisine,$R$4,d_Pay,$S$4,d_Type,$T$4)</f>
        <v>60</v>
      </c>
      <c r="E99" s="44" t="n">
        <f aca="false">COUNTIFS(d_Date,"&gt;="&amp;$C99,d_Date,"&lt;"&amp;EDATE($C99,1),d_Type,"Delivery",d_Status,"Delivered",d_Year,$P$4,d_City,$Q$4,d_Cuisine,$R$4,d_Pay,$S$4,d_Type,$T$4)</f>
        <v>31</v>
      </c>
      <c r="F99" s="61" t="n">
        <f aca="false">IFERROR(AVERAGEIFS(d_Time,d_Date,"&gt;="&amp;$C99,d_Date,"&lt;"&amp;EDATE($C99,1),d_Type,"Delivery",d_Status,"Delivered",d_Year,$P$4,d_City,$Q$4,d_Cuisine,$R$4,d_Pay,$S$4,d_Type,$T$4),0)</f>
        <v>42.8709677419355</v>
      </c>
    </row>
    <row r="100" customFormat="false" ht="15" hidden="false" customHeight="false" outlineLevel="0" collapsed="false">
      <c r="B100" s="38" t="str">
        <f aca="false">TEXT(C100,"mmm-yy")</f>
        <v>Mar-25</v>
      </c>
      <c r="C100" s="39" t="n">
        <v>45717</v>
      </c>
      <c r="D100" s="40" t="n">
        <f aca="false">COUNTIFS(d_Date,"&gt;="&amp;$C100,d_Date,"&lt;"&amp;EDATE($C100,1),d_Type,"Delivery",d_Year,$P$4,d_City,$Q$4,d_Cuisine,$R$4,d_Pay,$S$4,d_Type,$T$4)</f>
        <v>73</v>
      </c>
      <c r="E100" s="40" t="n">
        <f aca="false">COUNTIFS(d_Date,"&gt;="&amp;$C100,d_Date,"&lt;"&amp;EDATE($C100,1),d_Type,"Delivery",d_Status,"Delivered",d_Year,$P$4,d_City,$Q$4,d_Cuisine,$R$4,d_Pay,$S$4,d_Type,$T$4)</f>
        <v>47</v>
      </c>
      <c r="F100" s="58" t="n">
        <f aca="false">IFERROR(AVERAGEIFS(d_Time,d_Date,"&gt;="&amp;$C100,d_Date,"&lt;"&amp;EDATE($C100,1),d_Type,"Delivery",d_Status,"Delivered",d_Year,$P$4,d_City,$Q$4,d_Cuisine,$R$4,d_Pay,$S$4,d_Type,$T$4),0)</f>
        <v>41.6808510638298</v>
      </c>
    </row>
    <row r="101" customFormat="false" ht="15" hidden="false" customHeight="false" outlineLevel="0" collapsed="false">
      <c r="B101" s="42" t="str">
        <f aca="false">TEXT(C101,"mmm-yy")</f>
        <v>Apr-25</v>
      </c>
      <c r="C101" s="43" t="n">
        <v>45748</v>
      </c>
      <c r="D101" s="44" t="n">
        <f aca="false">COUNTIFS(d_Date,"&gt;="&amp;$C101,d_Date,"&lt;"&amp;EDATE($C101,1),d_Type,"Delivery",d_Year,$P$4,d_City,$Q$4,d_Cuisine,$R$4,d_Pay,$S$4,d_Type,$T$4)</f>
        <v>72</v>
      </c>
      <c r="E101" s="44" t="n">
        <f aca="false">COUNTIFS(d_Date,"&gt;="&amp;$C101,d_Date,"&lt;"&amp;EDATE($C101,1),d_Type,"Delivery",d_Status,"Delivered",d_Year,$P$4,d_City,$Q$4,d_Cuisine,$R$4,d_Pay,$S$4,d_Type,$T$4)</f>
        <v>50</v>
      </c>
      <c r="F101" s="61" t="n">
        <f aca="false">IFERROR(AVERAGEIFS(d_Time,d_Date,"&gt;="&amp;$C101,d_Date,"&lt;"&amp;EDATE($C101,1),d_Type,"Delivery",d_Status,"Delivered",d_Year,$P$4,d_City,$Q$4,d_Cuisine,$R$4,d_Pay,$S$4,d_Type,$T$4),0)</f>
        <v>45.16</v>
      </c>
    </row>
    <row r="102" customFormat="false" ht="15" hidden="false" customHeight="false" outlineLevel="0" collapsed="false">
      <c r="B102" s="38" t="str">
        <f aca="false">TEXT(C102,"mmm-yy")</f>
        <v>May-25</v>
      </c>
      <c r="C102" s="39" t="n">
        <v>45778</v>
      </c>
      <c r="D102" s="40" t="n">
        <f aca="false">COUNTIFS(d_Date,"&gt;="&amp;$C102,d_Date,"&lt;"&amp;EDATE($C102,1),d_Type,"Delivery",d_Year,$P$4,d_City,$Q$4,d_Cuisine,$R$4,d_Pay,$S$4,d_Type,$T$4)</f>
        <v>66</v>
      </c>
      <c r="E102" s="40" t="n">
        <f aca="false">COUNTIFS(d_Date,"&gt;="&amp;$C102,d_Date,"&lt;"&amp;EDATE($C102,1),d_Type,"Delivery",d_Status,"Delivered",d_Year,$P$4,d_City,$Q$4,d_Cuisine,$R$4,d_Pay,$S$4,d_Type,$T$4)</f>
        <v>40</v>
      </c>
      <c r="F102" s="58" t="n">
        <f aca="false">IFERROR(AVERAGEIFS(d_Time,d_Date,"&gt;="&amp;$C102,d_Date,"&lt;"&amp;EDATE($C102,1),d_Type,"Delivery",d_Status,"Delivered",d_Year,$P$4,d_City,$Q$4,d_Cuisine,$R$4,d_Pay,$S$4,d_Type,$T$4),0)</f>
        <v>39.125</v>
      </c>
    </row>
    <row r="103" customFormat="false" ht="15" hidden="false" customHeight="false" outlineLevel="0" collapsed="false">
      <c r="B103" s="42" t="str">
        <f aca="false">TEXT(C103,"mmm-yy")</f>
        <v>Jun-25</v>
      </c>
      <c r="C103" s="43" t="n">
        <v>45809</v>
      </c>
      <c r="D103" s="44" t="n">
        <f aca="false">COUNTIFS(d_Date,"&gt;="&amp;$C103,d_Date,"&lt;"&amp;EDATE($C103,1),d_Type,"Delivery",d_Year,$P$4,d_City,$Q$4,d_Cuisine,$R$4,d_Pay,$S$4,d_Type,$T$4)</f>
        <v>63</v>
      </c>
      <c r="E103" s="44" t="n">
        <f aca="false">COUNTIFS(d_Date,"&gt;="&amp;$C103,d_Date,"&lt;"&amp;EDATE($C103,1),d_Type,"Delivery",d_Status,"Delivered",d_Year,$P$4,d_City,$Q$4,d_Cuisine,$R$4,d_Pay,$S$4,d_Type,$T$4)</f>
        <v>41</v>
      </c>
      <c r="F103" s="61" t="n">
        <f aca="false">IFERROR(AVERAGEIFS(d_Time,d_Date,"&gt;="&amp;$C103,d_Date,"&lt;"&amp;EDATE($C103,1),d_Type,"Delivery",d_Status,"Delivered",d_Year,$P$4,d_City,$Q$4,d_Cuisine,$R$4,d_Pay,$S$4,d_Type,$T$4),0)</f>
        <v>38.1219512195122</v>
      </c>
    </row>
    <row r="104" customFormat="false" ht="15" hidden="false" customHeight="false" outlineLevel="0" collapsed="false">
      <c r="B104" s="38" t="str">
        <f aca="false">TEXT(C104,"mmm-yy")</f>
        <v>Jul-25</v>
      </c>
      <c r="C104" s="39" t="n">
        <v>45839</v>
      </c>
      <c r="D104" s="40" t="n">
        <f aca="false">COUNTIFS(d_Date,"&gt;="&amp;$C104,d_Date,"&lt;"&amp;EDATE($C104,1),d_Type,"Delivery",d_Year,$P$4,d_City,$Q$4,d_Cuisine,$R$4,d_Pay,$S$4,d_Type,$T$4)</f>
        <v>67</v>
      </c>
      <c r="E104" s="40" t="n">
        <f aca="false">COUNTIFS(d_Date,"&gt;="&amp;$C104,d_Date,"&lt;"&amp;EDATE($C104,1),d_Type,"Delivery",d_Status,"Delivered",d_Year,$P$4,d_City,$Q$4,d_Cuisine,$R$4,d_Pay,$S$4,d_Type,$T$4)</f>
        <v>45</v>
      </c>
      <c r="F104" s="58" t="n">
        <f aca="false">IFERROR(AVERAGEIFS(d_Time,d_Date,"&gt;="&amp;$C104,d_Date,"&lt;"&amp;EDATE($C104,1),d_Type,"Delivery",d_Status,"Delivered",d_Year,$P$4,d_City,$Q$4,d_Cuisine,$R$4,d_Pay,$S$4,d_Type,$T$4),0)</f>
        <v>42.4888888888889</v>
      </c>
    </row>
    <row r="105" customFormat="false" ht="15" hidden="false" customHeight="false" outlineLevel="0" collapsed="false">
      <c r="B105" s="42" t="str">
        <f aca="false">TEXT(C105,"mmm-yy")</f>
        <v>Aug-25</v>
      </c>
      <c r="C105" s="43" t="n">
        <v>45870</v>
      </c>
      <c r="D105" s="44" t="n">
        <f aca="false">COUNTIFS(d_Date,"&gt;="&amp;$C105,d_Date,"&lt;"&amp;EDATE($C105,1),d_Type,"Delivery",d_Year,$P$4,d_City,$Q$4,d_Cuisine,$R$4,d_Pay,$S$4,d_Type,$T$4)</f>
        <v>77</v>
      </c>
      <c r="E105" s="44" t="n">
        <f aca="false">COUNTIFS(d_Date,"&gt;="&amp;$C105,d_Date,"&lt;"&amp;EDATE($C105,1),d_Type,"Delivery",d_Status,"Delivered",d_Year,$P$4,d_City,$Q$4,d_Cuisine,$R$4,d_Pay,$S$4,d_Type,$T$4)</f>
        <v>59</v>
      </c>
      <c r="F105" s="61" t="n">
        <f aca="false">IFERROR(AVERAGEIFS(d_Time,d_Date,"&gt;="&amp;$C105,d_Date,"&lt;"&amp;EDATE($C105,1),d_Type,"Delivery",d_Status,"Delivered",d_Year,$P$4,d_City,$Q$4,d_Cuisine,$R$4,d_Pay,$S$4,d_Type,$T$4),0)</f>
        <v>39.0677966101695</v>
      </c>
    </row>
    <row r="106" customFormat="false" ht="15" hidden="false" customHeight="false" outlineLevel="0" collapsed="false">
      <c r="B106" s="38" t="str">
        <f aca="false">TEXT(C106,"mmm-yy")</f>
        <v>Sep-25</v>
      </c>
      <c r="C106" s="39" t="n">
        <v>45901</v>
      </c>
      <c r="D106" s="40" t="n">
        <f aca="false">COUNTIFS(d_Date,"&gt;="&amp;$C106,d_Date,"&lt;"&amp;EDATE($C106,1),d_Type,"Delivery",d_Year,$P$4,d_City,$Q$4,d_Cuisine,$R$4,d_Pay,$S$4,d_Type,$T$4)</f>
        <v>70</v>
      </c>
      <c r="E106" s="40" t="n">
        <f aca="false">COUNTIFS(d_Date,"&gt;="&amp;$C106,d_Date,"&lt;"&amp;EDATE($C106,1),d_Type,"Delivery",d_Status,"Delivered",d_Year,$P$4,d_City,$Q$4,d_Cuisine,$R$4,d_Pay,$S$4,d_Type,$T$4)</f>
        <v>49</v>
      </c>
      <c r="F106" s="58" t="n">
        <f aca="false">IFERROR(AVERAGEIFS(d_Time,d_Date,"&gt;="&amp;$C106,d_Date,"&lt;"&amp;EDATE($C106,1),d_Type,"Delivery",d_Status,"Delivered",d_Year,$P$4,d_City,$Q$4,d_Cuisine,$R$4,d_Pay,$S$4,d_Type,$T$4),0)</f>
        <v>40.5918367346939</v>
      </c>
    </row>
    <row r="107" customFormat="false" ht="15" hidden="false" customHeight="false" outlineLevel="0" collapsed="false">
      <c r="B107" s="42" t="str">
        <f aca="false">TEXT(C107,"mmm-yy")</f>
        <v>Oct-25</v>
      </c>
      <c r="C107" s="43" t="n">
        <v>45931</v>
      </c>
      <c r="D107" s="44" t="n">
        <f aca="false">COUNTIFS(d_Date,"&gt;="&amp;$C107,d_Date,"&lt;"&amp;EDATE($C107,1),d_Type,"Delivery",d_Year,$P$4,d_City,$Q$4,d_Cuisine,$R$4,d_Pay,$S$4,d_Type,$T$4)</f>
        <v>66</v>
      </c>
      <c r="E107" s="44" t="n">
        <f aca="false">COUNTIFS(d_Date,"&gt;="&amp;$C107,d_Date,"&lt;"&amp;EDATE($C107,1),d_Type,"Delivery",d_Status,"Delivered",d_Year,$P$4,d_City,$Q$4,d_Cuisine,$R$4,d_Pay,$S$4,d_Type,$T$4)</f>
        <v>44</v>
      </c>
      <c r="F107" s="61" t="n">
        <f aca="false">IFERROR(AVERAGEIFS(d_Time,d_Date,"&gt;="&amp;$C107,d_Date,"&lt;"&amp;EDATE($C107,1),d_Type,"Delivery",d_Status,"Delivered",d_Year,$P$4,d_City,$Q$4,d_Cuisine,$R$4,d_Pay,$S$4,d_Type,$T$4),0)</f>
        <v>42.0909090909091</v>
      </c>
    </row>
    <row r="108" customFormat="false" ht="15" hidden="false" customHeight="false" outlineLevel="0" collapsed="false">
      <c r="B108" s="38" t="str">
        <f aca="false">TEXT(C108,"mmm-yy")</f>
        <v>Nov-25</v>
      </c>
      <c r="C108" s="39" t="n">
        <v>45962</v>
      </c>
      <c r="D108" s="40" t="n">
        <f aca="false">COUNTIFS(d_Date,"&gt;="&amp;$C108,d_Date,"&lt;"&amp;EDATE($C108,1),d_Type,"Delivery",d_Year,$P$4,d_City,$Q$4,d_Cuisine,$R$4,d_Pay,$S$4,d_Type,$T$4)</f>
        <v>64</v>
      </c>
      <c r="E108" s="40" t="n">
        <f aca="false">COUNTIFS(d_Date,"&gt;="&amp;$C108,d_Date,"&lt;"&amp;EDATE($C108,1),d_Type,"Delivery",d_Status,"Delivered",d_Year,$P$4,d_City,$Q$4,d_Cuisine,$R$4,d_Pay,$S$4,d_Type,$T$4)</f>
        <v>43</v>
      </c>
      <c r="F108" s="58" t="n">
        <f aca="false">IFERROR(AVERAGEIFS(d_Time,d_Date,"&gt;="&amp;$C108,d_Date,"&lt;"&amp;EDATE($C108,1),d_Type,"Delivery",d_Status,"Delivered",d_Year,$P$4,d_City,$Q$4,d_Cuisine,$R$4,d_Pay,$S$4,d_Type,$T$4),0)</f>
        <v>47</v>
      </c>
    </row>
    <row r="109" customFormat="false" ht="15" hidden="false" customHeight="false" outlineLevel="0" collapsed="false">
      <c r="B109" s="42" t="str">
        <f aca="false">TEXT(C109,"mmm-yy")</f>
        <v>Dec-25</v>
      </c>
      <c r="C109" s="43" t="n">
        <v>45992</v>
      </c>
      <c r="D109" s="44" t="n">
        <f aca="false">COUNTIFS(d_Date,"&gt;="&amp;$C109,d_Date,"&lt;"&amp;EDATE($C109,1),d_Type,"Delivery",d_Year,$P$4,d_City,$Q$4,d_Cuisine,$R$4,d_Pay,$S$4,d_Type,$T$4)</f>
        <v>70</v>
      </c>
      <c r="E109" s="44" t="n">
        <f aca="false">COUNTIFS(d_Date,"&gt;="&amp;$C109,d_Date,"&lt;"&amp;EDATE($C109,1),d_Type,"Delivery",d_Status,"Delivered",d_Year,$P$4,d_City,$Q$4,d_Cuisine,$R$4,d_Pay,$S$4,d_Type,$T$4)</f>
        <v>47</v>
      </c>
      <c r="F109" s="61" t="n">
        <f aca="false">IFERROR(AVERAGEIFS(d_Time,d_Date,"&gt;="&amp;$C109,d_Date,"&lt;"&amp;EDATE($C109,1),d_Type,"Delivery",d_Status,"Delivered",d_Year,$P$4,d_City,$Q$4,d_Cuisine,$R$4,d_Pay,$S$4,d_Type,$T$4),0)</f>
        <v>43.063829787234</v>
      </c>
    </row>
    <row r="110" customFormat="false" ht="15" hidden="false" customHeight="false" outlineLevel="0" collapsed="false">
      <c r="B110" s="38" t="str">
        <f aca="false">TEXT(C110,"mmm-yy")</f>
        <v>Jan-26</v>
      </c>
      <c r="C110" s="39" t="n">
        <v>46023</v>
      </c>
      <c r="D110" s="40" t="n">
        <f aca="false">COUNTIFS(d_Date,"&gt;="&amp;$C110,d_Date,"&lt;"&amp;EDATE($C110,1),d_Type,"Delivery",d_Year,$P$4,d_City,$Q$4,d_Cuisine,$R$4,d_Pay,$S$4,d_Type,$T$4)</f>
        <v>67</v>
      </c>
      <c r="E110" s="40" t="n">
        <f aca="false">COUNTIFS(d_Date,"&gt;="&amp;$C110,d_Date,"&lt;"&amp;EDATE($C110,1),d_Type,"Delivery",d_Status,"Delivered",d_Year,$P$4,d_City,$Q$4,d_Cuisine,$R$4,d_Pay,$S$4,d_Type,$T$4)</f>
        <v>52</v>
      </c>
      <c r="F110" s="58" t="n">
        <f aca="false">IFERROR(AVERAGEIFS(d_Time,d_Date,"&gt;="&amp;$C110,d_Date,"&lt;"&amp;EDATE($C110,1),d_Type,"Delivery",d_Status,"Delivered",d_Year,$P$4,d_City,$Q$4,d_Cuisine,$R$4,d_Pay,$S$4,d_Type,$T$4),0)</f>
        <v>39.8461538461539</v>
      </c>
    </row>
    <row r="111" customFormat="false" ht="15" hidden="false" customHeight="false" outlineLevel="0" collapsed="false">
      <c r="B111" s="42" t="str">
        <f aca="false">TEXT(C111,"mmm-yy")</f>
        <v>Feb-26</v>
      </c>
      <c r="C111" s="43" t="n">
        <v>46054</v>
      </c>
      <c r="D111" s="44" t="n">
        <f aca="false">COUNTIFS(d_Date,"&gt;="&amp;$C111,d_Date,"&lt;"&amp;EDATE($C111,1),d_Type,"Delivery",d_Year,$P$4,d_City,$Q$4,d_Cuisine,$R$4,d_Pay,$S$4,d_Type,$T$4)</f>
        <v>8</v>
      </c>
      <c r="E111" s="44" t="n">
        <f aca="false">COUNTIFS(d_Date,"&gt;="&amp;$C111,d_Date,"&lt;"&amp;EDATE($C111,1),d_Type,"Delivery",d_Status,"Delivered",d_Year,$P$4,d_City,$Q$4,d_Cuisine,$R$4,d_Pay,$S$4,d_Type,$T$4)</f>
        <v>4</v>
      </c>
      <c r="F111" s="61" t="n">
        <f aca="false">IFERROR(AVERAGEIFS(d_Time,d_Date,"&gt;="&amp;$C111,d_Date,"&lt;"&amp;EDATE($C111,1),d_Type,"Delivery",d_Status,"Delivered",d_Year,$P$4,d_City,$Q$4,d_Cuisine,$R$4,d_Pay,$S$4,d_Type,$T$4),0)</f>
        <v>30.75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45"/>
    <pageSetUpPr fitToPage="false"/>
  </sheetPr>
  <dimension ref="B1:T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219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220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28" t="s">
        <v>221</v>
      </c>
      <c r="M4" s="75" t="n">
        <v>45</v>
      </c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6</v>
      </c>
      <c r="C5" s="3"/>
      <c r="D5" s="4" t="s">
        <v>222</v>
      </c>
      <c r="E5" s="4"/>
      <c r="F5" s="6" t="s">
        <v>223</v>
      </c>
      <c r="G5" s="6"/>
      <c r="H5" s="5" t="s">
        <v>224</v>
      </c>
      <c r="I5" s="5"/>
      <c r="J5" s="8" t="s">
        <v>192</v>
      </c>
      <c r="K5" s="8"/>
      <c r="L5" s="7" t="s">
        <v>225</v>
      </c>
      <c r="M5" s="7"/>
    </row>
    <row r="6" customFormat="false" ht="36" hidden="false" customHeight="true" outlineLevel="0" collapsed="false">
      <c r="B6" s="76" t="n">
        <f aca="false">IFERROR(AVERAGEIFS(d_Time,d_Status,"Delivered",d_Year,$P$4,d_City,$Q$4,d_Cuisine,$R$4,d_Pay,$S$4,d_Type,$T$4),0)</f>
        <v>41.5309734513274</v>
      </c>
      <c r="C6" s="76"/>
      <c r="D6" s="77" t="n">
        <f aca="false">_xlfn.MINIFS(d_Time,d_Status,"Delivered",d_Year,$P$4,d_City,$Q$4,d_Cuisine,$R$4,d_Pay,$S$4,d_Type,$T$4)</f>
        <v>15</v>
      </c>
      <c r="E6" s="77"/>
      <c r="F6" s="78" t="n">
        <f aca="false">_xlfn.MAXIFS(d_Time,d_Status,"Delivered",d_Year,$P$4,d_City,$Q$4,d_Cuisine,$R$4,d_Pay,$S$4,d_Type,$T$4)</f>
        <v>70</v>
      </c>
      <c r="G6" s="78"/>
      <c r="H6" s="11" t="n">
        <f aca="false">IFERROR(COUNTIFS(d_Status,"Delivered",d_Time,"&lt;="&amp;$M$4,d_Year,$P$4,d_City,$Q$4,d_Cuisine,$R$4,d_Pay,$S$4,d_Type,$T$4)/COUNTIFS(d_Status,"Delivered",d_Year,$P$4,d_City,$Q$4,d_Cuisine,$R$4,d_Pay,$S$4,d_Type,$T$4),0)</f>
        <v>0.573957016434893</v>
      </c>
      <c r="I6" s="11"/>
      <c r="J6" s="74" t="n">
        <f aca="false">IFERROR(AVERAGEIFS(d_Dist,d_Status,"Delivered",d_Year,$P$4,d_City,$Q$4,d_Cuisine,$R$4,d_Pay,$S$4,d_Type,$T$4),0)</f>
        <v>7.71744627054362</v>
      </c>
      <c r="K6" s="74"/>
      <c r="L6" s="67" t="n">
        <f aca="false">IFERROR(IFERROR(AVERAGEIFS(d_Time,d_Status,"Delivered",d_Year,$P$4,d_City,$Q$4,d_Cuisine,$R$4,d_Pay,$S$4,d_Type,$T$4),0)/IFERROR(AVERAGEIFS(d_Dist,d_Status,"Delivered",d_Year,$P$4,d_City,$Q$4,d_Cuisine,$R$4,d_Pay,$S$4,d_Type,$T$4),0),0)</f>
        <v>5.38143992136948</v>
      </c>
      <c r="M6" s="67"/>
    </row>
    <row r="7" customFormat="false" ht="24" hidden="false" customHeight="true" outlineLevel="0" collapsed="false">
      <c r="B7" s="15" t="s">
        <v>9</v>
      </c>
      <c r="C7" s="15"/>
      <c r="D7" s="15" t="s">
        <v>226</v>
      </c>
      <c r="E7" s="15"/>
      <c r="F7" s="15" t="s">
        <v>227</v>
      </c>
      <c r="G7" s="15"/>
      <c r="H7" s="15" t="s">
        <v>228</v>
      </c>
      <c r="I7" s="15"/>
      <c r="J7" s="15" t="s">
        <v>9</v>
      </c>
      <c r="K7" s="15"/>
      <c r="L7" s="15" t="s">
        <v>229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230</v>
      </c>
    </row>
    <row r="60" customFormat="false" ht="30" hidden="false" customHeight="true" outlineLevel="0" collapsed="false">
      <c r="B60" s="36" t="s">
        <v>231</v>
      </c>
      <c r="C60" s="37" t="s">
        <v>232</v>
      </c>
      <c r="D60" s="37" t="s">
        <v>233</v>
      </c>
      <c r="E60" s="37" t="s">
        <v>64</v>
      </c>
      <c r="F60" s="37" t="s">
        <v>234</v>
      </c>
      <c r="G60" s="37" t="s">
        <v>128</v>
      </c>
    </row>
    <row r="61" customFormat="false" ht="15" hidden="false" customHeight="false" outlineLevel="0" collapsed="false">
      <c r="B61" s="38" t="s">
        <v>235</v>
      </c>
      <c r="C61" s="70" t="n">
        <v>0</v>
      </c>
      <c r="D61" s="70" t="n">
        <v>20</v>
      </c>
      <c r="E61" s="40" t="n">
        <f aca="false">COUNTIFS(d_Time,"&gt;="&amp;$C61,d_Time,"&lt;="&amp;$D61,d_Status,"Delivered",d_Year,$P$4,d_City,$Q$4,d_Cuisine,$R$4,d_Pay,$S$4,d_Type,$T$4)</f>
        <v>86</v>
      </c>
      <c r="F61" s="51" t="n">
        <f aca="false">IFERROR(E61/COUNTIFS(d_Status,"Delivered",d_Year,$P$4,d_City,$Q$4,d_Cuisine,$R$4,d_Pay,$S$4,d_Type,$T$4),0)</f>
        <v>0.108723135271808</v>
      </c>
      <c r="G61" s="57" t="n">
        <f aca="false">IFERROR(AVERAGEIFS(d_CRating,d_Time,"&gt;="&amp;$C61,d_Time,"&lt;="&amp;$D61,d_Status,"Delivered",d_Year,$P$4,d_City,$Q$4,d_Cuisine,$R$4,d_Pay,$S$4,d_Type,$T$4),0)</f>
        <v>4.05813953488372</v>
      </c>
    </row>
    <row r="62" customFormat="false" ht="15" hidden="false" customHeight="false" outlineLevel="0" collapsed="false">
      <c r="B62" s="42" t="s">
        <v>236</v>
      </c>
      <c r="C62" s="71" t="n">
        <v>21</v>
      </c>
      <c r="D62" s="71" t="n">
        <v>30</v>
      </c>
      <c r="E62" s="44" t="n">
        <f aca="false">COUNTIFS(d_Time,"&gt;="&amp;$C62,d_Time,"&lt;="&amp;$D62,d_Status,"Delivered",d_Year,$P$4,d_City,$Q$4,d_Cuisine,$R$4,d_Pay,$S$4,d_Type,$T$4)</f>
        <v>162</v>
      </c>
      <c r="F62" s="52" t="n">
        <f aca="false">IFERROR(E62/COUNTIFS(d_Status,"Delivered",d_Year,$P$4,d_City,$Q$4,d_Cuisine,$R$4,d_Pay,$S$4,d_Type,$T$4),0)</f>
        <v>0.20480404551201</v>
      </c>
      <c r="G62" s="60" t="n">
        <f aca="false">IFERROR(AVERAGEIFS(d_CRating,d_Time,"&gt;="&amp;$C62,d_Time,"&lt;="&amp;$D62,d_Status,"Delivered",d_Year,$P$4,d_City,$Q$4,d_Cuisine,$R$4,d_Pay,$S$4,d_Type,$T$4),0)</f>
        <v>4.07407407407407</v>
      </c>
    </row>
    <row r="63" customFormat="false" ht="15" hidden="false" customHeight="false" outlineLevel="0" collapsed="false">
      <c r="B63" s="38" t="s">
        <v>237</v>
      </c>
      <c r="C63" s="70" t="n">
        <v>31</v>
      </c>
      <c r="D63" s="70" t="n">
        <v>40</v>
      </c>
      <c r="E63" s="40" t="n">
        <f aca="false">COUNTIFS(d_Time,"&gt;="&amp;$C63,d_Time,"&lt;="&amp;$D63,d_Status,"Delivered",d_Year,$P$4,d_City,$Q$4,d_Cuisine,$R$4,d_Pay,$S$4,d_Type,$T$4)</f>
        <v>133</v>
      </c>
      <c r="F63" s="51" t="n">
        <f aca="false">IFERROR(E63/COUNTIFS(d_Status,"Delivered",d_Year,$P$4,d_City,$Q$4,d_Cuisine,$R$4,d_Pay,$S$4,d_Type,$T$4),0)</f>
        <v>0.168141592920354</v>
      </c>
      <c r="G63" s="57" t="n">
        <f aca="false">IFERROR(AVERAGEIFS(d_CRating,d_Time,"&gt;="&amp;$C63,d_Time,"&lt;="&amp;$D63,d_Status,"Delivered",d_Year,$P$4,d_City,$Q$4,d_Cuisine,$R$4,d_Pay,$S$4,d_Type,$T$4),0)</f>
        <v>4.08270676691729</v>
      </c>
    </row>
    <row r="64" customFormat="false" ht="15" hidden="false" customHeight="false" outlineLevel="0" collapsed="false">
      <c r="B64" s="42" t="s">
        <v>238</v>
      </c>
      <c r="C64" s="71" t="n">
        <v>41</v>
      </c>
      <c r="D64" s="71" t="n">
        <v>50</v>
      </c>
      <c r="E64" s="44" t="n">
        <f aca="false">COUNTIFS(d_Time,"&gt;="&amp;$C64,d_Time,"&lt;="&amp;$D64,d_Status,"Delivered",d_Year,$P$4,d_City,$Q$4,d_Cuisine,$R$4,d_Pay,$S$4,d_Type,$T$4)</f>
        <v>143</v>
      </c>
      <c r="F64" s="52" t="n">
        <f aca="false">IFERROR(E64/COUNTIFS(d_Status,"Delivered",d_Year,$P$4,d_City,$Q$4,d_Cuisine,$R$4,d_Pay,$S$4,d_Type,$T$4),0)</f>
        <v>0.18078381795196</v>
      </c>
      <c r="G64" s="60" t="n">
        <f aca="false">IFERROR(AVERAGEIFS(d_CRating,d_Time,"&gt;="&amp;$C64,d_Time,"&lt;="&amp;$D64,d_Status,"Delivered",d_Year,$P$4,d_City,$Q$4,d_Cuisine,$R$4,d_Pay,$S$4,d_Type,$T$4),0)</f>
        <v>3.90909090909091</v>
      </c>
    </row>
    <row r="65" customFormat="false" ht="15" hidden="false" customHeight="false" outlineLevel="0" collapsed="false">
      <c r="B65" s="38" t="s">
        <v>239</v>
      </c>
      <c r="C65" s="70" t="n">
        <v>51</v>
      </c>
      <c r="D65" s="70" t="n">
        <v>60</v>
      </c>
      <c r="E65" s="40" t="n">
        <f aca="false">COUNTIFS(d_Time,"&gt;="&amp;$C65,d_Time,"&lt;="&amp;$D65,d_Status,"Delivered",d_Year,$P$4,d_City,$Q$4,d_Cuisine,$R$4,d_Pay,$S$4,d_Type,$T$4)</f>
        <v>142</v>
      </c>
      <c r="F65" s="51" t="n">
        <f aca="false">IFERROR(E65/COUNTIFS(d_Status,"Delivered",d_Year,$P$4,d_City,$Q$4,d_Cuisine,$R$4,d_Pay,$S$4,d_Type,$T$4),0)</f>
        <v>0.179519595448799</v>
      </c>
      <c r="G65" s="57" t="n">
        <f aca="false">IFERROR(AVERAGEIFS(d_CRating,d_Time,"&gt;="&amp;$C65,d_Time,"&lt;="&amp;$D65,d_Status,"Delivered",d_Year,$P$4,d_City,$Q$4,d_Cuisine,$R$4,d_Pay,$S$4,d_Type,$T$4),0)</f>
        <v>4.00704225352113</v>
      </c>
    </row>
    <row r="66" customFormat="false" ht="15" hidden="false" customHeight="false" outlineLevel="0" collapsed="false">
      <c r="B66" s="42" t="s">
        <v>240</v>
      </c>
      <c r="C66" s="71" t="n">
        <v>61</v>
      </c>
      <c r="D66" s="71" t="n">
        <v>70</v>
      </c>
      <c r="E66" s="44" t="n">
        <f aca="false">COUNTIFS(d_Time,"&gt;="&amp;$C66,d_Time,"&lt;="&amp;$D66,d_Status,"Delivered",d_Year,$P$4,d_City,$Q$4,d_Cuisine,$R$4,d_Pay,$S$4,d_Type,$T$4)</f>
        <v>125</v>
      </c>
      <c r="F66" s="52" t="n">
        <f aca="false">IFERROR(E66/COUNTIFS(d_Status,"Delivered",d_Year,$P$4,d_City,$Q$4,d_Cuisine,$R$4,d_Pay,$S$4,d_Type,$T$4),0)</f>
        <v>0.15802781289507</v>
      </c>
      <c r="G66" s="60" t="n">
        <f aca="false">IFERROR(AVERAGEIFS(d_CRating,d_Time,"&gt;="&amp;$C66,d_Time,"&lt;="&amp;$D66,d_Status,"Delivered",d_Year,$P$4,d_City,$Q$4,d_Cuisine,$R$4,d_Pay,$S$4,d_Type,$T$4),0)</f>
        <v>3.976</v>
      </c>
    </row>
    <row r="67" customFormat="false" ht="15" hidden="false" customHeight="false" outlineLevel="0" collapsed="false">
      <c r="B67" s="46" t="s">
        <v>69</v>
      </c>
      <c r="C67" s="47"/>
      <c r="D67" s="47"/>
      <c r="E67" s="48" t="n">
        <f aca="false">SUM(E61:E66)</f>
        <v>791</v>
      </c>
      <c r="F67" s="53" t="n">
        <f aca="false">SUM(F61:F66)</f>
        <v>1</v>
      </c>
      <c r="G67" s="47"/>
    </row>
    <row r="68" customFormat="false" ht="15" hidden="false" customHeight="false" outlineLevel="0" collapsed="false">
      <c r="B68" s="50" t="s">
        <v>241</v>
      </c>
    </row>
    <row r="71" customFormat="false" ht="15" hidden="false" customHeight="false" outlineLevel="0" collapsed="false">
      <c r="B71" s="35" t="s">
        <v>242</v>
      </c>
    </row>
    <row r="72" customFormat="false" ht="30" hidden="false" customHeight="true" outlineLevel="0" collapsed="false">
      <c r="B72" s="36" t="s">
        <v>99</v>
      </c>
      <c r="C72" s="37" t="s">
        <v>65</v>
      </c>
      <c r="D72" s="37" t="s">
        <v>243</v>
      </c>
      <c r="E72" s="37" t="s">
        <v>244</v>
      </c>
    </row>
    <row r="73" customFormat="false" ht="15" hidden="false" customHeight="false" outlineLevel="0" collapsed="false">
      <c r="B73" s="38" t="s">
        <v>100</v>
      </c>
      <c r="C73" s="40" t="n">
        <f aca="false">COUNTIFS(d_City,$B73,d_Status,"Delivered",d_Year,$P$4,d_City,$Q$4,d_Cuisine,$R$4,d_Pay,$S$4,d_Type,$T$4)</f>
        <v>81</v>
      </c>
      <c r="D73" s="58" t="n">
        <f aca="false">IFERROR(AVERAGEIFS(d_Time,d_City,$B73,d_Status,"Delivered",d_Year,$P$4,d_City,$Q$4,d_Cuisine,$R$4,d_Pay,$S$4,d_Type,$T$4),0)</f>
        <v>40.3703703703704</v>
      </c>
      <c r="E73" s="51" t="n">
        <f aca="false">IFERROR(COUNTIFS(d_City,$B73,d_Status,"Delivered",d_Time,"&lt;="&amp;$M$4,d_Year,$P$4,d_City,$Q$4,d_Cuisine,$R$4,d_Pay,$S$4,d_Type,$T$4)/C73,0)</f>
        <v>0.567901234567901</v>
      </c>
    </row>
    <row r="74" customFormat="false" ht="15" hidden="false" customHeight="false" outlineLevel="0" collapsed="false">
      <c r="B74" s="42" t="s">
        <v>101</v>
      </c>
      <c r="C74" s="44" t="n">
        <f aca="false">COUNTIFS(d_City,$B74,d_Status,"Delivered",d_Year,$P$4,d_City,$Q$4,d_Cuisine,$R$4,d_Pay,$S$4,d_Type,$T$4)</f>
        <v>80</v>
      </c>
      <c r="D74" s="61" t="n">
        <f aca="false">IFERROR(AVERAGEIFS(d_Time,d_City,$B74,d_Status,"Delivered",d_Year,$P$4,d_City,$Q$4,d_Cuisine,$R$4,d_Pay,$S$4,d_Type,$T$4),0)</f>
        <v>42.8625</v>
      </c>
      <c r="E74" s="52" t="n">
        <f aca="false">IFERROR(COUNTIFS(d_City,$B74,d_Status,"Delivered",d_Time,"&lt;="&amp;$M$4,d_Year,$P$4,d_City,$Q$4,d_Cuisine,$R$4,d_Pay,$S$4,d_Type,$T$4)/C74,0)</f>
        <v>0.575</v>
      </c>
    </row>
    <row r="75" customFormat="false" ht="15" hidden="false" customHeight="false" outlineLevel="0" collapsed="false">
      <c r="B75" s="38" t="s">
        <v>102</v>
      </c>
      <c r="C75" s="40" t="n">
        <f aca="false">COUNTIFS(d_City,$B75,d_Status,"Delivered",d_Year,$P$4,d_City,$Q$4,d_Cuisine,$R$4,d_Pay,$S$4,d_Type,$T$4)</f>
        <v>71</v>
      </c>
      <c r="D75" s="58" t="n">
        <f aca="false">IFERROR(AVERAGEIFS(d_Time,d_City,$B75,d_Status,"Delivered",d_Year,$P$4,d_City,$Q$4,d_Cuisine,$R$4,d_Pay,$S$4,d_Type,$T$4),0)</f>
        <v>45.7464788732394</v>
      </c>
      <c r="E75" s="51" t="n">
        <f aca="false">IFERROR(COUNTIFS(d_City,$B75,d_Status,"Delivered",d_Time,"&lt;="&amp;$M$4,d_Year,$P$4,d_City,$Q$4,d_Cuisine,$R$4,d_Pay,$S$4,d_Type,$T$4)/C75,0)</f>
        <v>0.436619718309859</v>
      </c>
    </row>
    <row r="76" customFormat="false" ht="15" hidden="false" customHeight="false" outlineLevel="0" collapsed="false">
      <c r="B76" s="42" t="s">
        <v>103</v>
      </c>
      <c r="C76" s="44" t="n">
        <f aca="false">COUNTIFS(d_City,$B76,d_Status,"Delivered",d_Year,$P$4,d_City,$Q$4,d_Cuisine,$R$4,d_Pay,$S$4,d_Type,$T$4)</f>
        <v>72</v>
      </c>
      <c r="D76" s="61" t="n">
        <f aca="false">IFERROR(AVERAGEIFS(d_Time,d_City,$B76,d_Status,"Delivered",d_Year,$P$4,d_City,$Q$4,d_Cuisine,$R$4,d_Pay,$S$4,d_Type,$T$4),0)</f>
        <v>39.4583333333333</v>
      </c>
      <c r="E76" s="52" t="n">
        <f aca="false">IFERROR(COUNTIFS(d_City,$B76,d_Status,"Delivered",d_Time,"&lt;="&amp;$M$4,d_Year,$P$4,d_City,$Q$4,d_Cuisine,$R$4,d_Pay,$S$4,d_Type,$T$4)/C76,0)</f>
        <v>0.611111111111111</v>
      </c>
    </row>
    <row r="77" customFormat="false" ht="15" hidden="false" customHeight="false" outlineLevel="0" collapsed="false">
      <c r="B77" s="38" t="s">
        <v>104</v>
      </c>
      <c r="C77" s="40" t="n">
        <f aca="false">COUNTIFS(d_City,$B77,d_Status,"Delivered",d_Year,$P$4,d_City,$Q$4,d_Cuisine,$R$4,d_Pay,$S$4,d_Type,$T$4)</f>
        <v>67</v>
      </c>
      <c r="D77" s="58" t="n">
        <f aca="false">IFERROR(AVERAGEIFS(d_Time,d_City,$B77,d_Status,"Delivered",d_Year,$P$4,d_City,$Q$4,d_Cuisine,$R$4,d_Pay,$S$4,d_Type,$T$4),0)</f>
        <v>43.8059701492537</v>
      </c>
      <c r="E77" s="51" t="n">
        <f aca="false">IFERROR(COUNTIFS(d_City,$B77,d_Status,"Delivered",d_Time,"&lt;="&amp;$M$4,d_Year,$P$4,d_City,$Q$4,d_Cuisine,$R$4,d_Pay,$S$4,d_Type,$T$4)/C77,0)</f>
        <v>0.507462686567164</v>
      </c>
    </row>
    <row r="78" customFormat="false" ht="15" hidden="false" customHeight="false" outlineLevel="0" collapsed="false">
      <c r="B78" s="42" t="s">
        <v>105</v>
      </c>
      <c r="C78" s="44" t="n">
        <f aca="false">COUNTIFS(d_City,$B78,d_Status,"Delivered",d_Year,$P$4,d_City,$Q$4,d_Cuisine,$R$4,d_Pay,$S$4,d_Type,$T$4)</f>
        <v>71</v>
      </c>
      <c r="D78" s="61" t="n">
        <f aca="false">IFERROR(AVERAGEIFS(d_Time,d_City,$B78,d_Status,"Delivered",d_Year,$P$4,d_City,$Q$4,d_Cuisine,$R$4,d_Pay,$S$4,d_Type,$T$4),0)</f>
        <v>39.6901408450704</v>
      </c>
      <c r="E78" s="52" t="n">
        <f aca="false">IFERROR(COUNTIFS(d_City,$B78,d_Status,"Delivered",d_Time,"&lt;="&amp;$M$4,d_Year,$P$4,d_City,$Q$4,d_Cuisine,$R$4,d_Pay,$S$4,d_Type,$T$4)/C78,0)</f>
        <v>0.591549295774648</v>
      </c>
    </row>
    <row r="79" customFormat="false" ht="15" hidden="false" customHeight="false" outlineLevel="0" collapsed="false">
      <c r="B79" s="38" t="s">
        <v>106</v>
      </c>
      <c r="C79" s="40" t="n">
        <f aca="false">COUNTIFS(d_City,$B79,d_Status,"Delivered",d_Year,$P$4,d_City,$Q$4,d_Cuisine,$R$4,d_Pay,$S$4,d_Type,$T$4)</f>
        <v>57</v>
      </c>
      <c r="D79" s="58" t="n">
        <f aca="false">IFERROR(AVERAGEIFS(d_Time,d_City,$B79,d_Status,"Delivered",d_Year,$P$4,d_City,$Q$4,d_Cuisine,$R$4,d_Pay,$S$4,d_Type,$T$4),0)</f>
        <v>40.0526315789474</v>
      </c>
      <c r="E79" s="51" t="n">
        <f aca="false">IFERROR(COUNTIFS(d_City,$B79,d_Status,"Delivered",d_Time,"&lt;="&amp;$M$4,d_Year,$P$4,d_City,$Q$4,d_Cuisine,$R$4,d_Pay,$S$4,d_Type,$T$4)/C79,0)</f>
        <v>0.596491228070175</v>
      </c>
    </row>
    <row r="80" customFormat="false" ht="15" hidden="false" customHeight="false" outlineLevel="0" collapsed="false">
      <c r="B80" s="42" t="s">
        <v>107</v>
      </c>
      <c r="C80" s="44" t="n">
        <f aca="false">COUNTIFS(d_City,$B80,d_Status,"Delivered",d_Year,$P$4,d_City,$Q$4,d_Cuisine,$R$4,d_Pay,$S$4,d_Type,$T$4)</f>
        <v>61</v>
      </c>
      <c r="D80" s="61" t="n">
        <f aca="false">IFERROR(AVERAGEIFS(d_Time,d_City,$B80,d_Status,"Delivered",d_Year,$P$4,d_City,$Q$4,d_Cuisine,$R$4,d_Pay,$S$4,d_Type,$T$4),0)</f>
        <v>40.016393442623</v>
      </c>
      <c r="E80" s="52" t="n">
        <f aca="false">IFERROR(COUNTIFS(d_City,$B80,d_Status,"Delivered",d_Time,"&lt;="&amp;$M$4,d_Year,$P$4,d_City,$Q$4,d_Cuisine,$R$4,d_Pay,$S$4,d_Type,$T$4)/C80,0)</f>
        <v>0.639344262295082</v>
      </c>
    </row>
    <row r="81" customFormat="false" ht="15" hidden="false" customHeight="false" outlineLevel="0" collapsed="false">
      <c r="B81" s="38" t="s">
        <v>108</v>
      </c>
      <c r="C81" s="40" t="n">
        <f aca="false">COUNTIFS(d_City,$B81,d_Status,"Delivered",d_Year,$P$4,d_City,$Q$4,d_Cuisine,$R$4,d_Pay,$S$4,d_Type,$T$4)</f>
        <v>62</v>
      </c>
      <c r="D81" s="58" t="n">
        <f aca="false">IFERROR(AVERAGEIFS(d_Time,d_City,$B81,d_Status,"Delivered",d_Year,$P$4,d_City,$Q$4,d_Cuisine,$R$4,d_Pay,$S$4,d_Type,$T$4),0)</f>
        <v>41.8064516129032</v>
      </c>
      <c r="E81" s="51" t="n">
        <f aca="false">IFERROR(COUNTIFS(d_City,$B81,d_Status,"Delivered",d_Time,"&lt;="&amp;$M$4,d_Year,$P$4,d_City,$Q$4,d_Cuisine,$R$4,d_Pay,$S$4,d_Type,$T$4)/C81,0)</f>
        <v>0.645161290322581</v>
      </c>
    </row>
    <row r="82" customFormat="false" ht="15" hidden="false" customHeight="false" outlineLevel="0" collapsed="false">
      <c r="B82" s="42" t="s">
        <v>109</v>
      </c>
      <c r="C82" s="44" t="n">
        <f aca="false">COUNTIFS(d_City,$B82,d_Status,"Delivered",d_Year,$P$4,d_City,$Q$4,d_Cuisine,$R$4,d_Pay,$S$4,d_Type,$T$4)</f>
        <v>61</v>
      </c>
      <c r="D82" s="61" t="n">
        <f aca="false">IFERROR(AVERAGEIFS(d_Time,d_City,$B82,d_Status,"Delivered",d_Year,$P$4,d_City,$Q$4,d_Cuisine,$R$4,d_Pay,$S$4,d_Type,$T$4),0)</f>
        <v>41.3114754098361</v>
      </c>
      <c r="E82" s="52" t="n">
        <f aca="false">IFERROR(COUNTIFS(d_City,$B82,d_Status,"Delivered",d_Time,"&lt;="&amp;$M$4,d_Year,$P$4,d_City,$Q$4,d_Cuisine,$R$4,d_Pay,$S$4,d_Type,$T$4)/C82,0)</f>
        <v>0.540983606557377</v>
      </c>
    </row>
    <row r="83" customFormat="false" ht="15" hidden="false" customHeight="false" outlineLevel="0" collapsed="false">
      <c r="B83" s="38" t="s">
        <v>110</v>
      </c>
      <c r="C83" s="40" t="n">
        <f aca="false">COUNTIFS(d_City,$B83,d_Status,"Delivered",d_Year,$P$4,d_City,$Q$4,d_Cuisine,$R$4,d_Pay,$S$4,d_Type,$T$4)</f>
        <v>53</v>
      </c>
      <c r="D83" s="58" t="n">
        <f aca="false">IFERROR(AVERAGEIFS(d_Time,d_City,$B83,d_Status,"Delivered",d_Year,$P$4,d_City,$Q$4,d_Cuisine,$R$4,d_Pay,$S$4,d_Type,$T$4),0)</f>
        <v>39.8490566037736</v>
      </c>
      <c r="E83" s="51" t="n">
        <f aca="false">IFERROR(COUNTIFS(d_City,$B83,d_Status,"Delivered",d_Time,"&lt;="&amp;$M$4,d_Year,$P$4,d_City,$Q$4,d_Cuisine,$R$4,d_Pay,$S$4,d_Type,$T$4)/C83,0)</f>
        <v>0.660377358490566</v>
      </c>
    </row>
    <row r="84" customFormat="false" ht="15" hidden="false" customHeight="false" outlineLevel="0" collapsed="false">
      <c r="B84" s="42" t="s">
        <v>111</v>
      </c>
      <c r="C84" s="44" t="n">
        <f aca="false">COUNTIFS(d_City,$B84,d_Status,"Delivered",d_Year,$P$4,d_City,$Q$4,d_Cuisine,$R$4,d_Pay,$S$4,d_Type,$T$4)</f>
        <v>55</v>
      </c>
      <c r="D84" s="61" t="n">
        <f aca="false">IFERROR(AVERAGEIFS(d_Time,d_City,$B84,d_Status,"Delivered",d_Year,$P$4,d_City,$Q$4,d_Cuisine,$R$4,d_Pay,$S$4,d_Type,$T$4),0)</f>
        <v>42.9454545454545</v>
      </c>
      <c r="E84" s="52" t="n">
        <f aca="false">IFERROR(COUNTIFS(d_City,$B84,d_Status,"Delivered",d_Time,"&lt;="&amp;$M$4,d_Year,$P$4,d_City,$Q$4,d_Cuisine,$R$4,d_Pay,$S$4,d_Type,$T$4)/C84,0)</f>
        <v>0.545454545454545</v>
      </c>
    </row>
    <row r="87" customFormat="false" ht="15" hidden="false" customHeight="false" outlineLevel="0" collapsed="false">
      <c r="B87" s="35" t="s">
        <v>245</v>
      </c>
    </row>
    <row r="88" customFormat="false" ht="30" hidden="false" customHeight="true" outlineLevel="0" collapsed="false">
      <c r="B88" s="36" t="s">
        <v>206</v>
      </c>
      <c r="C88" s="37" t="s">
        <v>207</v>
      </c>
      <c r="D88" s="37" t="s">
        <v>208</v>
      </c>
      <c r="E88" s="37" t="s">
        <v>65</v>
      </c>
      <c r="F88" s="37" t="s">
        <v>243</v>
      </c>
      <c r="G88" s="37" t="s">
        <v>246</v>
      </c>
    </row>
    <row r="89" customFormat="false" ht="15" hidden="false" customHeight="false" outlineLevel="0" collapsed="false">
      <c r="B89" s="38" t="s">
        <v>210</v>
      </c>
      <c r="C89" s="70" t="n">
        <v>0</v>
      </c>
      <c r="D89" s="70" t="n">
        <v>3</v>
      </c>
      <c r="E89" s="40" t="n">
        <f aca="false">COUNTIFS(d_Dist,"&gt;"&amp;$C89,d_Dist,"&lt;="&amp;$D89,d_Status,"Delivered",d_Year,$P$4,d_City,$Q$4,d_Cuisine,$R$4,d_Pay,$S$4,d_Type,$T$4)</f>
        <v>146</v>
      </c>
      <c r="F89" s="58" t="n">
        <f aca="false">IFERROR(AVERAGEIFS(d_Time,d_Dist,"&gt;"&amp;$C89,d_Dist,"&lt;="&amp;$D89,d_Status,"Delivered",d_Year,$P$4,d_City,$Q$4,d_Cuisine,$R$4,d_Pay,$S$4,d_Type,$T$4),0)</f>
        <v>40.2397260273973</v>
      </c>
      <c r="G89" s="57" t="n">
        <f aca="false">IFERROR(F89/((C89+D89)/2),0)</f>
        <v>26.8264840182648</v>
      </c>
    </row>
    <row r="90" customFormat="false" ht="15" hidden="false" customHeight="false" outlineLevel="0" collapsed="false">
      <c r="B90" s="42" t="s">
        <v>211</v>
      </c>
      <c r="C90" s="71" t="n">
        <v>3</v>
      </c>
      <c r="D90" s="71" t="n">
        <v>6</v>
      </c>
      <c r="E90" s="44" t="n">
        <f aca="false">COUNTIFS(d_Dist,"&gt;"&amp;$C90,d_Dist,"&lt;="&amp;$D90,d_Status,"Delivered",d_Year,$P$4,d_City,$Q$4,d_Cuisine,$R$4,d_Pay,$S$4,d_Type,$T$4)</f>
        <v>164</v>
      </c>
      <c r="F90" s="61" t="n">
        <f aca="false">IFERROR(AVERAGEIFS(d_Time,d_Dist,"&gt;"&amp;$C90,d_Dist,"&lt;="&amp;$D90,d_Status,"Delivered",d_Year,$P$4,d_City,$Q$4,d_Cuisine,$R$4,d_Pay,$S$4,d_Type,$T$4),0)</f>
        <v>41.8231707317073</v>
      </c>
      <c r="G90" s="60" t="n">
        <f aca="false">IFERROR(F90/((C90+D90)/2),0)</f>
        <v>9.2940379403794</v>
      </c>
    </row>
    <row r="91" customFormat="false" ht="15" hidden="false" customHeight="false" outlineLevel="0" collapsed="false">
      <c r="B91" s="38" t="s">
        <v>212</v>
      </c>
      <c r="C91" s="70" t="n">
        <v>6</v>
      </c>
      <c r="D91" s="70" t="n">
        <v>9</v>
      </c>
      <c r="E91" s="40" t="n">
        <f aca="false">COUNTIFS(d_Dist,"&gt;"&amp;$C91,d_Dist,"&lt;="&amp;$D91,d_Status,"Delivered",d_Year,$P$4,d_City,$Q$4,d_Cuisine,$R$4,d_Pay,$S$4,d_Type,$T$4)</f>
        <v>158</v>
      </c>
      <c r="F91" s="58" t="n">
        <f aca="false">IFERROR(AVERAGEIFS(d_Time,d_Dist,"&gt;"&amp;$C91,d_Dist,"&lt;="&amp;$D91,d_Status,"Delivered",d_Year,$P$4,d_City,$Q$4,d_Cuisine,$R$4,d_Pay,$S$4,d_Type,$T$4),0)</f>
        <v>40.4430379746835</v>
      </c>
      <c r="G91" s="57" t="n">
        <f aca="false">IFERROR(F91/((C91+D91)/2),0)</f>
        <v>5.39240506329114</v>
      </c>
    </row>
    <row r="92" customFormat="false" ht="15" hidden="false" customHeight="false" outlineLevel="0" collapsed="false">
      <c r="B92" s="42" t="s">
        <v>213</v>
      </c>
      <c r="C92" s="71" t="n">
        <v>9</v>
      </c>
      <c r="D92" s="71" t="n">
        <v>12</v>
      </c>
      <c r="E92" s="44" t="n">
        <f aca="false">COUNTIFS(d_Dist,"&gt;"&amp;$C92,d_Dist,"&lt;="&amp;$D92,d_Status,"Delivered",d_Year,$P$4,d_City,$Q$4,d_Cuisine,$R$4,d_Pay,$S$4,d_Type,$T$4)</f>
        <v>155</v>
      </c>
      <c r="F92" s="61" t="n">
        <f aca="false">IFERROR(AVERAGEIFS(d_Time,d_Dist,"&gt;"&amp;$C92,d_Dist,"&lt;="&amp;$D92,d_Status,"Delivered",d_Year,$P$4,d_City,$Q$4,d_Cuisine,$R$4,d_Pay,$S$4,d_Type,$T$4),0)</f>
        <v>41.1870967741936</v>
      </c>
      <c r="G92" s="60" t="n">
        <f aca="false">IFERROR(F92/((C92+D92)/2),0)</f>
        <v>3.92258064516129</v>
      </c>
    </row>
    <row r="93" customFormat="false" ht="15" hidden="false" customHeight="false" outlineLevel="0" collapsed="false">
      <c r="B93" s="38" t="s">
        <v>214</v>
      </c>
      <c r="C93" s="70" t="n">
        <v>12</v>
      </c>
      <c r="D93" s="70" t="n">
        <v>15</v>
      </c>
      <c r="E93" s="40" t="n">
        <f aca="false">COUNTIFS(d_Dist,"&gt;"&amp;$C93,d_Dist,"&lt;="&amp;$D93,d_Status,"Delivered",d_Year,$P$4,d_City,$Q$4,d_Cuisine,$R$4,d_Pay,$S$4,d_Type,$T$4)</f>
        <v>168</v>
      </c>
      <c r="F93" s="58" t="n">
        <f aca="false">IFERROR(AVERAGEIFS(d_Time,d_Dist,"&gt;"&amp;$C93,d_Dist,"&lt;="&amp;$D93,d_Status,"Delivered",d_Year,$P$4,d_City,$Q$4,d_Cuisine,$R$4,d_Pay,$S$4,d_Type,$T$4),0)</f>
        <v>43.7083333333333</v>
      </c>
      <c r="G93" s="57" t="n">
        <f aca="false">IFERROR(F93/((C93+D93)/2),0)</f>
        <v>3.23765432098765</v>
      </c>
    </row>
    <row r="94" customFormat="false" ht="15" hidden="false" customHeight="false" outlineLevel="0" collapsed="false">
      <c r="B94" s="50" t="s">
        <v>247</v>
      </c>
    </row>
    <row r="97" customFormat="false" ht="15" hidden="false" customHeight="false" outlineLevel="0" collapsed="false">
      <c r="B97" s="35" t="s">
        <v>248</v>
      </c>
    </row>
    <row r="98" customFormat="false" ht="30" hidden="false" customHeight="true" outlineLevel="0" collapsed="false">
      <c r="B98" s="36" t="s">
        <v>62</v>
      </c>
      <c r="C98" s="37" t="s">
        <v>63</v>
      </c>
      <c r="D98" s="37" t="s">
        <v>65</v>
      </c>
      <c r="E98" s="37" t="s">
        <v>243</v>
      </c>
      <c r="F98" s="37" t="s">
        <v>249</v>
      </c>
    </row>
    <row r="99" customFormat="false" ht="15" hidden="false" customHeight="false" outlineLevel="0" collapsed="false">
      <c r="B99" s="38" t="str">
        <f aca="false">TEXT(C99,"mmm-yy")</f>
        <v>Jan-25</v>
      </c>
      <c r="C99" s="39" t="n">
        <v>45658</v>
      </c>
      <c r="D99" s="40" t="n">
        <f aca="false">COUNTIFS(d_Date,"&gt;="&amp;$C99,d_Date,"&lt;"&amp;EDATE($C99,1),d_Status,"Delivered",d_Year,$P$4,d_City,$Q$4,d_Cuisine,$R$4,d_Pay,$S$4,d_Type,$T$4)</f>
        <v>66</v>
      </c>
      <c r="E99" s="58" t="n">
        <f aca="false">IFERROR(AVERAGEIFS(d_Time,d_Date,"&gt;="&amp;$C99,d_Date,"&lt;"&amp;EDATE($C99,1),d_Status,"Delivered",d_Year,$P$4,d_City,$Q$4,d_Cuisine,$R$4,d_Pay,$S$4,d_Type,$T$4),0)</f>
        <v>41.9848484848485</v>
      </c>
      <c r="F99" s="51" t="n">
        <f aca="false">IFERROR(COUNTIFS(d_Date,"&gt;="&amp;$C99,d_Date,"&lt;"&amp;EDATE($C99,1),d_Status,"Delivered",d_Time,"&lt;="&amp;$M$4,d_Year,$P$4,d_City,$Q$4,d_Cuisine,$R$4,d_Pay,$S$4,d_Type,$T$4)/D99,0)</f>
        <v>0.545454545454545</v>
      </c>
    </row>
    <row r="100" customFormat="false" ht="15" hidden="false" customHeight="false" outlineLevel="0" collapsed="false">
      <c r="B100" s="42" t="str">
        <f aca="false">TEXT(C100,"mmm-yy")</f>
        <v>Feb-25</v>
      </c>
      <c r="C100" s="43" t="n">
        <v>45689</v>
      </c>
      <c r="D100" s="44" t="n">
        <f aca="false">COUNTIFS(d_Date,"&gt;="&amp;$C100,d_Date,"&lt;"&amp;EDATE($C100,1),d_Status,"Delivered",d_Year,$P$4,d_City,$Q$4,d_Cuisine,$R$4,d_Pay,$S$4,d_Type,$T$4)</f>
        <v>48</v>
      </c>
      <c r="E100" s="61" t="n">
        <f aca="false">IFERROR(AVERAGEIFS(d_Time,d_Date,"&gt;="&amp;$C100,d_Date,"&lt;"&amp;EDATE($C100,1),d_Status,"Delivered",d_Year,$P$4,d_City,$Q$4,d_Cuisine,$R$4,d_Pay,$S$4,d_Type,$T$4),0)</f>
        <v>44.1041666666667</v>
      </c>
      <c r="F100" s="52" t="n">
        <f aca="false">IFERROR(COUNTIFS(d_Date,"&gt;="&amp;$C100,d_Date,"&lt;"&amp;EDATE($C100,1),d_Status,"Delivered",d_Time,"&lt;="&amp;$M$4,d_Year,$P$4,d_City,$Q$4,d_Cuisine,$R$4,d_Pay,$S$4,d_Type,$T$4)/D100,0)</f>
        <v>0.479166666666667</v>
      </c>
    </row>
    <row r="101" customFormat="false" ht="15" hidden="false" customHeight="false" outlineLevel="0" collapsed="false">
      <c r="B101" s="38" t="str">
        <f aca="false">TEXT(C101,"mmm-yy")</f>
        <v>Mar-25</v>
      </c>
      <c r="C101" s="39" t="n">
        <v>45717</v>
      </c>
      <c r="D101" s="40" t="n">
        <f aca="false">COUNTIFS(d_Date,"&gt;="&amp;$C101,d_Date,"&lt;"&amp;EDATE($C101,1),d_Status,"Delivered",d_Year,$P$4,d_City,$Q$4,d_Cuisine,$R$4,d_Pay,$S$4,d_Type,$T$4)</f>
        <v>55</v>
      </c>
      <c r="E101" s="58" t="n">
        <f aca="false">IFERROR(AVERAGEIFS(d_Time,d_Date,"&gt;="&amp;$C101,d_Date,"&lt;"&amp;EDATE($C101,1),d_Status,"Delivered",d_Year,$P$4,d_City,$Q$4,d_Cuisine,$R$4,d_Pay,$S$4,d_Type,$T$4),0)</f>
        <v>40.4181818181818</v>
      </c>
      <c r="F101" s="51" t="n">
        <f aca="false">IFERROR(COUNTIFS(d_Date,"&gt;="&amp;$C101,d_Date,"&lt;"&amp;EDATE($C101,1),d_Status,"Delivered",d_Time,"&lt;="&amp;$M$4,d_Year,$P$4,d_City,$Q$4,d_Cuisine,$R$4,d_Pay,$S$4,d_Type,$T$4)/D101,0)</f>
        <v>0.581818181818182</v>
      </c>
    </row>
    <row r="102" customFormat="false" ht="15" hidden="false" customHeight="false" outlineLevel="0" collapsed="false">
      <c r="B102" s="42" t="str">
        <f aca="false">TEXT(C102,"mmm-yy")</f>
        <v>Apr-25</v>
      </c>
      <c r="C102" s="43" t="n">
        <v>45748</v>
      </c>
      <c r="D102" s="44" t="n">
        <f aca="false">COUNTIFS(d_Date,"&gt;="&amp;$C102,d_Date,"&lt;"&amp;EDATE($C102,1),d_Status,"Delivered",d_Year,$P$4,d_City,$Q$4,d_Cuisine,$R$4,d_Pay,$S$4,d_Type,$T$4)</f>
        <v>61</v>
      </c>
      <c r="E102" s="61" t="n">
        <f aca="false">IFERROR(AVERAGEIFS(d_Time,d_Date,"&gt;="&amp;$C102,d_Date,"&lt;"&amp;EDATE($C102,1),d_Status,"Delivered",d_Year,$P$4,d_City,$Q$4,d_Cuisine,$R$4,d_Pay,$S$4,d_Type,$T$4),0)</f>
        <v>43.5737704918033</v>
      </c>
      <c r="F102" s="52" t="n">
        <f aca="false">IFERROR(COUNTIFS(d_Date,"&gt;="&amp;$C102,d_Date,"&lt;"&amp;EDATE($C102,1),d_Status,"Delivered",d_Time,"&lt;="&amp;$M$4,d_Year,$P$4,d_City,$Q$4,d_Cuisine,$R$4,d_Pay,$S$4,d_Type,$T$4)/D102,0)</f>
        <v>0.508196721311475</v>
      </c>
    </row>
    <row r="103" customFormat="false" ht="15" hidden="false" customHeight="false" outlineLevel="0" collapsed="false">
      <c r="B103" s="38" t="str">
        <f aca="false">TEXT(C103,"mmm-yy")</f>
        <v>May-25</v>
      </c>
      <c r="C103" s="39" t="n">
        <v>45778</v>
      </c>
      <c r="D103" s="40" t="n">
        <f aca="false">COUNTIFS(d_Date,"&gt;="&amp;$C103,d_Date,"&lt;"&amp;EDATE($C103,1),d_Status,"Delivered",d_Year,$P$4,d_City,$Q$4,d_Cuisine,$R$4,d_Pay,$S$4,d_Type,$T$4)</f>
        <v>59</v>
      </c>
      <c r="E103" s="58" t="n">
        <f aca="false">IFERROR(AVERAGEIFS(d_Time,d_Date,"&gt;="&amp;$C103,d_Date,"&lt;"&amp;EDATE($C103,1),d_Status,"Delivered",d_Year,$P$4,d_City,$Q$4,d_Cuisine,$R$4,d_Pay,$S$4,d_Type,$T$4),0)</f>
        <v>39.9152542372881</v>
      </c>
      <c r="F103" s="51" t="n">
        <f aca="false">IFERROR(COUNTIFS(d_Date,"&gt;="&amp;$C103,d_Date,"&lt;"&amp;EDATE($C103,1),d_Status,"Delivered",d_Time,"&lt;="&amp;$M$4,d_Year,$P$4,d_City,$Q$4,d_Cuisine,$R$4,d_Pay,$S$4,d_Type,$T$4)/D103,0)</f>
        <v>0.661016949152542</v>
      </c>
    </row>
    <row r="104" customFormat="false" ht="15" hidden="false" customHeight="false" outlineLevel="0" collapsed="false">
      <c r="B104" s="42" t="str">
        <f aca="false">TEXT(C104,"mmm-yy")</f>
        <v>Jun-25</v>
      </c>
      <c r="C104" s="43" t="n">
        <v>45809</v>
      </c>
      <c r="D104" s="44" t="n">
        <f aca="false">COUNTIFS(d_Date,"&gt;="&amp;$C104,d_Date,"&lt;"&amp;EDATE($C104,1),d_Status,"Delivered",d_Year,$P$4,d_City,$Q$4,d_Cuisine,$R$4,d_Pay,$S$4,d_Type,$T$4)</f>
        <v>58</v>
      </c>
      <c r="E104" s="61" t="n">
        <f aca="false">IFERROR(AVERAGEIFS(d_Time,d_Date,"&gt;="&amp;$C104,d_Date,"&lt;"&amp;EDATE($C104,1),d_Status,"Delivered",d_Year,$P$4,d_City,$Q$4,d_Cuisine,$R$4,d_Pay,$S$4,d_Type,$T$4),0)</f>
        <v>39.1724137931034</v>
      </c>
      <c r="F104" s="52" t="n">
        <f aca="false">IFERROR(COUNTIFS(d_Date,"&gt;="&amp;$C104,d_Date,"&lt;"&amp;EDATE($C104,1),d_Status,"Delivered",d_Time,"&lt;="&amp;$M$4,d_Year,$P$4,d_City,$Q$4,d_Cuisine,$R$4,d_Pay,$S$4,d_Type,$T$4)/D104,0)</f>
        <v>0.689655172413793</v>
      </c>
    </row>
    <row r="105" customFormat="false" ht="15" hidden="false" customHeight="false" outlineLevel="0" collapsed="false">
      <c r="B105" s="38" t="str">
        <f aca="false">TEXT(C105,"mmm-yy")</f>
        <v>Jul-25</v>
      </c>
      <c r="C105" s="39" t="n">
        <v>45839</v>
      </c>
      <c r="D105" s="40" t="n">
        <f aca="false">COUNTIFS(d_Date,"&gt;="&amp;$C105,d_Date,"&lt;"&amp;EDATE($C105,1),d_Status,"Delivered",d_Year,$P$4,d_City,$Q$4,d_Cuisine,$R$4,d_Pay,$S$4,d_Type,$T$4)</f>
        <v>59</v>
      </c>
      <c r="E105" s="58" t="n">
        <f aca="false">IFERROR(AVERAGEIFS(d_Time,d_Date,"&gt;="&amp;$C105,d_Date,"&lt;"&amp;EDATE($C105,1),d_Status,"Delivered",d_Year,$P$4,d_City,$Q$4,d_Cuisine,$R$4,d_Pay,$S$4,d_Type,$T$4),0)</f>
        <v>42.3389830508475</v>
      </c>
      <c r="F105" s="51" t="n">
        <f aca="false">IFERROR(COUNTIFS(d_Date,"&gt;="&amp;$C105,d_Date,"&lt;"&amp;EDATE($C105,1),d_Status,"Delivered",d_Time,"&lt;="&amp;$M$4,d_Year,$P$4,d_City,$Q$4,d_Cuisine,$R$4,d_Pay,$S$4,d_Type,$T$4)/D105,0)</f>
        <v>0.491525423728814</v>
      </c>
    </row>
    <row r="106" customFormat="false" ht="15" hidden="false" customHeight="false" outlineLevel="0" collapsed="false">
      <c r="B106" s="42" t="str">
        <f aca="false">TEXT(C106,"mmm-yy")</f>
        <v>Aug-25</v>
      </c>
      <c r="C106" s="43" t="n">
        <v>45870</v>
      </c>
      <c r="D106" s="44" t="n">
        <f aca="false">COUNTIFS(d_Date,"&gt;="&amp;$C106,d_Date,"&lt;"&amp;EDATE($C106,1),d_Status,"Delivered",d_Year,$P$4,d_City,$Q$4,d_Cuisine,$R$4,d_Pay,$S$4,d_Type,$T$4)</f>
        <v>70</v>
      </c>
      <c r="E106" s="61" t="n">
        <f aca="false">IFERROR(AVERAGEIFS(d_Time,d_Date,"&gt;="&amp;$C106,d_Date,"&lt;"&amp;EDATE($C106,1),d_Status,"Delivered",d_Year,$P$4,d_City,$Q$4,d_Cuisine,$R$4,d_Pay,$S$4,d_Type,$T$4),0)</f>
        <v>38.9142857142857</v>
      </c>
      <c r="F106" s="52" t="n">
        <f aca="false">IFERROR(COUNTIFS(d_Date,"&gt;="&amp;$C106,d_Date,"&lt;"&amp;EDATE($C106,1),d_Status,"Delivered",d_Time,"&lt;="&amp;$M$4,d_Year,$P$4,d_City,$Q$4,d_Cuisine,$R$4,d_Pay,$S$4,d_Type,$T$4)/D106,0)</f>
        <v>0.628571428571429</v>
      </c>
    </row>
    <row r="107" customFormat="false" ht="15" hidden="false" customHeight="false" outlineLevel="0" collapsed="false">
      <c r="B107" s="38" t="str">
        <f aca="false">TEXT(C107,"mmm-yy")</f>
        <v>Sep-25</v>
      </c>
      <c r="C107" s="39" t="n">
        <v>45901</v>
      </c>
      <c r="D107" s="40" t="n">
        <f aca="false">COUNTIFS(d_Date,"&gt;="&amp;$C107,d_Date,"&lt;"&amp;EDATE($C107,1),d_Status,"Delivered",d_Year,$P$4,d_City,$Q$4,d_Cuisine,$R$4,d_Pay,$S$4,d_Type,$T$4)</f>
        <v>60</v>
      </c>
      <c r="E107" s="58" t="n">
        <f aca="false">IFERROR(AVERAGEIFS(d_Time,d_Date,"&gt;="&amp;$C107,d_Date,"&lt;"&amp;EDATE($C107,1),d_Status,"Delivered",d_Year,$P$4,d_City,$Q$4,d_Cuisine,$R$4,d_Pay,$S$4,d_Type,$T$4),0)</f>
        <v>40.85</v>
      </c>
      <c r="F107" s="51" t="n">
        <f aca="false">IFERROR(COUNTIFS(d_Date,"&gt;="&amp;$C107,d_Date,"&lt;"&amp;EDATE($C107,1),d_Status,"Delivered",d_Time,"&lt;="&amp;$M$4,d_Year,$P$4,d_City,$Q$4,d_Cuisine,$R$4,d_Pay,$S$4,d_Type,$T$4)/D107,0)</f>
        <v>0.583333333333333</v>
      </c>
    </row>
    <row r="108" customFormat="false" ht="15" hidden="false" customHeight="false" outlineLevel="0" collapsed="false">
      <c r="B108" s="42" t="str">
        <f aca="false">TEXT(C108,"mmm-yy")</f>
        <v>Oct-25</v>
      </c>
      <c r="C108" s="43" t="n">
        <v>45931</v>
      </c>
      <c r="D108" s="44" t="n">
        <f aca="false">COUNTIFS(d_Date,"&gt;="&amp;$C108,d_Date,"&lt;"&amp;EDATE($C108,1),d_Status,"Delivered",d_Year,$P$4,d_City,$Q$4,d_Cuisine,$R$4,d_Pay,$S$4,d_Type,$T$4)</f>
        <v>63</v>
      </c>
      <c r="E108" s="61" t="n">
        <f aca="false">IFERROR(AVERAGEIFS(d_Time,d_Date,"&gt;="&amp;$C108,d_Date,"&lt;"&amp;EDATE($C108,1),d_Status,"Delivered",d_Year,$P$4,d_City,$Q$4,d_Cuisine,$R$4,d_Pay,$S$4,d_Type,$T$4),0)</f>
        <v>41.3492063492064</v>
      </c>
      <c r="F108" s="52" t="n">
        <f aca="false">IFERROR(COUNTIFS(d_Date,"&gt;="&amp;$C108,d_Date,"&lt;"&amp;EDATE($C108,1),d_Status,"Delivered",d_Time,"&lt;="&amp;$M$4,d_Year,$P$4,d_City,$Q$4,d_Cuisine,$R$4,d_Pay,$S$4,d_Type,$T$4)/D108,0)</f>
        <v>0.634920634920635</v>
      </c>
    </row>
    <row r="109" customFormat="false" ht="15" hidden="false" customHeight="false" outlineLevel="0" collapsed="false">
      <c r="B109" s="38" t="str">
        <f aca="false">TEXT(C109,"mmm-yy")</f>
        <v>Nov-25</v>
      </c>
      <c r="C109" s="39" t="n">
        <v>45962</v>
      </c>
      <c r="D109" s="40" t="n">
        <f aca="false">COUNTIFS(d_Date,"&gt;="&amp;$C109,d_Date,"&lt;"&amp;EDATE($C109,1),d_Status,"Delivered",d_Year,$P$4,d_City,$Q$4,d_Cuisine,$R$4,d_Pay,$S$4,d_Type,$T$4)</f>
        <v>61</v>
      </c>
      <c r="E109" s="58" t="n">
        <f aca="false">IFERROR(AVERAGEIFS(d_Time,d_Date,"&gt;="&amp;$C109,d_Date,"&lt;"&amp;EDATE($C109,1),d_Status,"Delivered",d_Year,$P$4,d_City,$Q$4,d_Cuisine,$R$4,d_Pay,$S$4,d_Type,$T$4),0)</f>
        <v>45.7704918032787</v>
      </c>
      <c r="F109" s="51" t="n">
        <f aca="false">IFERROR(COUNTIFS(d_Date,"&gt;="&amp;$C109,d_Date,"&lt;"&amp;EDATE($C109,1),d_Status,"Delivered",d_Time,"&lt;="&amp;$M$4,d_Year,$P$4,d_City,$Q$4,d_Cuisine,$R$4,d_Pay,$S$4,d_Type,$T$4)/D109,0)</f>
        <v>0.475409836065574</v>
      </c>
    </row>
    <row r="110" customFormat="false" ht="15" hidden="false" customHeight="false" outlineLevel="0" collapsed="false">
      <c r="B110" s="42" t="str">
        <f aca="false">TEXT(C110,"mmm-yy")</f>
        <v>Dec-25</v>
      </c>
      <c r="C110" s="43" t="n">
        <v>45992</v>
      </c>
      <c r="D110" s="44" t="n">
        <f aca="false">COUNTIFS(d_Date,"&gt;="&amp;$C110,d_Date,"&lt;"&amp;EDATE($C110,1),d_Status,"Delivered",d_Year,$P$4,d_City,$Q$4,d_Cuisine,$R$4,d_Pay,$S$4,d_Type,$T$4)</f>
        <v>61</v>
      </c>
      <c r="E110" s="61" t="n">
        <f aca="false">IFERROR(AVERAGEIFS(d_Time,d_Date,"&gt;="&amp;$C110,d_Date,"&lt;"&amp;EDATE($C110,1),d_Status,"Delivered",d_Year,$P$4,d_City,$Q$4,d_Cuisine,$R$4,d_Pay,$S$4,d_Type,$T$4),0)</f>
        <v>42.7377049180328</v>
      </c>
      <c r="F110" s="52" t="n">
        <f aca="false">IFERROR(COUNTIFS(d_Date,"&gt;="&amp;$C110,d_Date,"&lt;"&amp;EDATE($C110,1),d_Status,"Delivered",d_Time,"&lt;="&amp;$M$4,d_Year,$P$4,d_City,$Q$4,d_Cuisine,$R$4,d_Pay,$S$4,d_Type,$T$4)/D110,0)</f>
        <v>0.524590163934426</v>
      </c>
    </row>
    <row r="111" customFormat="false" ht="15" hidden="false" customHeight="false" outlineLevel="0" collapsed="false">
      <c r="B111" s="38" t="str">
        <f aca="false">TEXT(C111,"mmm-yy")</f>
        <v>Jan-26</v>
      </c>
      <c r="C111" s="39" t="n">
        <v>46023</v>
      </c>
      <c r="D111" s="40" t="n">
        <f aca="false">COUNTIFS(d_Date,"&gt;="&amp;$C111,d_Date,"&lt;"&amp;EDATE($C111,1),d_Status,"Delivered",d_Year,$P$4,d_City,$Q$4,d_Cuisine,$R$4,d_Pay,$S$4,d_Type,$T$4)</f>
        <v>63</v>
      </c>
      <c r="E111" s="58" t="n">
        <f aca="false">IFERROR(AVERAGEIFS(d_Time,d_Date,"&gt;="&amp;$C111,d_Date,"&lt;"&amp;EDATE($C111,1),d_Status,"Delivered",d_Year,$P$4,d_City,$Q$4,d_Cuisine,$R$4,d_Pay,$S$4,d_Type,$T$4),0)</f>
        <v>40.2063492063492</v>
      </c>
      <c r="F111" s="51" t="n">
        <f aca="false">IFERROR(COUNTIFS(d_Date,"&gt;="&amp;$C111,d_Date,"&lt;"&amp;EDATE($C111,1),d_Status,"Delivered",d_Time,"&lt;="&amp;$M$4,d_Year,$P$4,d_City,$Q$4,d_Cuisine,$R$4,d_Pay,$S$4,d_Type,$T$4)/D111,0)</f>
        <v>0.634920634920635</v>
      </c>
    </row>
    <row r="112" customFormat="false" ht="15" hidden="false" customHeight="false" outlineLevel="0" collapsed="false">
      <c r="B112" s="42" t="str">
        <f aca="false">TEXT(C112,"mmm-yy")</f>
        <v>Feb-26</v>
      </c>
      <c r="C112" s="43" t="n">
        <v>46054</v>
      </c>
      <c r="D112" s="44" t="n">
        <f aca="false">COUNTIFS(d_Date,"&gt;="&amp;$C112,d_Date,"&lt;"&amp;EDATE($C112,1),d_Status,"Delivered",d_Year,$P$4,d_City,$Q$4,d_Cuisine,$R$4,d_Pay,$S$4,d_Type,$T$4)</f>
        <v>7</v>
      </c>
      <c r="E112" s="61" t="n">
        <f aca="false">IFERROR(AVERAGEIFS(d_Time,d_Date,"&gt;="&amp;$C112,d_Date,"&lt;"&amp;EDATE($C112,1),d_Status,"Delivered",d_Year,$P$4,d_City,$Q$4,d_Cuisine,$R$4,d_Pay,$S$4,d_Type,$T$4),0)</f>
        <v>35</v>
      </c>
      <c r="F112" s="52" t="n">
        <f aca="false">IFERROR(COUNTIFS(d_Date,"&gt;="&amp;$C112,d_Date,"&lt;"&amp;EDATE($C112,1),d_Status,"Delivered",d_Time,"&lt;="&amp;$M$4,d_Year,$P$4,d_City,$Q$4,d_Cuisine,$R$4,d_Pay,$S$4,d_Type,$T$4)/D112,0)</f>
        <v>0.571428571428571</v>
      </c>
    </row>
    <row r="115" customFormat="false" ht="15" hidden="false" customHeight="false" outlineLevel="0" collapsed="false">
      <c r="B115" s="35" t="s">
        <v>250</v>
      </c>
    </row>
    <row r="116" customFormat="false" ht="30" hidden="false" customHeight="true" outlineLevel="0" collapsed="false">
      <c r="B116" s="36" t="s">
        <v>75</v>
      </c>
      <c r="C116" s="37" t="s">
        <v>65</v>
      </c>
      <c r="D116" s="37" t="s">
        <v>243</v>
      </c>
      <c r="E116" s="37" t="s">
        <v>202</v>
      </c>
    </row>
    <row r="117" customFormat="false" ht="15" hidden="false" customHeight="false" outlineLevel="0" collapsed="false">
      <c r="B117" s="38" t="s">
        <v>77</v>
      </c>
      <c r="C117" s="40" t="n">
        <f aca="false">COUNTIFS(d_Type,$B117,d_Status,"Delivered",d_Year,$P$4,d_City,$Q$4,d_Cuisine,$R$4,d_Pay,$S$4,d_Type,$T$4)</f>
        <v>592</v>
      </c>
      <c r="D117" s="58" t="n">
        <f aca="false">IFERROR(AVERAGEIFS(d_Time,d_Type,$B117,d_Status,"Delivered",d_Year,$P$4,d_City,$Q$4,d_Cuisine,$R$4,d_Pay,$S$4,d_Type,$T$4),0)</f>
        <v>41.6942567567568</v>
      </c>
      <c r="E117" s="58" t="n">
        <f aca="false">IFERROR(AVERAGEIFS(d_Dist,d_Type,$B117,d_Status,"Delivered",d_Year,$P$4,d_City,$Q$4,d_Cuisine,$R$4,d_Pay,$S$4,d_Type,$T$4),0)</f>
        <v>7.66959459459459</v>
      </c>
    </row>
    <row r="118" customFormat="false" ht="15" hidden="false" customHeight="false" outlineLevel="0" collapsed="false">
      <c r="B118" s="42" t="s">
        <v>78</v>
      </c>
      <c r="C118" s="44" t="n">
        <f aca="false">COUNTIFS(d_Type,$B118,d_Status,"Delivered",d_Year,$P$4,d_City,$Q$4,d_Cuisine,$R$4,d_Pay,$S$4,d_Type,$T$4)</f>
        <v>199</v>
      </c>
      <c r="D118" s="61" t="n">
        <f aca="false">IFERROR(AVERAGEIFS(d_Time,d_Type,$B118,d_Status,"Delivered",d_Year,$P$4,d_City,$Q$4,d_Cuisine,$R$4,d_Pay,$S$4,d_Type,$T$4),0)</f>
        <v>41.0452261306533</v>
      </c>
      <c r="E118" s="61" t="n">
        <f aca="false">IFERROR(AVERAGEIFS(d_Dist,d_Type,$B118,d_Status,"Delivered",d_Year,$P$4,d_City,$Q$4,d_Cuisine,$R$4,d_Pay,$S$4,d_Type,$T$4),0)</f>
        <v>7.85979899497487</v>
      </c>
    </row>
  </sheetData>
  <mergeCells count="22">
    <mergeCell ref="B2:M2"/>
    <mergeCell ref="B3:K3"/>
    <mergeCell ref="L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45"/>
    <pageSetUpPr fitToPage="false"/>
  </sheetPr>
  <dimension ref="B1:T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251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252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6" t="s">
        <v>253</v>
      </c>
      <c r="C5" s="6"/>
      <c r="D5" s="7" t="s">
        <v>5</v>
      </c>
      <c r="E5" s="7"/>
      <c r="F5" s="8" t="s">
        <v>254</v>
      </c>
      <c r="G5" s="8"/>
      <c r="H5" s="3" t="s">
        <v>255</v>
      </c>
      <c r="I5" s="3"/>
      <c r="J5" s="5" t="s">
        <v>256</v>
      </c>
      <c r="K5" s="5"/>
      <c r="L5" s="4" t="s">
        <v>257</v>
      </c>
      <c r="M5" s="4"/>
    </row>
    <row r="6" customFormat="false" ht="36" hidden="false" customHeight="true" outlineLevel="0" collapsed="false">
      <c r="B6" s="33" t="n">
        <f aca="false">COUNTIFS(d_Status,"Cancelled",d_Year,$P$4,d_City,$Q$4,d_Cuisine,$R$4,d_Pay,$S$4,d_Type,$T$4)</f>
        <v>202</v>
      </c>
      <c r="C6" s="33"/>
      <c r="D6" s="79" t="n">
        <f aca="false">IFERROR(COUNTIFS(d_Status,"Cancelled",d_Year,$P$4,d_City,$Q$4,d_Cuisine,$R$4,d_Pay,$S$4,d_Type,$T$4)/COUNTIFS(d_ID,"&lt;&gt;",d_Year,$P$4,d_City,$Q$4,d_Cuisine,$R$4,d_Pay,$S$4,d_Type,$T$4),0)</f>
        <v>0.168333333333333</v>
      </c>
      <c r="E6" s="79"/>
      <c r="F6" s="34" t="n">
        <f aca="false">SUMIFS(d_Gross,d_Status,"Cancelled",d_Year,$P$4,d_City,$Q$4,d_Cuisine,$R$4,d_Pay,$S$4,d_Type,$T$4)</f>
        <v>192229</v>
      </c>
      <c r="G6" s="34"/>
      <c r="H6" s="80" t="n">
        <f aca="false">IFERROR(AVERAGEIFS(d_Gross,d_Status,"Cancelled",d_Year,$P$4,d_City,$Q$4,d_Cuisine,$R$4,d_Pay,$S$4,d_Type,$T$4),0)</f>
        <v>951.628712871287</v>
      </c>
      <c r="I6" s="80"/>
      <c r="J6" s="54" t="str">
        <f aca="false">INDEX(B80:B91,MATCH(MAX(E80:E91),E80:E91,0))</f>
        <v>Noida</v>
      </c>
      <c r="K6" s="54"/>
      <c r="L6" s="31" t="n">
        <f aca="false">COUNTIFS(d_Status,"Pending",d_Year,$P$4,d_City,$Q$4,d_Cuisine,$R$4,d_Pay,$S$4,d_Type,$T$4)</f>
        <v>207</v>
      </c>
      <c r="M6" s="31"/>
    </row>
    <row r="7" customFormat="false" ht="24" hidden="false" customHeight="true" outlineLevel="0" collapsed="false">
      <c r="B7" s="15" t="s">
        <v>258</v>
      </c>
      <c r="C7" s="15"/>
      <c r="D7" s="15" t="s">
        <v>259</v>
      </c>
      <c r="E7" s="15"/>
      <c r="F7" s="15" t="s">
        <v>260</v>
      </c>
      <c r="G7" s="15"/>
      <c r="H7" s="15" t="s">
        <v>261</v>
      </c>
      <c r="I7" s="15"/>
      <c r="J7" s="15" t="s">
        <v>262</v>
      </c>
      <c r="K7" s="15"/>
      <c r="L7" s="15" t="s">
        <v>263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264</v>
      </c>
    </row>
    <row r="60" customFormat="false" ht="30" hidden="false" customHeight="true" outlineLevel="0" collapsed="false">
      <c r="B60" s="36" t="s">
        <v>62</v>
      </c>
      <c r="C60" s="37" t="s">
        <v>63</v>
      </c>
      <c r="D60" s="37" t="s">
        <v>64</v>
      </c>
      <c r="E60" s="37" t="s">
        <v>67</v>
      </c>
      <c r="F60" s="37" t="s">
        <v>125</v>
      </c>
      <c r="G60" s="37" t="s">
        <v>265</v>
      </c>
    </row>
    <row r="61" customFormat="false" ht="15" hidden="false" customHeight="false" outlineLevel="0" collapsed="false">
      <c r="B61" s="38" t="str">
        <f aca="false">TEXT(C61,"mmm-yy")</f>
        <v>Jan-25</v>
      </c>
      <c r="C61" s="39" t="n">
        <v>45658</v>
      </c>
      <c r="D61" s="40" t="n">
        <f aca="false">COUNTIFS(d_Date,"&gt;="&amp;$C61,d_Date,"&lt;"&amp;EDATE($C61,1),d_Year,$P$4,d_City,$Q$4,d_Cuisine,$R$4,d_Pay,$S$4,d_Type,$T$4)</f>
        <v>93</v>
      </c>
      <c r="E61" s="40" t="n">
        <f aca="false">COUNTIFS(d_Date,"&gt;="&amp;$C61,d_Date,"&lt;"&amp;EDATE($C61,1),d_Status,"Cancelled",d_Year,$P$4,d_City,$Q$4,d_Cuisine,$R$4,d_Pay,$S$4,d_Type,$T$4)</f>
        <v>15</v>
      </c>
      <c r="F61" s="51" t="n">
        <f aca="false">IFERROR(E61/D61,0)</f>
        <v>0.161290322580645</v>
      </c>
      <c r="G61" s="41" t="n">
        <f aca="false">SUMIFS(d_Gross,d_Date,"&gt;="&amp;$C61,d_Date,"&lt;"&amp;EDATE($C61,1),d_Status,"Cancelled",d_Year,$P$4,d_City,$Q$4,d_Cuisine,$R$4,d_Pay,$S$4,d_Type,$T$4)</f>
        <v>12591</v>
      </c>
    </row>
    <row r="62" customFormat="false" ht="15" hidden="false" customHeight="false" outlineLevel="0" collapsed="false">
      <c r="B62" s="42" t="str">
        <f aca="false">TEXT(C62,"mmm-yy")</f>
        <v>Feb-25</v>
      </c>
      <c r="C62" s="43" t="n">
        <v>45689</v>
      </c>
      <c r="D62" s="44" t="n">
        <f aca="false">COUNTIFS(d_Date,"&gt;="&amp;$C62,d_Date,"&lt;"&amp;EDATE($C62,1),d_Year,$P$4,d_City,$Q$4,d_Cuisine,$R$4,d_Pay,$S$4,d_Type,$T$4)</f>
        <v>84</v>
      </c>
      <c r="E62" s="44" t="n">
        <f aca="false">COUNTIFS(d_Date,"&gt;="&amp;$C62,d_Date,"&lt;"&amp;EDATE($C62,1),d_Status,"Cancelled",d_Year,$P$4,d_City,$Q$4,d_Cuisine,$R$4,d_Pay,$S$4,d_Type,$T$4)</f>
        <v>15</v>
      </c>
      <c r="F62" s="52" t="n">
        <f aca="false">IFERROR(E62/D62,0)</f>
        <v>0.178571428571429</v>
      </c>
      <c r="G62" s="45" t="n">
        <f aca="false">SUMIFS(d_Gross,d_Date,"&gt;="&amp;$C62,d_Date,"&lt;"&amp;EDATE($C62,1),d_Status,"Cancelled",d_Year,$P$4,d_City,$Q$4,d_Cuisine,$R$4,d_Pay,$S$4,d_Type,$T$4)</f>
        <v>12544</v>
      </c>
    </row>
    <row r="63" customFormat="false" ht="15" hidden="false" customHeight="false" outlineLevel="0" collapsed="false">
      <c r="B63" s="38" t="str">
        <f aca="false">TEXT(C63,"mmm-yy")</f>
        <v>Mar-25</v>
      </c>
      <c r="C63" s="39" t="n">
        <v>45717</v>
      </c>
      <c r="D63" s="40" t="n">
        <f aca="false">COUNTIFS(d_Date,"&gt;="&amp;$C63,d_Date,"&lt;"&amp;EDATE($C63,1),d_Year,$P$4,d_City,$Q$4,d_Cuisine,$R$4,d_Pay,$S$4,d_Type,$T$4)</f>
        <v>93</v>
      </c>
      <c r="E63" s="40" t="n">
        <f aca="false">COUNTIFS(d_Date,"&gt;="&amp;$C63,d_Date,"&lt;"&amp;EDATE($C63,1),d_Status,"Cancelled",d_Year,$P$4,d_City,$Q$4,d_Cuisine,$R$4,d_Pay,$S$4,d_Type,$T$4)</f>
        <v>19</v>
      </c>
      <c r="F63" s="51" t="n">
        <f aca="false">IFERROR(E63/D63,0)</f>
        <v>0.204301075268817</v>
      </c>
      <c r="G63" s="41" t="n">
        <f aca="false">SUMIFS(d_Gross,d_Date,"&gt;="&amp;$C63,d_Date,"&lt;"&amp;EDATE($C63,1),d_Status,"Cancelled",d_Year,$P$4,d_City,$Q$4,d_Cuisine,$R$4,d_Pay,$S$4,d_Type,$T$4)</f>
        <v>17642</v>
      </c>
    </row>
    <row r="64" customFormat="false" ht="15" hidden="false" customHeight="false" outlineLevel="0" collapsed="false">
      <c r="B64" s="42" t="str">
        <f aca="false">TEXT(C64,"mmm-yy")</f>
        <v>Apr-25</v>
      </c>
      <c r="C64" s="43" t="n">
        <v>45748</v>
      </c>
      <c r="D64" s="44" t="n">
        <f aca="false">COUNTIFS(d_Date,"&gt;="&amp;$C64,d_Date,"&lt;"&amp;EDATE($C64,1),d_Year,$P$4,d_City,$Q$4,d_Cuisine,$R$4,d_Pay,$S$4,d_Type,$T$4)</f>
        <v>90</v>
      </c>
      <c r="E64" s="44" t="n">
        <f aca="false">COUNTIFS(d_Date,"&gt;="&amp;$C64,d_Date,"&lt;"&amp;EDATE($C64,1),d_Status,"Cancelled",d_Year,$P$4,d_City,$Q$4,d_Cuisine,$R$4,d_Pay,$S$4,d_Type,$T$4)</f>
        <v>17</v>
      </c>
      <c r="F64" s="52" t="n">
        <f aca="false">IFERROR(E64/D64,0)</f>
        <v>0.188888888888889</v>
      </c>
      <c r="G64" s="45" t="n">
        <f aca="false">SUMIFS(d_Gross,d_Date,"&gt;="&amp;$C64,d_Date,"&lt;"&amp;EDATE($C64,1),d_Status,"Cancelled",d_Year,$P$4,d_City,$Q$4,d_Cuisine,$R$4,d_Pay,$S$4,d_Type,$T$4)</f>
        <v>16746</v>
      </c>
    </row>
    <row r="65" customFormat="false" ht="15" hidden="false" customHeight="false" outlineLevel="0" collapsed="false">
      <c r="B65" s="38" t="str">
        <f aca="false">TEXT(C65,"mmm-yy")</f>
        <v>May-25</v>
      </c>
      <c r="C65" s="39" t="n">
        <v>45778</v>
      </c>
      <c r="D65" s="40" t="n">
        <f aca="false">COUNTIFS(d_Date,"&gt;="&amp;$C65,d_Date,"&lt;"&amp;EDATE($C65,1),d_Year,$P$4,d_City,$Q$4,d_Cuisine,$R$4,d_Pay,$S$4,d_Type,$T$4)</f>
        <v>93</v>
      </c>
      <c r="E65" s="40" t="n">
        <f aca="false">COUNTIFS(d_Date,"&gt;="&amp;$C65,d_Date,"&lt;"&amp;EDATE($C65,1),d_Status,"Cancelled",d_Year,$P$4,d_City,$Q$4,d_Cuisine,$R$4,d_Pay,$S$4,d_Type,$T$4)</f>
        <v>16</v>
      </c>
      <c r="F65" s="51" t="n">
        <f aca="false">IFERROR(E65/D65,0)</f>
        <v>0.172043010752688</v>
      </c>
      <c r="G65" s="41" t="n">
        <f aca="false">SUMIFS(d_Gross,d_Date,"&gt;="&amp;$C65,d_Date,"&lt;"&amp;EDATE($C65,1),d_Status,"Cancelled",d_Year,$P$4,d_City,$Q$4,d_Cuisine,$R$4,d_Pay,$S$4,d_Type,$T$4)</f>
        <v>12109</v>
      </c>
    </row>
    <row r="66" customFormat="false" ht="15" hidden="false" customHeight="false" outlineLevel="0" collapsed="false">
      <c r="B66" s="42" t="str">
        <f aca="false">TEXT(C66,"mmm-yy")</f>
        <v>Jun-25</v>
      </c>
      <c r="C66" s="43" t="n">
        <v>45809</v>
      </c>
      <c r="D66" s="44" t="n">
        <f aca="false">COUNTIFS(d_Date,"&gt;="&amp;$C66,d_Date,"&lt;"&amp;EDATE($C66,1),d_Year,$P$4,d_City,$Q$4,d_Cuisine,$R$4,d_Pay,$S$4,d_Type,$T$4)</f>
        <v>90</v>
      </c>
      <c r="E66" s="44" t="n">
        <f aca="false">COUNTIFS(d_Date,"&gt;="&amp;$C66,d_Date,"&lt;"&amp;EDATE($C66,1),d_Status,"Cancelled",d_Year,$P$4,d_City,$Q$4,d_Cuisine,$R$4,d_Pay,$S$4,d_Type,$T$4)</f>
        <v>19</v>
      </c>
      <c r="F66" s="52" t="n">
        <f aca="false">IFERROR(E66/D66,0)</f>
        <v>0.211111111111111</v>
      </c>
      <c r="G66" s="45" t="n">
        <f aca="false">SUMIFS(d_Gross,d_Date,"&gt;="&amp;$C66,d_Date,"&lt;"&amp;EDATE($C66,1),d_Status,"Cancelled",d_Year,$P$4,d_City,$Q$4,d_Cuisine,$R$4,d_Pay,$S$4,d_Type,$T$4)</f>
        <v>21943</v>
      </c>
    </row>
    <row r="67" customFormat="false" ht="15" hidden="false" customHeight="false" outlineLevel="0" collapsed="false">
      <c r="B67" s="38" t="str">
        <f aca="false">TEXT(C67,"mmm-yy")</f>
        <v>Jul-25</v>
      </c>
      <c r="C67" s="39" t="n">
        <v>45839</v>
      </c>
      <c r="D67" s="40" t="n">
        <f aca="false">COUNTIFS(d_Date,"&gt;="&amp;$C67,d_Date,"&lt;"&amp;EDATE($C67,1),d_Year,$P$4,d_City,$Q$4,d_Cuisine,$R$4,d_Pay,$S$4,d_Type,$T$4)</f>
        <v>93</v>
      </c>
      <c r="E67" s="40" t="n">
        <f aca="false">COUNTIFS(d_Date,"&gt;="&amp;$C67,d_Date,"&lt;"&amp;EDATE($C67,1),d_Status,"Cancelled",d_Year,$P$4,d_City,$Q$4,d_Cuisine,$R$4,d_Pay,$S$4,d_Type,$T$4)</f>
        <v>16</v>
      </c>
      <c r="F67" s="51" t="n">
        <f aca="false">IFERROR(E67/D67,0)</f>
        <v>0.172043010752688</v>
      </c>
      <c r="G67" s="41" t="n">
        <f aca="false">SUMIFS(d_Gross,d_Date,"&gt;="&amp;$C67,d_Date,"&lt;"&amp;EDATE($C67,1),d_Status,"Cancelled",d_Year,$P$4,d_City,$Q$4,d_Cuisine,$R$4,d_Pay,$S$4,d_Type,$T$4)</f>
        <v>13821</v>
      </c>
    </row>
    <row r="68" customFormat="false" ht="15" hidden="false" customHeight="false" outlineLevel="0" collapsed="false">
      <c r="B68" s="42" t="str">
        <f aca="false">TEXT(C68,"mmm-yy")</f>
        <v>Aug-25</v>
      </c>
      <c r="C68" s="43" t="n">
        <v>45870</v>
      </c>
      <c r="D68" s="44" t="n">
        <f aca="false">COUNTIFS(d_Date,"&gt;="&amp;$C68,d_Date,"&lt;"&amp;EDATE($C68,1),d_Year,$P$4,d_City,$Q$4,d_Cuisine,$R$4,d_Pay,$S$4,d_Type,$T$4)</f>
        <v>93</v>
      </c>
      <c r="E68" s="44" t="n">
        <f aca="false">COUNTIFS(d_Date,"&gt;="&amp;$C68,d_Date,"&lt;"&amp;EDATE($C68,1),d_Status,"Cancelled",d_Year,$P$4,d_City,$Q$4,d_Cuisine,$R$4,d_Pay,$S$4,d_Type,$T$4)</f>
        <v>12</v>
      </c>
      <c r="F68" s="52" t="n">
        <f aca="false">IFERROR(E68/D68,0)</f>
        <v>0.129032258064516</v>
      </c>
      <c r="G68" s="45" t="n">
        <f aca="false">SUMIFS(d_Gross,d_Date,"&gt;="&amp;$C68,d_Date,"&lt;"&amp;EDATE($C68,1),d_Status,"Cancelled",d_Year,$P$4,d_City,$Q$4,d_Cuisine,$R$4,d_Pay,$S$4,d_Type,$T$4)</f>
        <v>12289</v>
      </c>
    </row>
    <row r="69" customFormat="false" ht="15" hidden="false" customHeight="false" outlineLevel="0" collapsed="false">
      <c r="B69" s="38" t="str">
        <f aca="false">TEXT(C69,"mmm-yy")</f>
        <v>Sep-25</v>
      </c>
      <c r="C69" s="39" t="n">
        <v>45901</v>
      </c>
      <c r="D69" s="40" t="n">
        <f aca="false">COUNTIFS(d_Date,"&gt;="&amp;$C69,d_Date,"&lt;"&amp;EDATE($C69,1),d_Year,$P$4,d_City,$Q$4,d_Cuisine,$R$4,d_Pay,$S$4,d_Type,$T$4)</f>
        <v>90</v>
      </c>
      <c r="E69" s="40" t="n">
        <f aca="false">COUNTIFS(d_Date,"&gt;="&amp;$C69,d_Date,"&lt;"&amp;EDATE($C69,1),d_Status,"Cancelled",d_Year,$P$4,d_City,$Q$4,d_Cuisine,$R$4,d_Pay,$S$4,d_Type,$T$4)</f>
        <v>16</v>
      </c>
      <c r="F69" s="51" t="n">
        <f aca="false">IFERROR(E69/D69,0)</f>
        <v>0.177777777777778</v>
      </c>
      <c r="G69" s="41" t="n">
        <f aca="false">SUMIFS(d_Gross,d_Date,"&gt;="&amp;$C69,d_Date,"&lt;"&amp;EDATE($C69,1),d_Status,"Cancelled",d_Year,$P$4,d_City,$Q$4,d_Cuisine,$R$4,d_Pay,$S$4,d_Type,$T$4)</f>
        <v>14909</v>
      </c>
    </row>
    <row r="70" customFormat="false" ht="15" hidden="false" customHeight="false" outlineLevel="0" collapsed="false">
      <c r="B70" s="42" t="str">
        <f aca="false">TEXT(C70,"mmm-yy")</f>
        <v>Oct-25</v>
      </c>
      <c r="C70" s="43" t="n">
        <v>45931</v>
      </c>
      <c r="D70" s="44" t="n">
        <f aca="false">COUNTIFS(d_Date,"&gt;="&amp;$C70,d_Date,"&lt;"&amp;EDATE($C70,1),d_Year,$P$4,d_City,$Q$4,d_Cuisine,$R$4,d_Pay,$S$4,d_Type,$T$4)</f>
        <v>93</v>
      </c>
      <c r="E70" s="44" t="n">
        <f aca="false">COUNTIFS(d_Date,"&gt;="&amp;$C70,d_Date,"&lt;"&amp;EDATE($C70,1),d_Status,"Cancelled",d_Year,$P$4,d_City,$Q$4,d_Cuisine,$R$4,d_Pay,$S$4,d_Type,$T$4)</f>
        <v>15</v>
      </c>
      <c r="F70" s="52" t="n">
        <f aca="false">IFERROR(E70/D70,0)</f>
        <v>0.161290322580645</v>
      </c>
      <c r="G70" s="45" t="n">
        <f aca="false">SUMIFS(d_Gross,d_Date,"&gt;="&amp;$C70,d_Date,"&lt;"&amp;EDATE($C70,1),d_Status,"Cancelled",d_Year,$P$4,d_City,$Q$4,d_Cuisine,$R$4,d_Pay,$S$4,d_Type,$T$4)</f>
        <v>13840</v>
      </c>
    </row>
    <row r="71" customFormat="false" ht="15" hidden="false" customHeight="false" outlineLevel="0" collapsed="false">
      <c r="B71" s="38" t="str">
        <f aca="false">TEXT(C71,"mmm-yy")</f>
        <v>Nov-25</v>
      </c>
      <c r="C71" s="39" t="n">
        <v>45962</v>
      </c>
      <c r="D71" s="40" t="n">
        <f aca="false">COUNTIFS(d_Date,"&gt;="&amp;$C71,d_Date,"&lt;"&amp;EDATE($C71,1),d_Year,$P$4,d_City,$Q$4,d_Cuisine,$R$4,d_Pay,$S$4,d_Type,$T$4)</f>
        <v>90</v>
      </c>
      <c r="E71" s="40" t="n">
        <f aca="false">COUNTIFS(d_Date,"&gt;="&amp;$C71,d_Date,"&lt;"&amp;EDATE($C71,1),d_Status,"Cancelled",d_Year,$P$4,d_City,$Q$4,d_Cuisine,$R$4,d_Pay,$S$4,d_Type,$T$4)</f>
        <v>15</v>
      </c>
      <c r="F71" s="51" t="n">
        <f aca="false">IFERROR(E71/D71,0)</f>
        <v>0.166666666666667</v>
      </c>
      <c r="G71" s="41" t="n">
        <f aca="false">SUMIFS(d_Gross,d_Date,"&gt;="&amp;$C71,d_Date,"&lt;"&amp;EDATE($C71,1),d_Status,"Cancelled",d_Year,$P$4,d_City,$Q$4,d_Cuisine,$R$4,d_Pay,$S$4,d_Type,$T$4)</f>
        <v>13546</v>
      </c>
    </row>
    <row r="72" customFormat="false" ht="15" hidden="false" customHeight="false" outlineLevel="0" collapsed="false">
      <c r="B72" s="42" t="str">
        <f aca="false">TEXT(C72,"mmm-yy")</f>
        <v>Dec-25</v>
      </c>
      <c r="C72" s="43" t="n">
        <v>45992</v>
      </c>
      <c r="D72" s="44" t="n">
        <f aca="false">COUNTIFS(d_Date,"&gt;="&amp;$C72,d_Date,"&lt;"&amp;EDATE($C72,1),d_Year,$P$4,d_City,$Q$4,d_Cuisine,$R$4,d_Pay,$S$4,d_Type,$T$4)</f>
        <v>93</v>
      </c>
      <c r="E72" s="44" t="n">
        <f aca="false">COUNTIFS(d_Date,"&gt;="&amp;$C72,d_Date,"&lt;"&amp;EDATE($C72,1),d_Status,"Cancelled",d_Year,$P$4,d_City,$Q$4,d_Cuisine,$R$4,d_Pay,$S$4,d_Type,$T$4)</f>
        <v>16</v>
      </c>
      <c r="F72" s="52" t="n">
        <f aca="false">IFERROR(E72/D72,0)</f>
        <v>0.172043010752688</v>
      </c>
      <c r="G72" s="45" t="n">
        <f aca="false">SUMIFS(d_Gross,d_Date,"&gt;="&amp;$C72,d_Date,"&lt;"&amp;EDATE($C72,1),d_Status,"Cancelled",d_Year,$P$4,d_City,$Q$4,d_Cuisine,$R$4,d_Pay,$S$4,d_Type,$T$4)</f>
        <v>19121</v>
      </c>
    </row>
    <row r="73" customFormat="false" ht="15" hidden="false" customHeight="false" outlineLevel="0" collapsed="false">
      <c r="B73" s="38" t="str">
        <f aca="false">TEXT(C73,"mmm-yy")</f>
        <v>Jan-26</v>
      </c>
      <c r="C73" s="39" t="n">
        <v>46023</v>
      </c>
      <c r="D73" s="40" t="n">
        <f aca="false">COUNTIFS(d_Date,"&gt;="&amp;$C73,d_Date,"&lt;"&amp;EDATE($C73,1),d_Year,$P$4,d_City,$Q$4,d_Cuisine,$R$4,d_Pay,$S$4,d_Type,$T$4)</f>
        <v>93</v>
      </c>
      <c r="E73" s="40" t="n">
        <f aca="false">COUNTIFS(d_Date,"&gt;="&amp;$C73,d_Date,"&lt;"&amp;EDATE($C73,1),d_Status,"Cancelled",d_Year,$P$4,d_City,$Q$4,d_Cuisine,$R$4,d_Pay,$S$4,d_Type,$T$4)</f>
        <v>10</v>
      </c>
      <c r="F73" s="51" t="n">
        <f aca="false">IFERROR(E73/D73,0)</f>
        <v>0.10752688172043</v>
      </c>
      <c r="G73" s="41" t="n">
        <f aca="false">SUMIFS(d_Gross,d_Date,"&gt;="&amp;$C73,d_Date,"&lt;"&amp;EDATE($C73,1),d_Status,"Cancelled",d_Year,$P$4,d_City,$Q$4,d_Cuisine,$R$4,d_Pay,$S$4,d_Type,$T$4)</f>
        <v>9470</v>
      </c>
    </row>
    <row r="74" customFormat="false" ht="15" hidden="false" customHeight="false" outlineLevel="0" collapsed="false">
      <c r="B74" s="42" t="str">
        <f aca="false">TEXT(C74,"mmm-yy")</f>
        <v>Feb-26</v>
      </c>
      <c r="C74" s="43" t="n">
        <v>46054</v>
      </c>
      <c r="D74" s="44" t="n">
        <f aca="false">COUNTIFS(d_Date,"&gt;="&amp;$C74,d_Date,"&lt;"&amp;EDATE($C74,1),d_Year,$P$4,d_City,$Q$4,d_Cuisine,$R$4,d_Pay,$S$4,d_Type,$T$4)</f>
        <v>12</v>
      </c>
      <c r="E74" s="44" t="n">
        <f aca="false">COUNTIFS(d_Date,"&gt;="&amp;$C74,d_Date,"&lt;"&amp;EDATE($C74,1),d_Status,"Cancelled",d_Year,$P$4,d_City,$Q$4,d_Cuisine,$R$4,d_Pay,$S$4,d_Type,$T$4)</f>
        <v>1</v>
      </c>
      <c r="F74" s="52" t="n">
        <f aca="false">IFERROR(E74/D74,0)</f>
        <v>0.0833333333333333</v>
      </c>
      <c r="G74" s="45" t="n">
        <f aca="false">SUMIFS(d_Gross,d_Date,"&gt;="&amp;$C74,d_Date,"&lt;"&amp;EDATE($C74,1),d_Status,"Cancelled",d_Year,$P$4,d_City,$Q$4,d_Cuisine,$R$4,d_Pay,$S$4,d_Type,$T$4)</f>
        <v>1658</v>
      </c>
    </row>
    <row r="75" customFormat="false" ht="15" hidden="false" customHeight="false" outlineLevel="0" collapsed="false">
      <c r="B75" s="46" t="s">
        <v>69</v>
      </c>
      <c r="C75" s="47"/>
      <c r="D75" s="48" t="n">
        <f aca="false">SUM(D61:D74)</f>
        <v>1200</v>
      </c>
      <c r="E75" s="48" t="n">
        <f aca="false">SUM(E61:E74)</f>
        <v>202</v>
      </c>
      <c r="F75" s="53" t="n">
        <f aca="false">IFERROR(E75/D75,0)</f>
        <v>0.168333333333333</v>
      </c>
      <c r="G75" s="49" t="n">
        <f aca="false">SUM(G61:G74)</f>
        <v>192229</v>
      </c>
    </row>
    <row r="78" customFormat="false" ht="15" hidden="false" customHeight="false" outlineLevel="0" collapsed="false">
      <c r="B78" s="35" t="s">
        <v>266</v>
      </c>
    </row>
    <row r="79" customFormat="false" ht="30" hidden="false" customHeight="true" outlineLevel="0" collapsed="false">
      <c r="B79" s="36" t="s">
        <v>99</v>
      </c>
      <c r="C79" s="37" t="s">
        <v>64</v>
      </c>
      <c r="D79" s="37" t="s">
        <v>67</v>
      </c>
      <c r="E79" s="37" t="s">
        <v>125</v>
      </c>
      <c r="F79" s="37" t="s">
        <v>265</v>
      </c>
    </row>
    <row r="80" customFormat="false" ht="15" hidden="false" customHeight="false" outlineLevel="0" collapsed="false">
      <c r="B80" s="38" t="s">
        <v>100</v>
      </c>
      <c r="C80" s="40" t="n">
        <f aca="false">COUNTIFS(d_City,$B80,d_Year,$P$4,d_City,$Q$4,d_Cuisine,$R$4,d_Pay,$S$4,d_Type,$T$4)</f>
        <v>119</v>
      </c>
      <c r="D80" s="40" t="n">
        <f aca="false">COUNTIFS(d_City,$B80,d_Status,"Cancelled",d_Year,$P$4,d_City,$Q$4,d_Cuisine,$R$4,d_Pay,$S$4,d_Type,$T$4)</f>
        <v>12</v>
      </c>
      <c r="E80" s="51" t="n">
        <f aca="false">IFERROR(D80/C80,0)</f>
        <v>0.100840336134454</v>
      </c>
      <c r="F80" s="41" t="n">
        <f aca="false">SUMIFS(d_Gross,d_City,$B80,d_Status,"Cancelled",d_Year,$P$4,d_City,$Q$4,d_Cuisine,$R$4,d_Pay,$S$4,d_Type,$T$4)</f>
        <v>11326</v>
      </c>
    </row>
    <row r="81" customFormat="false" ht="15" hidden="false" customHeight="false" outlineLevel="0" collapsed="false">
      <c r="B81" s="42" t="s">
        <v>101</v>
      </c>
      <c r="C81" s="44" t="n">
        <f aca="false">COUNTIFS(d_City,$B81,d_Year,$P$4,d_City,$Q$4,d_Cuisine,$R$4,d_Pay,$S$4,d_Type,$T$4)</f>
        <v>114</v>
      </c>
      <c r="D81" s="44" t="n">
        <f aca="false">COUNTIFS(d_City,$B81,d_Status,"Cancelled",d_Year,$P$4,d_City,$Q$4,d_Cuisine,$R$4,d_Pay,$S$4,d_Type,$T$4)</f>
        <v>18</v>
      </c>
      <c r="E81" s="52" t="n">
        <f aca="false">IFERROR(D81/C81,0)</f>
        <v>0.157894736842105</v>
      </c>
      <c r="F81" s="45" t="n">
        <f aca="false">SUMIFS(d_Gross,d_City,$B81,d_Status,"Cancelled",d_Year,$P$4,d_City,$Q$4,d_Cuisine,$R$4,d_Pay,$S$4,d_Type,$T$4)</f>
        <v>16057</v>
      </c>
    </row>
    <row r="82" customFormat="false" ht="15" hidden="false" customHeight="false" outlineLevel="0" collapsed="false">
      <c r="B82" s="38" t="s">
        <v>102</v>
      </c>
      <c r="C82" s="40" t="n">
        <f aca="false">COUNTIFS(d_City,$B82,d_Year,$P$4,d_City,$Q$4,d_Cuisine,$R$4,d_Pay,$S$4,d_Type,$T$4)</f>
        <v>110</v>
      </c>
      <c r="D82" s="40" t="n">
        <f aca="false">COUNTIFS(d_City,$B82,d_Status,"Cancelled",d_Year,$P$4,d_City,$Q$4,d_Cuisine,$R$4,d_Pay,$S$4,d_Type,$T$4)</f>
        <v>22</v>
      </c>
      <c r="E82" s="51" t="n">
        <f aca="false">IFERROR(D82/C82,0)</f>
        <v>0.2</v>
      </c>
      <c r="F82" s="41" t="n">
        <f aca="false">SUMIFS(d_Gross,d_City,$B82,d_Status,"Cancelled",d_Year,$P$4,d_City,$Q$4,d_Cuisine,$R$4,d_Pay,$S$4,d_Type,$T$4)</f>
        <v>22012</v>
      </c>
    </row>
    <row r="83" customFormat="false" ht="15" hidden="false" customHeight="false" outlineLevel="0" collapsed="false">
      <c r="B83" s="42" t="s">
        <v>103</v>
      </c>
      <c r="C83" s="44" t="n">
        <f aca="false">COUNTIFS(d_City,$B83,d_Year,$P$4,d_City,$Q$4,d_Cuisine,$R$4,d_Pay,$S$4,d_Type,$T$4)</f>
        <v>108</v>
      </c>
      <c r="D83" s="44" t="n">
        <f aca="false">COUNTIFS(d_City,$B83,d_Status,"Cancelled",d_Year,$P$4,d_City,$Q$4,d_Cuisine,$R$4,d_Pay,$S$4,d_Type,$T$4)</f>
        <v>25</v>
      </c>
      <c r="E83" s="52" t="n">
        <f aca="false">IFERROR(D83/C83,0)</f>
        <v>0.231481481481481</v>
      </c>
      <c r="F83" s="45" t="n">
        <f aca="false">SUMIFS(d_Gross,d_City,$B83,d_Status,"Cancelled",d_Year,$P$4,d_City,$Q$4,d_Cuisine,$R$4,d_Pay,$S$4,d_Type,$T$4)</f>
        <v>27012</v>
      </c>
    </row>
    <row r="84" customFormat="false" ht="15" hidden="false" customHeight="false" outlineLevel="0" collapsed="false">
      <c r="B84" s="38" t="s">
        <v>104</v>
      </c>
      <c r="C84" s="40" t="n">
        <f aca="false">COUNTIFS(d_City,$B84,d_Year,$P$4,d_City,$Q$4,d_Cuisine,$R$4,d_Pay,$S$4,d_Type,$T$4)</f>
        <v>107</v>
      </c>
      <c r="D84" s="40" t="n">
        <f aca="false">COUNTIFS(d_City,$B84,d_Status,"Cancelled",d_Year,$P$4,d_City,$Q$4,d_Cuisine,$R$4,d_Pay,$S$4,d_Type,$T$4)</f>
        <v>25</v>
      </c>
      <c r="E84" s="51" t="n">
        <f aca="false">IFERROR(D84/C84,0)</f>
        <v>0.233644859813084</v>
      </c>
      <c r="F84" s="41" t="n">
        <f aca="false">SUMIFS(d_Gross,d_City,$B84,d_Status,"Cancelled",d_Year,$P$4,d_City,$Q$4,d_Cuisine,$R$4,d_Pay,$S$4,d_Type,$T$4)</f>
        <v>21261</v>
      </c>
    </row>
    <row r="85" customFormat="false" ht="15" hidden="false" customHeight="false" outlineLevel="0" collapsed="false">
      <c r="B85" s="42" t="s">
        <v>105</v>
      </c>
      <c r="C85" s="44" t="n">
        <f aca="false">COUNTIFS(d_City,$B85,d_Year,$P$4,d_City,$Q$4,d_Cuisine,$R$4,d_Pay,$S$4,d_Type,$T$4)</f>
        <v>102</v>
      </c>
      <c r="D85" s="44" t="n">
        <f aca="false">COUNTIFS(d_City,$B85,d_Status,"Cancelled",d_Year,$P$4,d_City,$Q$4,d_Cuisine,$R$4,d_Pay,$S$4,d_Type,$T$4)</f>
        <v>21</v>
      </c>
      <c r="E85" s="52" t="n">
        <f aca="false">IFERROR(D85/C85,0)</f>
        <v>0.205882352941176</v>
      </c>
      <c r="F85" s="45" t="n">
        <f aca="false">SUMIFS(d_Gross,d_City,$B85,d_Status,"Cancelled",d_Year,$P$4,d_City,$Q$4,d_Cuisine,$R$4,d_Pay,$S$4,d_Type,$T$4)</f>
        <v>14057</v>
      </c>
    </row>
    <row r="86" customFormat="false" ht="15" hidden="false" customHeight="false" outlineLevel="0" collapsed="false">
      <c r="B86" s="38" t="s">
        <v>106</v>
      </c>
      <c r="C86" s="40" t="n">
        <f aca="false">COUNTIFS(d_City,$B86,d_Year,$P$4,d_City,$Q$4,d_Cuisine,$R$4,d_Pay,$S$4,d_Type,$T$4)</f>
        <v>96</v>
      </c>
      <c r="D86" s="40" t="n">
        <f aca="false">COUNTIFS(d_City,$B86,d_Status,"Cancelled",d_Year,$P$4,d_City,$Q$4,d_Cuisine,$R$4,d_Pay,$S$4,d_Type,$T$4)</f>
        <v>13</v>
      </c>
      <c r="E86" s="51" t="n">
        <f aca="false">IFERROR(D86/C86,0)</f>
        <v>0.135416666666667</v>
      </c>
      <c r="F86" s="41" t="n">
        <f aca="false">SUMIFS(d_Gross,d_City,$B86,d_Status,"Cancelled",d_Year,$P$4,d_City,$Q$4,d_Cuisine,$R$4,d_Pay,$S$4,d_Type,$T$4)</f>
        <v>15951</v>
      </c>
    </row>
    <row r="87" customFormat="false" ht="15" hidden="false" customHeight="false" outlineLevel="0" collapsed="false">
      <c r="B87" s="42" t="s">
        <v>107</v>
      </c>
      <c r="C87" s="44" t="n">
        <f aca="false">COUNTIFS(d_City,$B87,d_Year,$P$4,d_City,$Q$4,d_Cuisine,$R$4,d_Pay,$S$4,d_Type,$T$4)</f>
        <v>96</v>
      </c>
      <c r="D87" s="44" t="n">
        <f aca="false">COUNTIFS(d_City,$B87,d_Status,"Cancelled",d_Year,$P$4,d_City,$Q$4,d_Cuisine,$R$4,d_Pay,$S$4,d_Type,$T$4)</f>
        <v>17</v>
      </c>
      <c r="E87" s="52" t="n">
        <f aca="false">IFERROR(D87/C87,0)</f>
        <v>0.177083333333333</v>
      </c>
      <c r="F87" s="45" t="n">
        <f aca="false">SUMIFS(d_Gross,d_City,$B87,d_Status,"Cancelled",d_Year,$P$4,d_City,$Q$4,d_Cuisine,$R$4,d_Pay,$S$4,d_Type,$T$4)</f>
        <v>16863</v>
      </c>
    </row>
    <row r="88" customFormat="false" ht="15" hidden="false" customHeight="false" outlineLevel="0" collapsed="false">
      <c r="B88" s="38" t="s">
        <v>108</v>
      </c>
      <c r="C88" s="40" t="n">
        <f aca="false">COUNTIFS(d_City,$B88,d_Year,$P$4,d_City,$Q$4,d_Cuisine,$R$4,d_Pay,$S$4,d_Type,$T$4)</f>
        <v>94</v>
      </c>
      <c r="D88" s="40" t="n">
        <f aca="false">COUNTIFS(d_City,$B88,d_Status,"Cancelled",d_Year,$P$4,d_City,$Q$4,d_Cuisine,$R$4,d_Pay,$S$4,d_Type,$T$4)</f>
        <v>14</v>
      </c>
      <c r="E88" s="51" t="n">
        <f aca="false">IFERROR(D88/C88,0)</f>
        <v>0.148936170212766</v>
      </c>
      <c r="F88" s="41" t="n">
        <f aca="false">SUMIFS(d_Gross,d_City,$B88,d_Status,"Cancelled",d_Year,$P$4,d_City,$Q$4,d_Cuisine,$R$4,d_Pay,$S$4,d_Type,$T$4)</f>
        <v>12823</v>
      </c>
    </row>
    <row r="89" customFormat="false" ht="15" hidden="false" customHeight="false" outlineLevel="0" collapsed="false">
      <c r="B89" s="42" t="s">
        <v>109</v>
      </c>
      <c r="C89" s="44" t="n">
        <f aca="false">COUNTIFS(d_City,$B89,d_Year,$P$4,d_City,$Q$4,d_Cuisine,$R$4,d_Pay,$S$4,d_Type,$T$4)</f>
        <v>91</v>
      </c>
      <c r="D89" s="44" t="n">
        <f aca="false">COUNTIFS(d_City,$B89,d_Status,"Cancelled",d_Year,$P$4,d_City,$Q$4,d_Cuisine,$R$4,d_Pay,$S$4,d_Type,$T$4)</f>
        <v>11</v>
      </c>
      <c r="E89" s="52" t="n">
        <f aca="false">IFERROR(D89/C89,0)</f>
        <v>0.120879120879121</v>
      </c>
      <c r="F89" s="45" t="n">
        <f aca="false">SUMIFS(d_Gross,d_City,$B89,d_Status,"Cancelled",d_Year,$P$4,d_City,$Q$4,d_Cuisine,$R$4,d_Pay,$S$4,d_Type,$T$4)</f>
        <v>10501</v>
      </c>
    </row>
    <row r="90" customFormat="false" ht="15" hidden="false" customHeight="false" outlineLevel="0" collapsed="false">
      <c r="B90" s="38" t="s">
        <v>110</v>
      </c>
      <c r="C90" s="40" t="n">
        <f aca="false">COUNTIFS(d_City,$B90,d_Year,$P$4,d_City,$Q$4,d_Cuisine,$R$4,d_Pay,$S$4,d_Type,$T$4)</f>
        <v>83</v>
      </c>
      <c r="D90" s="40" t="n">
        <f aca="false">COUNTIFS(d_City,$B90,d_Status,"Cancelled",d_Year,$P$4,d_City,$Q$4,d_Cuisine,$R$4,d_Pay,$S$4,d_Type,$T$4)</f>
        <v>15</v>
      </c>
      <c r="E90" s="51" t="n">
        <f aca="false">IFERROR(D90/C90,0)</f>
        <v>0.180722891566265</v>
      </c>
      <c r="F90" s="41" t="n">
        <f aca="false">SUMIFS(d_Gross,d_City,$B90,d_Status,"Cancelled",d_Year,$P$4,d_City,$Q$4,d_Cuisine,$R$4,d_Pay,$S$4,d_Type,$T$4)</f>
        <v>13296</v>
      </c>
    </row>
    <row r="91" customFormat="false" ht="15" hidden="false" customHeight="false" outlineLevel="0" collapsed="false">
      <c r="B91" s="42" t="s">
        <v>111</v>
      </c>
      <c r="C91" s="44" t="n">
        <f aca="false">COUNTIFS(d_City,$B91,d_Year,$P$4,d_City,$Q$4,d_Cuisine,$R$4,d_Pay,$S$4,d_Type,$T$4)</f>
        <v>80</v>
      </c>
      <c r="D91" s="44" t="n">
        <f aca="false">COUNTIFS(d_City,$B91,d_Status,"Cancelled",d_Year,$P$4,d_City,$Q$4,d_Cuisine,$R$4,d_Pay,$S$4,d_Type,$T$4)</f>
        <v>9</v>
      </c>
      <c r="E91" s="52" t="n">
        <f aca="false">IFERROR(D91/C91,0)</f>
        <v>0.1125</v>
      </c>
      <c r="F91" s="45" t="n">
        <f aca="false">SUMIFS(d_Gross,d_City,$B91,d_Status,"Cancelled",d_Year,$P$4,d_City,$Q$4,d_Cuisine,$R$4,d_Pay,$S$4,d_Type,$T$4)</f>
        <v>11070</v>
      </c>
    </row>
    <row r="92" customFormat="false" ht="15" hidden="false" customHeight="false" outlineLevel="0" collapsed="false">
      <c r="B92" s="46" t="s">
        <v>69</v>
      </c>
      <c r="C92" s="48" t="n">
        <f aca="false">SUM(C80:C91)</f>
        <v>1200</v>
      </c>
      <c r="D92" s="48" t="n">
        <f aca="false">SUM(D80:D91)</f>
        <v>202</v>
      </c>
      <c r="E92" s="53" t="n">
        <f aca="false">IFERROR(D92/C92,0)</f>
        <v>0.168333333333333</v>
      </c>
      <c r="F92" s="49" t="n">
        <f aca="false">SUM(F80:F91)</f>
        <v>192229</v>
      </c>
    </row>
    <row r="95" customFormat="false" ht="15" hidden="false" customHeight="false" outlineLevel="0" collapsed="false">
      <c r="B95" s="35" t="s">
        <v>267</v>
      </c>
    </row>
    <row r="96" customFormat="false" ht="30" hidden="false" customHeight="true" outlineLevel="0" collapsed="false">
      <c r="B96" s="36" t="s">
        <v>124</v>
      </c>
      <c r="C96" s="37" t="s">
        <v>64</v>
      </c>
      <c r="D96" s="37" t="s">
        <v>67</v>
      </c>
      <c r="E96" s="37" t="s">
        <v>125</v>
      </c>
      <c r="F96" s="37" t="s">
        <v>265</v>
      </c>
    </row>
    <row r="97" customFormat="false" ht="15" hidden="false" customHeight="false" outlineLevel="0" collapsed="false">
      <c r="B97" s="38" t="s">
        <v>131</v>
      </c>
      <c r="C97" s="40" t="n">
        <f aca="false">COUNTIFS(d_Rest,$B97,d_Year,$P$4,d_City,$Q$4,d_Cuisine,$R$4,d_Pay,$S$4,d_Type,$T$4)</f>
        <v>117</v>
      </c>
      <c r="D97" s="40" t="n">
        <f aca="false">COUNTIFS(d_Rest,$B97,d_Status,"Cancelled",d_Year,$P$4,d_City,$Q$4,d_Cuisine,$R$4,d_Pay,$S$4,d_Type,$T$4)</f>
        <v>16</v>
      </c>
      <c r="E97" s="51" t="n">
        <f aca="false">IFERROR(D97/C97,0)</f>
        <v>0.136752136752137</v>
      </c>
      <c r="F97" s="41" t="n">
        <f aca="false">SUMIFS(d_Gross,d_Rest,$B97,d_Status,"Cancelled",d_Year,$P$4,d_City,$Q$4,d_Cuisine,$R$4,d_Pay,$S$4,d_Type,$T$4)</f>
        <v>16338</v>
      </c>
    </row>
    <row r="98" customFormat="false" ht="15" hidden="false" customHeight="false" outlineLevel="0" collapsed="false">
      <c r="B98" s="42" t="s">
        <v>132</v>
      </c>
      <c r="C98" s="44" t="n">
        <f aca="false">COUNTIFS(d_Rest,$B98,d_Year,$P$4,d_City,$Q$4,d_Cuisine,$R$4,d_Pay,$S$4,d_Type,$T$4)</f>
        <v>107</v>
      </c>
      <c r="D98" s="44" t="n">
        <f aca="false">COUNTIFS(d_Rest,$B98,d_Status,"Cancelled",d_Year,$P$4,d_City,$Q$4,d_Cuisine,$R$4,d_Pay,$S$4,d_Type,$T$4)</f>
        <v>15</v>
      </c>
      <c r="E98" s="52" t="n">
        <f aca="false">IFERROR(D98/C98,0)</f>
        <v>0.14018691588785</v>
      </c>
      <c r="F98" s="45" t="n">
        <f aca="false">SUMIFS(d_Gross,d_Rest,$B98,d_Status,"Cancelled",d_Year,$P$4,d_City,$Q$4,d_Cuisine,$R$4,d_Pay,$S$4,d_Type,$T$4)</f>
        <v>11343</v>
      </c>
    </row>
    <row r="99" customFormat="false" ht="15" hidden="false" customHeight="false" outlineLevel="0" collapsed="false">
      <c r="B99" s="38" t="s">
        <v>133</v>
      </c>
      <c r="C99" s="40" t="n">
        <f aca="false">COUNTIFS(d_Rest,$B99,d_Year,$P$4,d_City,$Q$4,d_Cuisine,$R$4,d_Pay,$S$4,d_Type,$T$4)</f>
        <v>104</v>
      </c>
      <c r="D99" s="40" t="n">
        <f aca="false">COUNTIFS(d_Rest,$B99,d_Status,"Cancelled",d_Year,$P$4,d_City,$Q$4,d_Cuisine,$R$4,d_Pay,$S$4,d_Type,$T$4)</f>
        <v>22</v>
      </c>
      <c r="E99" s="51" t="n">
        <f aca="false">IFERROR(D99/C99,0)</f>
        <v>0.211538461538462</v>
      </c>
      <c r="F99" s="41" t="n">
        <f aca="false">SUMIFS(d_Gross,d_Rest,$B99,d_Status,"Cancelled",d_Year,$P$4,d_City,$Q$4,d_Cuisine,$R$4,d_Pay,$S$4,d_Type,$T$4)</f>
        <v>21725</v>
      </c>
    </row>
    <row r="100" customFormat="false" ht="15" hidden="false" customHeight="false" outlineLevel="0" collapsed="false">
      <c r="B100" s="42" t="s">
        <v>134</v>
      </c>
      <c r="C100" s="44" t="n">
        <f aca="false">COUNTIFS(d_Rest,$B100,d_Year,$P$4,d_City,$Q$4,d_Cuisine,$R$4,d_Pay,$S$4,d_Type,$T$4)</f>
        <v>102</v>
      </c>
      <c r="D100" s="44" t="n">
        <f aca="false">COUNTIFS(d_Rest,$B100,d_Status,"Cancelled",d_Year,$P$4,d_City,$Q$4,d_Cuisine,$R$4,d_Pay,$S$4,d_Type,$T$4)</f>
        <v>17</v>
      </c>
      <c r="E100" s="52" t="n">
        <f aca="false">IFERROR(D100/C100,0)</f>
        <v>0.166666666666667</v>
      </c>
      <c r="F100" s="45" t="n">
        <f aca="false">SUMIFS(d_Gross,d_Rest,$B100,d_Status,"Cancelled",d_Year,$P$4,d_City,$Q$4,d_Cuisine,$R$4,d_Pay,$S$4,d_Type,$T$4)</f>
        <v>16988</v>
      </c>
    </row>
    <row r="101" customFormat="false" ht="15" hidden="false" customHeight="false" outlineLevel="0" collapsed="false">
      <c r="B101" s="38" t="s">
        <v>135</v>
      </c>
      <c r="C101" s="40" t="n">
        <f aca="false">COUNTIFS(d_Rest,$B101,d_Year,$P$4,d_City,$Q$4,d_Cuisine,$R$4,d_Pay,$S$4,d_Type,$T$4)</f>
        <v>101</v>
      </c>
      <c r="D101" s="40" t="n">
        <f aca="false">COUNTIFS(d_Rest,$B101,d_Status,"Cancelled",d_Year,$P$4,d_City,$Q$4,d_Cuisine,$R$4,d_Pay,$S$4,d_Type,$T$4)</f>
        <v>17</v>
      </c>
      <c r="E101" s="51" t="n">
        <f aca="false">IFERROR(D101/C101,0)</f>
        <v>0.168316831683168</v>
      </c>
      <c r="F101" s="41" t="n">
        <f aca="false">SUMIFS(d_Gross,d_Rest,$B101,d_Status,"Cancelled",d_Year,$P$4,d_City,$Q$4,d_Cuisine,$R$4,d_Pay,$S$4,d_Type,$T$4)</f>
        <v>15542</v>
      </c>
    </row>
    <row r="102" customFormat="false" ht="15" hidden="false" customHeight="false" outlineLevel="0" collapsed="false">
      <c r="B102" s="42" t="s">
        <v>136</v>
      </c>
      <c r="C102" s="44" t="n">
        <f aca="false">COUNTIFS(d_Rest,$B102,d_Year,$P$4,d_City,$Q$4,d_Cuisine,$R$4,d_Pay,$S$4,d_Type,$T$4)</f>
        <v>100</v>
      </c>
      <c r="D102" s="44" t="n">
        <f aca="false">COUNTIFS(d_Rest,$B102,d_Status,"Cancelled",d_Year,$P$4,d_City,$Q$4,d_Cuisine,$R$4,d_Pay,$S$4,d_Type,$T$4)</f>
        <v>11</v>
      </c>
      <c r="E102" s="52" t="n">
        <f aca="false">IFERROR(D102/C102,0)</f>
        <v>0.11</v>
      </c>
      <c r="F102" s="45" t="n">
        <f aca="false">SUMIFS(d_Gross,d_Rest,$B102,d_Status,"Cancelled",d_Year,$P$4,d_City,$Q$4,d_Cuisine,$R$4,d_Pay,$S$4,d_Type,$T$4)</f>
        <v>9436</v>
      </c>
    </row>
    <row r="103" customFormat="false" ht="15" hidden="false" customHeight="false" outlineLevel="0" collapsed="false">
      <c r="B103" s="38" t="s">
        <v>137</v>
      </c>
      <c r="C103" s="40" t="n">
        <f aca="false">COUNTIFS(d_Rest,$B103,d_Year,$P$4,d_City,$Q$4,d_Cuisine,$R$4,d_Pay,$S$4,d_Type,$T$4)</f>
        <v>99</v>
      </c>
      <c r="D103" s="40" t="n">
        <f aca="false">COUNTIFS(d_Rest,$B103,d_Status,"Cancelled",d_Year,$P$4,d_City,$Q$4,d_Cuisine,$R$4,d_Pay,$S$4,d_Type,$T$4)</f>
        <v>18</v>
      </c>
      <c r="E103" s="51" t="n">
        <f aca="false">IFERROR(D103/C103,0)</f>
        <v>0.181818181818182</v>
      </c>
      <c r="F103" s="41" t="n">
        <f aca="false">SUMIFS(d_Gross,d_Rest,$B103,d_Status,"Cancelled",d_Year,$P$4,d_City,$Q$4,d_Cuisine,$R$4,d_Pay,$S$4,d_Type,$T$4)</f>
        <v>15943</v>
      </c>
    </row>
    <row r="104" customFormat="false" ht="15" hidden="false" customHeight="false" outlineLevel="0" collapsed="false">
      <c r="B104" s="42" t="s">
        <v>138</v>
      </c>
      <c r="C104" s="44" t="n">
        <f aca="false">COUNTIFS(d_Rest,$B104,d_Year,$P$4,d_City,$Q$4,d_Cuisine,$R$4,d_Pay,$S$4,d_Type,$T$4)</f>
        <v>98</v>
      </c>
      <c r="D104" s="44" t="n">
        <f aca="false">COUNTIFS(d_Rest,$B104,d_Status,"Cancelled",d_Year,$P$4,d_City,$Q$4,d_Cuisine,$R$4,d_Pay,$S$4,d_Type,$T$4)</f>
        <v>14</v>
      </c>
      <c r="E104" s="52" t="n">
        <f aca="false">IFERROR(D104/C104,0)</f>
        <v>0.142857142857143</v>
      </c>
      <c r="F104" s="45" t="n">
        <f aca="false">SUMIFS(d_Gross,d_Rest,$B104,d_Status,"Cancelled",d_Year,$P$4,d_City,$Q$4,d_Cuisine,$R$4,d_Pay,$S$4,d_Type,$T$4)</f>
        <v>15322</v>
      </c>
    </row>
    <row r="105" customFormat="false" ht="15" hidden="false" customHeight="false" outlineLevel="0" collapsed="false">
      <c r="B105" s="38" t="s">
        <v>139</v>
      </c>
      <c r="C105" s="40" t="n">
        <f aca="false">COUNTIFS(d_Rest,$B105,d_Year,$P$4,d_City,$Q$4,d_Cuisine,$R$4,d_Pay,$S$4,d_Type,$T$4)</f>
        <v>97</v>
      </c>
      <c r="D105" s="40" t="n">
        <f aca="false">COUNTIFS(d_Rest,$B105,d_Status,"Cancelled",d_Year,$P$4,d_City,$Q$4,d_Cuisine,$R$4,d_Pay,$S$4,d_Type,$T$4)</f>
        <v>21</v>
      </c>
      <c r="E105" s="51" t="n">
        <f aca="false">IFERROR(D105/C105,0)</f>
        <v>0.216494845360825</v>
      </c>
      <c r="F105" s="41" t="n">
        <f aca="false">SUMIFS(d_Gross,d_Rest,$B105,d_Status,"Cancelled",d_Year,$P$4,d_City,$Q$4,d_Cuisine,$R$4,d_Pay,$S$4,d_Type,$T$4)</f>
        <v>21554</v>
      </c>
    </row>
    <row r="106" customFormat="false" ht="15" hidden="false" customHeight="false" outlineLevel="0" collapsed="false">
      <c r="B106" s="42" t="s">
        <v>140</v>
      </c>
      <c r="C106" s="44" t="n">
        <f aca="false">COUNTIFS(d_Rest,$B106,d_Year,$P$4,d_City,$Q$4,d_Cuisine,$R$4,d_Pay,$S$4,d_Type,$T$4)</f>
        <v>93</v>
      </c>
      <c r="D106" s="44" t="n">
        <f aca="false">COUNTIFS(d_Rest,$B106,d_Status,"Cancelled",d_Year,$P$4,d_City,$Q$4,d_Cuisine,$R$4,d_Pay,$S$4,d_Type,$T$4)</f>
        <v>15</v>
      </c>
      <c r="E106" s="52" t="n">
        <f aca="false">IFERROR(D106/C106,0)</f>
        <v>0.161290322580645</v>
      </c>
      <c r="F106" s="45" t="n">
        <f aca="false">SUMIFS(d_Gross,d_Rest,$B106,d_Status,"Cancelled",d_Year,$P$4,d_City,$Q$4,d_Cuisine,$R$4,d_Pay,$S$4,d_Type,$T$4)</f>
        <v>14288</v>
      </c>
    </row>
    <row r="107" customFormat="false" ht="15" hidden="false" customHeight="false" outlineLevel="0" collapsed="false">
      <c r="B107" s="38" t="s">
        <v>141</v>
      </c>
      <c r="C107" s="40" t="n">
        <f aca="false">COUNTIFS(d_Rest,$B107,d_Year,$P$4,d_City,$Q$4,d_Cuisine,$R$4,d_Pay,$S$4,d_Type,$T$4)</f>
        <v>93</v>
      </c>
      <c r="D107" s="40" t="n">
        <f aca="false">COUNTIFS(d_Rest,$B107,d_Status,"Cancelled",d_Year,$P$4,d_City,$Q$4,d_Cuisine,$R$4,d_Pay,$S$4,d_Type,$T$4)</f>
        <v>22</v>
      </c>
      <c r="E107" s="51" t="n">
        <f aca="false">IFERROR(D107/C107,0)</f>
        <v>0.236559139784946</v>
      </c>
      <c r="F107" s="41" t="n">
        <f aca="false">SUMIFS(d_Gross,d_Rest,$B107,d_Status,"Cancelled",d_Year,$P$4,d_City,$Q$4,d_Cuisine,$R$4,d_Pay,$S$4,d_Type,$T$4)</f>
        <v>22060</v>
      </c>
    </row>
    <row r="108" customFormat="false" ht="15" hidden="false" customHeight="false" outlineLevel="0" collapsed="false">
      <c r="B108" s="42" t="s">
        <v>142</v>
      </c>
      <c r="C108" s="44" t="n">
        <f aca="false">COUNTIFS(d_Rest,$B108,d_Year,$P$4,d_City,$Q$4,d_Cuisine,$R$4,d_Pay,$S$4,d_Type,$T$4)</f>
        <v>89</v>
      </c>
      <c r="D108" s="44" t="n">
        <f aca="false">COUNTIFS(d_Rest,$B108,d_Status,"Cancelled",d_Year,$P$4,d_City,$Q$4,d_Cuisine,$R$4,d_Pay,$S$4,d_Type,$T$4)</f>
        <v>14</v>
      </c>
      <c r="E108" s="52" t="n">
        <f aca="false">IFERROR(D108/C108,0)</f>
        <v>0.157303370786517</v>
      </c>
      <c r="F108" s="45" t="n">
        <f aca="false">SUMIFS(d_Gross,d_Rest,$B108,d_Status,"Cancelled",d_Year,$P$4,d_City,$Q$4,d_Cuisine,$R$4,d_Pay,$S$4,d_Type,$T$4)</f>
        <v>11690</v>
      </c>
    </row>
    <row r="109" customFormat="false" ht="15" hidden="false" customHeight="false" outlineLevel="0" collapsed="false">
      <c r="B109" s="46" t="s">
        <v>69</v>
      </c>
      <c r="C109" s="48" t="n">
        <f aca="false">SUM(C97:C108)</f>
        <v>1200</v>
      </c>
      <c r="D109" s="48" t="n">
        <f aca="false">SUM(D97:D108)</f>
        <v>202</v>
      </c>
      <c r="E109" s="53" t="n">
        <f aca="false">IFERROR(D109/C109,0)</f>
        <v>0.168333333333333</v>
      </c>
      <c r="F109" s="49" t="n">
        <f aca="false">SUM(F97:F108)</f>
        <v>192229</v>
      </c>
    </row>
    <row r="112" customFormat="false" ht="15" hidden="false" customHeight="false" outlineLevel="0" collapsed="false">
      <c r="B112" s="35" t="s">
        <v>268</v>
      </c>
    </row>
    <row r="113" customFormat="false" ht="30" hidden="false" customHeight="true" outlineLevel="0" collapsed="false">
      <c r="B113" s="36" t="s">
        <v>92</v>
      </c>
      <c r="C113" s="37" t="s">
        <v>64</v>
      </c>
      <c r="D113" s="37" t="s">
        <v>67</v>
      </c>
      <c r="E113" s="37" t="s">
        <v>125</v>
      </c>
      <c r="F113" s="37" t="s">
        <v>265</v>
      </c>
    </row>
    <row r="114" customFormat="false" ht="15" hidden="false" customHeight="false" outlineLevel="0" collapsed="false">
      <c r="B114" s="38" t="s">
        <v>93</v>
      </c>
      <c r="C114" s="40" t="n">
        <f aca="false">COUNTIFS(d_Pay,$B114,d_Year,$P$4,d_City,$Q$4,d_Cuisine,$R$4,d_Pay,$S$4,d_Type,$T$4)</f>
        <v>496</v>
      </c>
      <c r="D114" s="40" t="n">
        <f aca="false">COUNTIFS(d_Pay,$B114,d_Status,"Cancelled",d_Year,$P$4,d_City,$Q$4,d_Cuisine,$R$4,d_Pay,$S$4,d_Type,$T$4)</f>
        <v>94</v>
      </c>
      <c r="E114" s="51" t="n">
        <f aca="false">IFERROR(D114/C114,0)</f>
        <v>0.189516129032258</v>
      </c>
      <c r="F114" s="41" t="n">
        <f aca="false">SUMIFS(d_Gross,d_Pay,$B114,d_Status,"Cancelled",d_Year,$P$4,d_City,$Q$4,d_Cuisine,$R$4,d_Pay,$S$4,d_Type,$T$4)</f>
        <v>79403</v>
      </c>
    </row>
    <row r="115" customFormat="false" ht="15" hidden="false" customHeight="false" outlineLevel="0" collapsed="false">
      <c r="B115" s="42" t="s">
        <v>94</v>
      </c>
      <c r="C115" s="44" t="n">
        <f aca="false">COUNTIFS(d_Pay,$B115,d_Year,$P$4,d_City,$Q$4,d_Cuisine,$R$4,d_Pay,$S$4,d_Type,$T$4)</f>
        <v>239</v>
      </c>
      <c r="D115" s="44" t="n">
        <f aca="false">COUNTIFS(d_Pay,$B115,d_Status,"Cancelled",d_Year,$P$4,d_City,$Q$4,d_Cuisine,$R$4,d_Pay,$S$4,d_Type,$T$4)</f>
        <v>34</v>
      </c>
      <c r="E115" s="52" t="n">
        <f aca="false">IFERROR(D115/C115,0)</f>
        <v>0.142259414225941</v>
      </c>
      <c r="F115" s="45" t="n">
        <f aca="false">SUMIFS(d_Gross,d_Pay,$B115,d_Status,"Cancelled",d_Year,$P$4,d_City,$Q$4,d_Cuisine,$R$4,d_Pay,$S$4,d_Type,$T$4)</f>
        <v>38536</v>
      </c>
    </row>
    <row r="116" customFormat="false" ht="15" hidden="false" customHeight="false" outlineLevel="0" collapsed="false">
      <c r="B116" s="38" t="s">
        <v>95</v>
      </c>
      <c r="C116" s="40" t="n">
        <f aca="false">COUNTIFS(d_Pay,$B116,d_Year,$P$4,d_City,$Q$4,d_Cuisine,$R$4,d_Pay,$S$4,d_Type,$T$4)</f>
        <v>232</v>
      </c>
      <c r="D116" s="40" t="n">
        <f aca="false">COUNTIFS(d_Pay,$B116,d_Status,"Cancelled",d_Year,$P$4,d_City,$Q$4,d_Cuisine,$R$4,d_Pay,$S$4,d_Type,$T$4)</f>
        <v>38</v>
      </c>
      <c r="E116" s="51" t="n">
        <f aca="false">IFERROR(D116/C116,0)</f>
        <v>0.163793103448276</v>
      </c>
      <c r="F116" s="41" t="n">
        <f aca="false">SUMIFS(d_Gross,d_Pay,$B116,d_Status,"Cancelled",d_Year,$P$4,d_City,$Q$4,d_Cuisine,$R$4,d_Pay,$S$4,d_Type,$T$4)</f>
        <v>37469</v>
      </c>
    </row>
    <row r="117" customFormat="false" ht="15" hidden="false" customHeight="false" outlineLevel="0" collapsed="false">
      <c r="B117" s="42" t="s">
        <v>96</v>
      </c>
      <c r="C117" s="44" t="n">
        <f aca="false">COUNTIFS(d_Pay,$B117,d_Year,$P$4,d_City,$Q$4,d_Cuisine,$R$4,d_Pay,$S$4,d_Type,$T$4)</f>
        <v>138</v>
      </c>
      <c r="D117" s="44" t="n">
        <f aca="false">COUNTIFS(d_Pay,$B117,d_Status,"Cancelled",d_Year,$P$4,d_City,$Q$4,d_Cuisine,$R$4,d_Pay,$S$4,d_Type,$T$4)</f>
        <v>22</v>
      </c>
      <c r="E117" s="52" t="n">
        <f aca="false">IFERROR(D117/C117,0)</f>
        <v>0.159420289855072</v>
      </c>
      <c r="F117" s="45" t="n">
        <f aca="false">SUMIFS(d_Gross,d_Pay,$B117,d_Status,"Cancelled",d_Year,$P$4,d_City,$Q$4,d_Cuisine,$R$4,d_Pay,$S$4,d_Type,$T$4)</f>
        <v>20519</v>
      </c>
    </row>
    <row r="118" customFormat="false" ht="15" hidden="false" customHeight="false" outlineLevel="0" collapsed="false">
      <c r="B118" s="38" t="s">
        <v>97</v>
      </c>
      <c r="C118" s="40" t="n">
        <f aca="false">COUNTIFS(d_Pay,$B118,d_Year,$P$4,d_City,$Q$4,d_Cuisine,$R$4,d_Pay,$S$4,d_Type,$T$4)</f>
        <v>95</v>
      </c>
      <c r="D118" s="40" t="n">
        <f aca="false">COUNTIFS(d_Pay,$B118,d_Status,"Cancelled",d_Year,$P$4,d_City,$Q$4,d_Cuisine,$R$4,d_Pay,$S$4,d_Type,$T$4)</f>
        <v>14</v>
      </c>
      <c r="E118" s="51" t="n">
        <f aca="false">IFERROR(D118/C118,0)</f>
        <v>0.147368421052632</v>
      </c>
      <c r="F118" s="41" t="n">
        <f aca="false">SUMIFS(d_Gross,d_Pay,$B118,d_Status,"Cancelled",d_Year,$P$4,d_City,$Q$4,d_Cuisine,$R$4,d_Pay,$S$4,d_Type,$T$4)</f>
        <v>16302</v>
      </c>
    </row>
    <row r="119" customFormat="false" ht="15" hidden="false" customHeight="false" outlineLevel="0" collapsed="false">
      <c r="B119" s="46" t="s">
        <v>69</v>
      </c>
      <c r="C119" s="48" t="n">
        <f aca="false">SUM(C114:C118)</f>
        <v>1200</v>
      </c>
      <c r="D119" s="48" t="n">
        <f aca="false">SUM(D114:D118)</f>
        <v>202</v>
      </c>
      <c r="E119" s="53" t="n">
        <f aca="false">IFERROR(D119/C119,0)</f>
        <v>0.168333333333333</v>
      </c>
      <c r="F119" s="49" t="n">
        <f aca="false">SUM(F114:F118)</f>
        <v>192229</v>
      </c>
    </row>
    <row r="122" customFormat="false" ht="15" hidden="false" customHeight="false" outlineLevel="0" collapsed="false">
      <c r="B122" s="35" t="s">
        <v>269</v>
      </c>
    </row>
    <row r="123" customFormat="false" ht="30" hidden="false" customHeight="true" outlineLevel="0" collapsed="false">
      <c r="B123" s="36" t="s">
        <v>80</v>
      </c>
      <c r="C123" s="37" t="s">
        <v>64</v>
      </c>
      <c r="D123" s="37" t="s">
        <v>67</v>
      </c>
      <c r="E123" s="37" t="s">
        <v>125</v>
      </c>
      <c r="F123" s="37" t="s">
        <v>265</v>
      </c>
    </row>
    <row r="124" customFormat="false" ht="15" hidden="false" customHeight="false" outlineLevel="0" collapsed="false">
      <c r="B124" s="38" t="s">
        <v>81</v>
      </c>
      <c r="C124" s="40" t="n">
        <f aca="false">COUNTIFS(d_Cuisine,$B124,d_Year,$P$4,d_City,$Q$4,d_Cuisine,$R$4,d_Pay,$S$4,d_Type,$T$4)</f>
        <v>138</v>
      </c>
      <c r="D124" s="40" t="n">
        <f aca="false">COUNTIFS(d_Cuisine,$B124,d_Status,"Cancelled",d_Year,$P$4,d_City,$Q$4,d_Cuisine,$R$4,d_Pay,$S$4,d_Type,$T$4)</f>
        <v>14</v>
      </c>
      <c r="E124" s="51" t="n">
        <f aca="false">IFERROR(D124/C124,0)</f>
        <v>0.101449275362319</v>
      </c>
      <c r="F124" s="41" t="n">
        <f aca="false">SUMIFS(d_Gross,d_Cuisine,$B124,d_Status,"Cancelled",d_Year,$P$4,d_City,$Q$4,d_Cuisine,$R$4,d_Pay,$S$4,d_Type,$T$4)</f>
        <v>15991</v>
      </c>
    </row>
    <row r="125" customFormat="false" ht="15" hidden="false" customHeight="false" outlineLevel="0" collapsed="false">
      <c r="B125" s="42" t="s">
        <v>82</v>
      </c>
      <c r="C125" s="44" t="n">
        <f aca="false">COUNTIFS(d_Cuisine,$B125,d_Year,$P$4,d_City,$Q$4,d_Cuisine,$R$4,d_Pay,$S$4,d_Type,$T$4)</f>
        <v>136</v>
      </c>
      <c r="D125" s="44" t="n">
        <f aca="false">COUNTIFS(d_Cuisine,$B125,d_Status,"Cancelled",d_Year,$P$4,d_City,$Q$4,d_Cuisine,$R$4,d_Pay,$S$4,d_Type,$T$4)</f>
        <v>30</v>
      </c>
      <c r="E125" s="52" t="n">
        <f aca="false">IFERROR(D125/C125,0)</f>
        <v>0.220588235294118</v>
      </c>
      <c r="F125" s="45" t="n">
        <f aca="false">SUMIFS(d_Gross,d_Cuisine,$B125,d_Status,"Cancelled",d_Year,$P$4,d_City,$Q$4,d_Cuisine,$R$4,d_Pay,$S$4,d_Type,$T$4)</f>
        <v>25039</v>
      </c>
    </row>
    <row r="126" customFormat="false" ht="15" hidden="false" customHeight="false" outlineLevel="0" collapsed="false">
      <c r="B126" s="38" t="s">
        <v>83</v>
      </c>
      <c r="C126" s="40" t="n">
        <f aca="false">COUNTIFS(d_Cuisine,$B126,d_Year,$P$4,d_City,$Q$4,d_Cuisine,$R$4,d_Pay,$S$4,d_Type,$T$4)</f>
        <v>128</v>
      </c>
      <c r="D126" s="40" t="n">
        <f aca="false">COUNTIFS(d_Cuisine,$B126,d_Status,"Cancelled",d_Year,$P$4,d_City,$Q$4,d_Cuisine,$R$4,d_Pay,$S$4,d_Type,$T$4)</f>
        <v>21</v>
      </c>
      <c r="E126" s="51" t="n">
        <f aca="false">IFERROR(D126/C126,0)</f>
        <v>0.1640625</v>
      </c>
      <c r="F126" s="41" t="n">
        <f aca="false">SUMIFS(d_Gross,d_Cuisine,$B126,d_Status,"Cancelled",d_Year,$P$4,d_City,$Q$4,d_Cuisine,$R$4,d_Pay,$S$4,d_Type,$T$4)</f>
        <v>19807</v>
      </c>
    </row>
    <row r="127" customFormat="false" ht="15" hidden="false" customHeight="false" outlineLevel="0" collapsed="false">
      <c r="B127" s="42" t="s">
        <v>84</v>
      </c>
      <c r="C127" s="44" t="n">
        <f aca="false">COUNTIFS(d_Cuisine,$B127,d_Year,$P$4,d_City,$Q$4,d_Cuisine,$R$4,d_Pay,$S$4,d_Type,$T$4)</f>
        <v>122</v>
      </c>
      <c r="D127" s="44" t="n">
        <f aca="false">COUNTIFS(d_Cuisine,$B127,d_Status,"Cancelled",d_Year,$P$4,d_City,$Q$4,d_Cuisine,$R$4,d_Pay,$S$4,d_Type,$T$4)</f>
        <v>20</v>
      </c>
      <c r="E127" s="52" t="n">
        <f aca="false">IFERROR(D127/C127,0)</f>
        <v>0.163934426229508</v>
      </c>
      <c r="F127" s="45" t="n">
        <f aca="false">SUMIFS(d_Gross,d_Cuisine,$B127,d_Status,"Cancelled",d_Year,$P$4,d_City,$Q$4,d_Cuisine,$R$4,d_Pay,$S$4,d_Type,$T$4)</f>
        <v>18674</v>
      </c>
    </row>
    <row r="128" customFormat="false" ht="15" hidden="false" customHeight="false" outlineLevel="0" collapsed="false">
      <c r="B128" s="38" t="s">
        <v>85</v>
      </c>
      <c r="C128" s="40" t="n">
        <f aca="false">COUNTIFS(d_Cuisine,$B128,d_Year,$P$4,d_City,$Q$4,d_Cuisine,$R$4,d_Pay,$S$4,d_Type,$T$4)</f>
        <v>121</v>
      </c>
      <c r="D128" s="40" t="n">
        <f aca="false">COUNTIFS(d_Cuisine,$B128,d_Status,"Cancelled",d_Year,$P$4,d_City,$Q$4,d_Cuisine,$R$4,d_Pay,$S$4,d_Type,$T$4)</f>
        <v>17</v>
      </c>
      <c r="E128" s="51" t="n">
        <f aca="false">IFERROR(D128/C128,0)</f>
        <v>0.140495867768595</v>
      </c>
      <c r="F128" s="41" t="n">
        <f aca="false">SUMIFS(d_Gross,d_Cuisine,$B128,d_Status,"Cancelled",d_Year,$P$4,d_City,$Q$4,d_Cuisine,$R$4,d_Pay,$S$4,d_Type,$T$4)</f>
        <v>17519</v>
      </c>
    </row>
    <row r="129" customFormat="false" ht="15" hidden="false" customHeight="false" outlineLevel="0" collapsed="false">
      <c r="B129" s="42" t="s">
        <v>86</v>
      </c>
      <c r="C129" s="44" t="n">
        <f aca="false">COUNTIFS(d_Cuisine,$B129,d_Year,$P$4,d_City,$Q$4,d_Cuisine,$R$4,d_Pay,$S$4,d_Type,$T$4)</f>
        <v>116</v>
      </c>
      <c r="D129" s="44" t="n">
        <f aca="false">COUNTIFS(d_Cuisine,$B129,d_Status,"Cancelled",d_Year,$P$4,d_City,$Q$4,d_Cuisine,$R$4,d_Pay,$S$4,d_Type,$T$4)</f>
        <v>21</v>
      </c>
      <c r="E129" s="52" t="n">
        <f aca="false">IFERROR(D129/C129,0)</f>
        <v>0.181034482758621</v>
      </c>
      <c r="F129" s="45" t="n">
        <f aca="false">SUMIFS(d_Gross,d_Cuisine,$B129,d_Status,"Cancelled",d_Year,$P$4,d_City,$Q$4,d_Cuisine,$R$4,d_Pay,$S$4,d_Type,$T$4)</f>
        <v>21450</v>
      </c>
    </row>
    <row r="130" customFormat="false" ht="15" hidden="false" customHeight="false" outlineLevel="0" collapsed="false">
      <c r="B130" s="38" t="s">
        <v>87</v>
      </c>
      <c r="C130" s="40" t="n">
        <f aca="false">COUNTIFS(d_Cuisine,$B130,d_Year,$P$4,d_City,$Q$4,d_Cuisine,$R$4,d_Pay,$S$4,d_Type,$T$4)</f>
        <v>115</v>
      </c>
      <c r="D130" s="40" t="n">
        <f aca="false">COUNTIFS(d_Cuisine,$B130,d_Status,"Cancelled",d_Year,$P$4,d_City,$Q$4,d_Cuisine,$R$4,d_Pay,$S$4,d_Type,$T$4)</f>
        <v>19</v>
      </c>
      <c r="E130" s="51" t="n">
        <f aca="false">IFERROR(D130/C130,0)</f>
        <v>0.165217391304348</v>
      </c>
      <c r="F130" s="41" t="n">
        <f aca="false">SUMIFS(d_Gross,d_Cuisine,$B130,d_Status,"Cancelled",d_Year,$P$4,d_City,$Q$4,d_Cuisine,$R$4,d_Pay,$S$4,d_Type,$T$4)</f>
        <v>16894</v>
      </c>
    </row>
    <row r="131" customFormat="false" ht="15" hidden="false" customHeight="false" outlineLevel="0" collapsed="false">
      <c r="B131" s="42" t="s">
        <v>88</v>
      </c>
      <c r="C131" s="44" t="n">
        <f aca="false">COUNTIFS(d_Cuisine,$B131,d_Year,$P$4,d_City,$Q$4,d_Cuisine,$R$4,d_Pay,$S$4,d_Type,$T$4)</f>
        <v>114</v>
      </c>
      <c r="D131" s="44" t="n">
        <f aca="false">COUNTIFS(d_Cuisine,$B131,d_Status,"Cancelled",d_Year,$P$4,d_City,$Q$4,d_Cuisine,$R$4,d_Pay,$S$4,d_Type,$T$4)</f>
        <v>17</v>
      </c>
      <c r="E131" s="52" t="n">
        <f aca="false">IFERROR(D131/C131,0)</f>
        <v>0.149122807017544</v>
      </c>
      <c r="F131" s="45" t="n">
        <f aca="false">SUMIFS(d_Gross,d_Cuisine,$B131,d_Status,"Cancelled",d_Year,$P$4,d_City,$Q$4,d_Cuisine,$R$4,d_Pay,$S$4,d_Type,$T$4)</f>
        <v>15818</v>
      </c>
    </row>
    <row r="132" customFormat="false" ht="15" hidden="false" customHeight="false" outlineLevel="0" collapsed="false">
      <c r="B132" s="38" t="s">
        <v>89</v>
      </c>
      <c r="C132" s="40" t="n">
        <f aca="false">COUNTIFS(d_Cuisine,$B132,d_Year,$P$4,d_City,$Q$4,d_Cuisine,$R$4,d_Pay,$S$4,d_Type,$T$4)</f>
        <v>109</v>
      </c>
      <c r="D132" s="40" t="n">
        <f aca="false">COUNTIFS(d_Cuisine,$B132,d_Status,"Cancelled",d_Year,$P$4,d_City,$Q$4,d_Cuisine,$R$4,d_Pay,$S$4,d_Type,$T$4)</f>
        <v>25</v>
      </c>
      <c r="E132" s="51" t="n">
        <f aca="false">IFERROR(D132/C132,0)</f>
        <v>0.229357798165138</v>
      </c>
      <c r="F132" s="41" t="n">
        <f aca="false">SUMIFS(d_Gross,d_Cuisine,$B132,d_Status,"Cancelled",d_Year,$P$4,d_City,$Q$4,d_Cuisine,$R$4,d_Pay,$S$4,d_Type,$T$4)</f>
        <v>24960</v>
      </c>
    </row>
    <row r="133" customFormat="false" ht="15" hidden="false" customHeight="false" outlineLevel="0" collapsed="false">
      <c r="B133" s="42" t="s">
        <v>90</v>
      </c>
      <c r="C133" s="44" t="n">
        <f aca="false">COUNTIFS(d_Cuisine,$B133,d_Year,$P$4,d_City,$Q$4,d_Cuisine,$R$4,d_Pay,$S$4,d_Type,$T$4)</f>
        <v>101</v>
      </c>
      <c r="D133" s="44" t="n">
        <f aca="false">COUNTIFS(d_Cuisine,$B133,d_Status,"Cancelled",d_Year,$P$4,d_City,$Q$4,d_Cuisine,$R$4,d_Pay,$S$4,d_Type,$T$4)</f>
        <v>18</v>
      </c>
      <c r="E133" s="52" t="n">
        <f aca="false">IFERROR(D133/C133,0)</f>
        <v>0.178217821782178</v>
      </c>
      <c r="F133" s="45" t="n">
        <f aca="false">SUMIFS(d_Gross,d_Cuisine,$B133,d_Status,"Cancelled",d_Year,$P$4,d_City,$Q$4,d_Cuisine,$R$4,d_Pay,$S$4,d_Type,$T$4)</f>
        <v>16077</v>
      </c>
    </row>
    <row r="134" customFormat="false" ht="15" hidden="false" customHeight="false" outlineLevel="0" collapsed="false">
      <c r="B134" s="46" t="s">
        <v>69</v>
      </c>
      <c r="C134" s="48" t="n">
        <f aca="false">SUM(C124:C133)</f>
        <v>1200</v>
      </c>
      <c r="D134" s="48" t="n">
        <f aca="false">SUM(D124:D133)</f>
        <v>202</v>
      </c>
      <c r="E134" s="53" t="n">
        <f aca="false">IFERROR(D134/C134,0)</f>
        <v>0.168333333333333</v>
      </c>
      <c r="F134" s="49" t="n">
        <f aca="false">SUM(F124:F133)</f>
        <v>192229</v>
      </c>
    </row>
    <row r="137" customFormat="false" ht="15" hidden="false" customHeight="false" outlineLevel="0" collapsed="false">
      <c r="B137" s="35" t="s">
        <v>270</v>
      </c>
    </row>
    <row r="138" customFormat="false" ht="30" hidden="false" customHeight="true" outlineLevel="0" collapsed="false">
      <c r="B138" s="36" t="s">
        <v>75</v>
      </c>
      <c r="C138" s="37" t="s">
        <v>64</v>
      </c>
      <c r="D138" s="37" t="s">
        <v>67</v>
      </c>
      <c r="E138" s="37" t="s">
        <v>125</v>
      </c>
      <c r="F138" s="37" t="s">
        <v>265</v>
      </c>
    </row>
    <row r="139" customFormat="false" ht="15" hidden="false" customHeight="false" outlineLevel="0" collapsed="false">
      <c r="B139" s="38" t="s">
        <v>77</v>
      </c>
      <c r="C139" s="40" t="n">
        <f aca="false">COUNTIFS(d_Type,$B139,d_Year,$P$4,d_City,$Q$4,d_Cuisine,$R$4,d_Pay,$S$4,d_Type,$T$4)</f>
        <v>881</v>
      </c>
      <c r="D139" s="40" t="n">
        <f aca="false">COUNTIFS(d_Type,$B139,d_Status,"Cancelled",d_Year,$P$4,d_City,$Q$4,d_Cuisine,$R$4,d_Pay,$S$4,d_Type,$T$4)</f>
        <v>143</v>
      </c>
      <c r="E139" s="51" t="n">
        <f aca="false">IFERROR(D139/C139,0)</f>
        <v>0.162315550510783</v>
      </c>
      <c r="F139" s="41" t="n">
        <f aca="false">SUMIFS(d_Gross,d_Type,$B139,d_Status,"Cancelled",d_Year,$P$4,d_City,$Q$4,d_Cuisine,$R$4,d_Pay,$S$4,d_Type,$T$4)</f>
        <v>131593</v>
      </c>
    </row>
    <row r="140" customFormat="false" ht="15" hidden="false" customHeight="false" outlineLevel="0" collapsed="false">
      <c r="B140" s="42" t="s">
        <v>78</v>
      </c>
      <c r="C140" s="44" t="n">
        <f aca="false">COUNTIFS(d_Type,$B140,d_Year,$P$4,d_City,$Q$4,d_Cuisine,$R$4,d_Pay,$S$4,d_Type,$T$4)</f>
        <v>319</v>
      </c>
      <c r="D140" s="44" t="n">
        <f aca="false">COUNTIFS(d_Type,$B140,d_Status,"Cancelled",d_Year,$P$4,d_City,$Q$4,d_Cuisine,$R$4,d_Pay,$S$4,d_Type,$T$4)</f>
        <v>59</v>
      </c>
      <c r="E140" s="52" t="n">
        <f aca="false">IFERROR(D140/C140,0)</f>
        <v>0.184952978056426</v>
      </c>
      <c r="F140" s="45" t="n">
        <f aca="false">SUMIFS(d_Gross,d_Type,$B140,d_Status,"Cancelled",d_Year,$P$4,d_City,$Q$4,d_Cuisine,$R$4,d_Pay,$S$4,d_Type,$T$4)</f>
        <v>60636</v>
      </c>
    </row>
    <row r="141" customFormat="false" ht="15" hidden="false" customHeight="false" outlineLevel="0" collapsed="false">
      <c r="B141" s="46" t="s">
        <v>69</v>
      </c>
      <c r="C141" s="48" t="n">
        <f aca="false">SUM(C139:C140)</f>
        <v>1200</v>
      </c>
      <c r="D141" s="48" t="n">
        <f aca="false">SUM(D139:D140)</f>
        <v>202</v>
      </c>
      <c r="E141" s="53" t="n">
        <f aca="false">IFERROR(D141/C141,0)</f>
        <v>0.168333333333333</v>
      </c>
      <c r="F141" s="49" t="n">
        <f aca="false">SUM(F139:F140)</f>
        <v>192229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34D"/>
    <pageSetUpPr fitToPage="false"/>
  </sheetPr>
  <dimension ref="B1:T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271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272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4" t="s">
        <v>7</v>
      </c>
      <c r="C5" s="4"/>
      <c r="D5" s="3" t="s">
        <v>117</v>
      </c>
      <c r="E5" s="3"/>
      <c r="F5" s="5" t="s">
        <v>273</v>
      </c>
      <c r="G5" s="5"/>
      <c r="H5" s="7" t="s">
        <v>274</v>
      </c>
      <c r="I5" s="7"/>
      <c r="J5" s="6" t="s">
        <v>275</v>
      </c>
      <c r="K5" s="6"/>
      <c r="L5" s="8" t="s">
        <v>276</v>
      </c>
      <c r="M5" s="8"/>
    </row>
    <row r="6" customFormat="false" ht="36" hidden="false" customHeight="true" outlineLevel="0" collapsed="false">
      <c r="B6" s="81" t="n">
        <f aca="false">AVERAGEIFS(d_CRating,d_ID,"&lt;&gt;",d_Year,$P$4,d_City,$Q$4,d_Cuisine,$R$4,d_Pay,$S$4,d_Type,$T$4)</f>
        <v>4.01833333333333</v>
      </c>
      <c r="C6" s="81"/>
      <c r="D6" s="82" t="n">
        <f aca="false">AVERAGEIFS(d_RRating,d_ID,"&lt;&gt;",d_Year,$P$4,d_City,$Q$4,d_Cuisine,$R$4,d_Pay,$S$4,d_Type,$T$4)</f>
        <v>3.7175</v>
      </c>
      <c r="E6" s="82"/>
      <c r="F6" s="11" t="n">
        <f aca="false">IFERROR(COUNTIFS(d_CRating,5,d_Year,$P$4,d_City,$Q$4,d_Cuisine,$R$4,d_Pay,$S$4,d_Type,$T$4)/COUNTIFS(d_ID,"&lt;&gt;",d_Year,$P$4,d_City,$Q$4,d_Cuisine,$R$4,d_Pay,$S$4,d_Type,$T$4),0)</f>
        <v>0.4375</v>
      </c>
      <c r="G6" s="11"/>
      <c r="H6" s="79" t="n">
        <f aca="false">IFERROR(COUNTIFS(d_CRating,"&gt;=4",d_Year,$P$4,d_City,$Q$4,d_Cuisine,$R$4,d_Pay,$S$4,d_Type,$T$4)/COUNTIFS(d_ID,"&lt;&gt;",d_Year,$P$4,d_City,$Q$4,d_Cuisine,$R$4,d_Pay,$S$4,d_Type,$T$4),0)</f>
        <v>0.7325</v>
      </c>
      <c r="I6" s="79"/>
      <c r="J6" s="12" t="n">
        <f aca="false">IFERROR(COUNTIFS(d_CRating,"&lt;=2",d_Year,$P$4,d_City,$Q$4,d_Cuisine,$R$4,d_Pay,$S$4,d_Type,$T$4)/COUNTIFS(d_ID,"&lt;&gt;",d_Year,$P$4,d_City,$Q$4,d_Cuisine,$R$4,d_Pay,$S$4,d_Type,$T$4),0)</f>
        <v>0.110833333333333</v>
      </c>
      <c r="K6" s="12"/>
      <c r="L6" s="83" t="n">
        <f aca="false">COUNTIFS(d_CRating,"&gt;0",d_Year,$P$4,d_City,$Q$4,d_Cuisine,$R$4,d_Pay,$S$4,d_Type,$T$4)</f>
        <v>1200</v>
      </c>
      <c r="M6" s="83"/>
    </row>
    <row r="7" customFormat="false" ht="24" hidden="false" customHeight="true" outlineLevel="0" collapsed="false">
      <c r="B7" s="15" t="s">
        <v>277</v>
      </c>
      <c r="C7" s="15"/>
      <c r="D7" s="15" t="s">
        <v>12</v>
      </c>
      <c r="E7" s="15"/>
      <c r="F7" s="15" t="s">
        <v>278</v>
      </c>
      <c r="G7" s="15"/>
      <c r="H7" s="15" t="s">
        <v>279</v>
      </c>
      <c r="I7" s="15"/>
      <c r="J7" s="15" t="s">
        <v>280</v>
      </c>
      <c r="K7" s="15"/>
      <c r="L7" s="15" t="s">
        <v>281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282</v>
      </c>
    </row>
    <row r="60" customFormat="false" ht="30" hidden="false" customHeight="true" outlineLevel="0" collapsed="false">
      <c r="B60" s="36" t="s">
        <v>283</v>
      </c>
      <c r="C60" s="37" t="s">
        <v>64</v>
      </c>
      <c r="D60" s="37" t="s">
        <v>73</v>
      </c>
    </row>
    <row r="61" customFormat="false" ht="15" hidden="false" customHeight="false" outlineLevel="0" collapsed="false">
      <c r="B61" s="38" t="s">
        <v>284</v>
      </c>
      <c r="C61" s="40" t="n">
        <f aca="false">COUNTIFS(d_CRating,1,d_Year,$P$4,d_City,$Q$4,d_Cuisine,$R$4,d_Pay,$S$4,d_Type,$T$4)</f>
        <v>49</v>
      </c>
      <c r="D61" s="51" t="n">
        <f aca="false">IFERROR(C61/COUNTIFS(d_ID,"&lt;&gt;",d_Year,$P$4,d_City,$Q$4,d_Cuisine,$R$4,d_Pay,$S$4,d_Type,$T$4),0)</f>
        <v>0.0408333333333333</v>
      </c>
    </row>
    <row r="62" customFormat="false" ht="15" hidden="false" customHeight="false" outlineLevel="0" collapsed="false">
      <c r="B62" s="42" t="s">
        <v>285</v>
      </c>
      <c r="C62" s="44" t="n">
        <f aca="false">COUNTIFS(d_CRating,2,d_Year,$P$4,d_City,$Q$4,d_Cuisine,$R$4,d_Pay,$S$4,d_Type,$T$4)</f>
        <v>84</v>
      </c>
      <c r="D62" s="52" t="n">
        <f aca="false">IFERROR(C62/COUNTIFS(d_ID,"&lt;&gt;",d_Year,$P$4,d_City,$Q$4,d_Cuisine,$R$4,d_Pay,$S$4,d_Type,$T$4),0)</f>
        <v>0.07</v>
      </c>
    </row>
    <row r="63" customFormat="false" ht="15" hidden="false" customHeight="false" outlineLevel="0" collapsed="false">
      <c r="B63" s="38" t="s">
        <v>286</v>
      </c>
      <c r="C63" s="40" t="n">
        <f aca="false">COUNTIFS(d_CRating,3,d_Year,$P$4,d_City,$Q$4,d_Cuisine,$R$4,d_Pay,$S$4,d_Type,$T$4)</f>
        <v>188</v>
      </c>
      <c r="D63" s="51" t="n">
        <f aca="false">IFERROR(C63/COUNTIFS(d_ID,"&lt;&gt;",d_Year,$P$4,d_City,$Q$4,d_Cuisine,$R$4,d_Pay,$S$4,d_Type,$T$4),0)</f>
        <v>0.156666666666667</v>
      </c>
    </row>
    <row r="64" customFormat="false" ht="15" hidden="false" customHeight="false" outlineLevel="0" collapsed="false">
      <c r="B64" s="42" t="s">
        <v>287</v>
      </c>
      <c r="C64" s="44" t="n">
        <f aca="false">COUNTIFS(d_CRating,4,d_Year,$P$4,d_City,$Q$4,d_Cuisine,$R$4,d_Pay,$S$4,d_Type,$T$4)</f>
        <v>354</v>
      </c>
      <c r="D64" s="52" t="n">
        <f aca="false">IFERROR(C64/COUNTIFS(d_ID,"&lt;&gt;",d_Year,$P$4,d_City,$Q$4,d_Cuisine,$R$4,d_Pay,$S$4,d_Type,$T$4),0)</f>
        <v>0.295</v>
      </c>
    </row>
    <row r="65" customFormat="false" ht="15" hidden="false" customHeight="false" outlineLevel="0" collapsed="false">
      <c r="B65" s="38" t="s">
        <v>288</v>
      </c>
      <c r="C65" s="40" t="n">
        <f aca="false">COUNTIFS(d_CRating,5,d_Year,$P$4,d_City,$Q$4,d_Cuisine,$R$4,d_Pay,$S$4,d_Type,$T$4)</f>
        <v>525</v>
      </c>
      <c r="D65" s="51" t="n">
        <f aca="false">IFERROR(C65/COUNTIFS(d_ID,"&lt;&gt;",d_Year,$P$4,d_City,$Q$4,d_Cuisine,$R$4,d_Pay,$S$4,d_Type,$T$4),0)</f>
        <v>0.4375</v>
      </c>
    </row>
    <row r="66" customFormat="false" ht="15" hidden="false" customHeight="false" outlineLevel="0" collapsed="false">
      <c r="B66" s="46" t="s">
        <v>69</v>
      </c>
      <c r="C66" s="48" t="n">
        <f aca="false">SUM(C61:C65)</f>
        <v>1200</v>
      </c>
      <c r="D66" s="53" t="n">
        <f aca="false">SUM(D61:D65)</f>
        <v>1</v>
      </c>
    </row>
    <row r="69" customFormat="false" ht="15" hidden="false" customHeight="false" outlineLevel="0" collapsed="false">
      <c r="B69" s="35" t="s">
        <v>289</v>
      </c>
    </row>
    <row r="70" customFormat="false" ht="30" hidden="false" customHeight="true" outlineLevel="0" collapsed="false">
      <c r="B70" s="36" t="s">
        <v>290</v>
      </c>
      <c r="C70" s="37" t="s">
        <v>291</v>
      </c>
      <c r="D70" s="37" t="s">
        <v>292</v>
      </c>
      <c r="E70" s="37" t="s">
        <v>64</v>
      </c>
      <c r="F70" s="37" t="s">
        <v>73</v>
      </c>
    </row>
    <row r="71" customFormat="false" ht="15" hidden="false" customHeight="false" outlineLevel="0" collapsed="false">
      <c r="B71" s="38" t="s">
        <v>293</v>
      </c>
      <c r="C71" s="84" t="n">
        <v>2.5</v>
      </c>
      <c r="D71" s="85" t="n">
        <v>3</v>
      </c>
      <c r="E71" s="40" t="n">
        <f aca="false">COUNTIFS(d_RRating,"&gt;="&amp;$C71,d_RRating,"&lt;"&amp;$D71,d_Year,$P$4,d_City,$Q$4,d_Cuisine,$R$4,d_Pay,$S$4,d_Type,$T$4)</f>
        <v>225</v>
      </c>
      <c r="F71" s="51" t="n">
        <f aca="false">IFERROR(E71/COUNTIFS(d_ID,"&lt;&gt;",d_Year,$P$4,d_City,$Q$4,d_Cuisine,$R$4,d_Pay,$S$4,d_Type,$T$4),0)</f>
        <v>0.1875</v>
      </c>
    </row>
    <row r="72" customFormat="false" ht="15" hidden="false" customHeight="false" outlineLevel="0" collapsed="false">
      <c r="B72" s="42" t="s">
        <v>294</v>
      </c>
      <c r="C72" s="86" t="n">
        <v>3</v>
      </c>
      <c r="D72" s="87" t="n">
        <v>3.5</v>
      </c>
      <c r="E72" s="44" t="n">
        <f aca="false">COUNTIFS(d_RRating,"&gt;="&amp;$C72,d_RRating,"&lt;"&amp;$D72,d_Year,$P$4,d_City,$Q$4,d_Cuisine,$R$4,d_Pay,$S$4,d_Type,$T$4)</f>
        <v>256</v>
      </c>
      <c r="F72" s="52" t="n">
        <f aca="false">IFERROR(E72/COUNTIFS(d_ID,"&lt;&gt;",d_Year,$P$4,d_City,$Q$4,d_Cuisine,$R$4,d_Pay,$S$4,d_Type,$T$4),0)</f>
        <v>0.213333333333333</v>
      </c>
    </row>
    <row r="73" customFormat="false" ht="15" hidden="false" customHeight="false" outlineLevel="0" collapsed="false">
      <c r="B73" s="38" t="s">
        <v>295</v>
      </c>
      <c r="C73" s="84" t="n">
        <v>3.5</v>
      </c>
      <c r="D73" s="85" t="n">
        <v>4</v>
      </c>
      <c r="E73" s="40" t="n">
        <f aca="false">COUNTIFS(d_RRating,"&gt;="&amp;$C73,d_RRating,"&lt;"&amp;$D73,d_Year,$P$4,d_City,$Q$4,d_Cuisine,$R$4,d_Pay,$S$4,d_Type,$T$4)</f>
        <v>230</v>
      </c>
      <c r="F73" s="51" t="n">
        <f aca="false">IFERROR(E73/COUNTIFS(d_ID,"&lt;&gt;",d_Year,$P$4,d_City,$Q$4,d_Cuisine,$R$4,d_Pay,$S$4,d_Type,$T$4),0)</f>
        <v>0.191666666666667</v>
      </c>
    </row>
    <row r="74" customFormat="false" ht="15" hidden="false" customHeight="false" outlineLevel="0" collapsed="false">
      <c r="B74" s="42" t="s">
        <v>296</v>
      </c>
      <c r="C74" s="86" t="n">
        <v>4</v>
      </c>
      <c r="D74" s="87" t="n">
        <v>4.5</v>
      </c>
      <c r="E74" s="44" t="n">
        <f aca="false">COUNTIFS(d_RRating,"&gt;="&amp;$C74,d_RRating,"&lt;"&amp;$D74,d_Year,$P$4,d_City,$Q$4,d_Cuisine,$R$4,d_Pay,$S$4,d_Type,$T$4)</f>
        <v>233</v>
      </c>
      <c r="F74" s="52" t="n">
        <f aca="false">IFERROR(E74/COUNTIFS(d_ID,"&lt;&gt;",d_Year,$P$4,d_City,$Q$4,d_Cuisine,$R$4,d_Pay,$S$4,d_Type,$T$4),0)</f>
        <v>0.194166666666667</v>
      </c>
    </row>
    <row r="75" customFormat="false" ht="15" hidden="false" customHeight="false" outlineLevel="0" collapsed="false">
      <c r="B75" s="38" t="s">
        <v>297</v>
      </c>
      <c r="C75" s="84" t="n">
        <v>4.5</v>
      </c>
      <c r="D75" s="85" t="n">
        <v>5.01</v>
      </c>
      <c r="E75" s="40" t="n">
        <f aca="false">COUNTIFS(d_RRating,"&gt;="&amp;$C75,d_RRating,"&lt;"&amp;$D75,d_Year,$P$4,d_City,$Q$4,d_Cuisine,$R$4,d_Pay,$S$4,d_Type,$T$4)</f>
        <v>256</v>
      </c>
      <c r="F75" s="51" t="n">
        <f aca="false">IFERROR(E75/COUNTIFS(d_ID,"&lt;&gt;",d_Year,$P$4,d_City,$Q$4,d_Cuisine,$R$4,d_Pay,$S$4,d_Type,$T$4),0)</f>
        <v>0.213333333333333</v>
      </c>
    </row>
    <row r="76" customFormat="false" ht="15" hidden="false" customHeight="false" outlineLevel="0" collapsed="false">
      <c r="B76" s="46" t="s">
        <v>69</v>
      </c>
      <c r="C76" s="47"/>
      <c r="D76" s="47"/>
      <c r="E76" s="48" t="n">
        <f aca="false">SUM(E71:E75)</f>
        <v>1200</v>
      </c>
      <c r="F76" s="53" t="n">
        <f aca="false">SUM(F71:F75)</f>
        <v>1</v>
      </c>
    </row>
    <row r="77" customFormat="false" ht="15" hidden="false" customHeight="false" outlineLevel="0" collapsed="false">
      <c r="B77" s="50" t="s">
        <v>298</v>
      </c>
    </row>
    <row r="80" customFormat="false" ht="15" hidden="false" customHeight="false" outlineLevel="0" collapsed="false">
      <c r="B80" s="35" t="s">
        <v>299</v>
      </c>
    </row>
    <row r="81" customFormat="false" ht="30" hidden="false" customHeight="true" outlineLevel="0" collapsed="false">
      <c r="B81" s="36" t="s">
        <v>124</v>
      </c>
      <c r="C81" s="37" t="s">
        <v>64</v>
      </c>
      <c r="D81" s="37" t="s">
        <v>128</v>
      </c>
      <c r="E81" s="37" t="s">
        <v>127</v>
      </c>
      <c r="F81" s="37" t="s">
        <v>300</v>
      </c>
      <c r="G81" s="37" t="s">
        <v>301</v>
      </c>
    </row>
    <row r="82" customFormat="false" ht="15" hidden="false" customHeight="false" outlineLevel="0" collapsed="false">
      <c r="B82" s="38" t="s">
        <v>131</v>
      </c>
      <c r="C82" s="40" t="n">
        <f aca="false">COUNTIFS(d_Rest,$B82,d_Year,$P$4,d_City,$Q$4,d_Cuisine,$R$4,d_Pay,$S$4,d_Type,$T$4)</f>
        <v>117</v>
      </c>
      <c r="D82" s="57" t="n">
        <f aca="false">IFERROR(AVERAGEIFS(d_CRating,d_Rest,$B82,d_Year,$P$4,d_City,$Q$4,d_Cuisine,$R$4,d_Pay,$S$4,d_Type,$T$4),0)</f>
        <v>4.08547008547009</v>
      </c>
      <c r="E82" s="57" t="n">
        <f aca="false">IFERROR(AVERAGEIFS(d_RRating,d_Rest,$B82,d_Year,$P$4,d_City,$Q$4,d_Cuisine,$R$4,d_Pay,$S$4,d_Type,$T$4),0)</f>
        <v>3.7042735042735</v>
      </c>
      <c r="F82" s="51" t="n">
        <f aca="false">IFERROR(COUNTIFS(d_Rest,$B82,d_CRating,"&gt;=4",d_Year,$P$4,d_City,$Q$4,d_Cuisine,$R$4,d_Pay,$S$4,d_Type,$T$4)/C82,0)</f>
        <v>0.735042735042735</v>
      </c>
      <c r="G82" s="51" t="n">
        <f aca="false">IFERROR(COUNTIFS(d_Rest,$B82,d_CRating,"&lt;=2",d_Year,$P$4,d_City,$Q$4,d_Cuisine,$R$4,d_Pay,$S$4,d_Type,$T$4)/C82,0)</f>
        <v>0.094017094017094</v>
      </c>
    </row>
    <row r="83" customFormat="false" ht="15" hidden="false" customHeight="false" outlineLevel="0" collapsed="false">
      <c r="B83" s="42" t="s">
        <v>132</v>
      </c>
      <c r="C83" s="44" t="n">
        <f aca="false">COUNTIFS(d_Rest,$B83,d_Year,$P$4,d_City,$Q$4,d_Cuisine,$R$4,d_Pay,$S$4,d_Type,$T$4)</f>
        <v>107</v>
      </c>
      <c r="D83" s="60" t="n">
        <f aca="false">IFERROR(AVERAGEIFS(d_CRating,d_Rest,$B83,d_Year,$P$4,d_City,$Q$4,d_Cuisine,$R$4,d_Pay,$S$4,d_Type,$T$4),0)</f>
        <v>3.90654205607477</v>
      </c>
      <c r="E83" s="60" t="n">
        <f aca="false">IFERROR(AVERAGEIFS(d_RRating,d_Rest,$B83,d_Year,$P$4,d_City,$Q$4,d_Cuisine,$R$4,d_Pay,$S$4,d_Type,$T$4),0)</f>
        <v>3.76261682242991</v>
      </c>
      <c r="F83" s="52" t="n">
        <f aca="false">IFERROR(COUNTIFS(d_Rest,$B83,d_CRating,"&gt;=4",d_Year,$P$4,d_City,$Q$4,d_Cuisine,$R$4,d_Pay,$S$4,d_Type,$T$4)/C83,0)</f>
        <v>0.719626168224299</v>
      </c>
      <c r="G83" s="52" t="n">
        <f aca="false">IFERROR(COUNTIFS(d_Rest,$B83,d_CRating,"&lt;=2",d_Year,$P$4,d_City,$Q$4,d_Cuisine,$R$4,d_Pay,$S$4,d_Type,$T$4)/C83,0)</f>
        <v>0.130841121495327</v>
      </c>
    </row>
    <row r="84" customFormat="false" ht="15" hidden="false" customHeight="false" outlineLevel="0" collapsed="false">
      <c r="B84" s="38" t="s">
        <v>133</v>
      </c>
      <c r="C84" s="40" t="n">
        <f aca="false">COUNTIFS(d_Rest,$B84,d_Year,$P$4,d_City,$Q$4,d_Cuisine,$R$4,d_Pay,$S$4,d_Type,$T$4)</f>
        <v>104</v>
      </c>
      <c r="D84" s="57" t="n">
        <f aca="false">IFERROR(AVERAGEIFS(d_CRating,d_Rest,$B84,d_Year,$P$4,d_City,$Q$4,d_Cuisine,$R$4,d_Pay,$S$4,d_Type,$T$4),0)</f>
        <v>4.24038461538462</v>
      </c>
      <c r="E84" s="57" t="n">
        <f aca="false">IFERROR(AVERAGEIFS(d_RRating,d_Rest,$B84,d_Year,$P$4,d_City,$Q$4,d_Cuisine,$R$4,d_Pay,$S$4,d_Type,$T$4),0)</f>
        <v>3.75865384615385</v>
      </c>
      <c r="F84" s="51" t="n">
        <f aca="false">IFERROR(COUNTIFS(d_Rest,$B84,d_CRating,"&gt;=4",d_Year,$P$4,d_City,$Q$4,d_Cuisine,$R$4,d_Pay,$S$4,d_Type,$T$4)/C84,0)</f>
        <v>0.836538461538462</v>
      </c>
      <c r="G84" s="51" t="n">
        <f aca="false">IFERROR(COUNTIFS(d_Rest,$B84,d_CRating,"&lt;=2",d_Year,$P$4,d_City,$Q$4,d_Cuisine,$R$4,d_Pay,$S$4,d_Type,$T$4)/C84,0)</f>
        <v>0.0961538461538462</v>
      </c>
    </row>
    <row r="85" customFormat="false" ht="15" hidden="false" customHeight="false" outlineLevel="0" collapsed="false">
      <c r="B85" s="42" t="s">
        <v>134</v>
      </c>
      <c r="C85" s="44" t="n">
        <f aca="false">COUNTIFS(d_Rest,$B85,d_Year,$P$4,d_City,$Q$4,d_Cuisine,$R$4,d_Pay,$S$4,d_Type,$T$4)</f>
        <v>102</v>
      </c>
      <c r="D85" s="60" t="n">
        <f aca="false">IFERROR(AVERAGEIFS(d_CRating,d_Rest,$B85,d_Year,$P$4,d_City,$Q$4,d_Cuisine,$R$4,d_Pay,$S$4,d_Type,$T$4),0)</f>
        <v>3.83333333333333</v>
      </c>
      <c r="E85" s="60" t="n">
        <f aca="false">IFERROR(AVERAGEIFS(d_RRating,d_Rest,$B85,d_Year,$P$4,d_City,$Q$4,d_Cuisine,$R$4,d_Pay,$S$4,d_Type,$T$4),0)</f>
        <v>3.76176470588235</v>
      </c>
      <c r="F85" s="52" t="n">
        <f aca="false">IFERROR(COUNTIFS(d_Rest,$B85,d_CRating,"&gt;=4",d_Year,$P$4,d_City,$Q$4,d_Cuisine,$R$4,d_Pay,$S$4,d_Type,$T$4)/C85,0)</f>
        <v>0.696078431372549</v>
      </c>
      <c r="G85" s="52" t="n">
        <f aca="false">IFERROR(COUNTIFS(d_Rest,$B85,d_CRating,"&lt;=2",d_Year,$P$4,d_City,$Q$4,d_Cuisine,$R$4,d_Pay,$S$4,d_Type,$T$4)/C85,0)</f>
        <v>0.127450980392157</v>
      </c>
    </row>
    <row r="86" customFormat="false" ht="15" hidden="false" customHeight="false" outlineLevel="0" collapsed="false">
      <c r="B86" s="38" t="s">
        <v>135</v>
      </c>
      <c r="C86" s="40" t="n">
        <f aca="false">COUNTIFS(d_Rest,$B86,d_Year,$P$4,d_City,$Q$4,d_Cuisine,$R$4,d_Pay,$S$4,d_Type,$T$4)</f>
        <v>101</v>
      </c>
      <c r="D86" s="57" t="n">
        <f aca="false">IFERROR(AVERAGEIFS(d_CRating,d_Rest,$B86,d_Year,$P$4,d_City,$Q$4,d_Cuisine,$R$4,d_Pay,$S$4,d_Type,$T$4),0)</f>
        <v>3.9009900990099</v>
      </c>
      <c r="E86" s="57" t="n">
        <f aca="false">IFERROR(AVERAGEIFS(d_RRating,d_Rest,$B86,d_Year,$P$4,d_City,$Q$4,d_Cuisine,$R$4,d_Pay,$S$4,d_Type,$T$4),0)</f>
        <v>3.62376237623762</v>
      </c>
      <c r="F86" s="51" t="n">
        <f aca="false">IFERROR(COUNTIFS(d_Rest,$B86,d_CRating,"&gt;=4",d_Year,$P$4,d_City,$Q$4,d_Cuisine,$R$4,d_Pay,$S$4,d_Type,$T$4)/C86,0)</f>
        <v>0.683168316831683</v>
      </c>
      <c r="G86" s="51" t="n">
        <f aca="false">IFERROR(COUNTIFS(d_Rest,$B86,d_CRating,"&lt;=2",d_Year,$P$4,d_City,$Q$4,d_Cuisine,$R$4,d_Pay,$S$4,d_Type,$T$4)/C86,0)</f>
        <v>0.128712871287129</v>
      </c>
    </row>
    <row r="87" customFormat="false" ht="15" hidden="false" customHeight="false" outlineLevel="0" collapsed="false">
      <c r="B87" s="42" t="s">
        <v>136</v>
      </c>
      <c r="C87" s="44" t="n">
        <f aca="false">COUNTIFS(d_Rest,$B87,d_Year,$P$4,d_City,$Q$4,d_Cuisine,$R$4,d_Pay,$S$4,d_Type,$T$4)</f>
        <v>100</v>
      </c>
      <c r="D87" s="60" t="n">
        <f aca="false">IFERROR(AVERAGEIFS(d_CRating,d_Rest,$B87,d_Year,$P$4,d_City,$Q$4,d_Cuisine,$R$4,d_Pay,$S$4,d_Type,$T$4),0)</f>
        <v>4</v>
      </c>
      <c r="E87" s="60" t="n">
        <f aca="false">IFERROR(AVERAGEIFS(d_RRating,d_Rest,$B87,d_Year,$P$4,d_City,$Q$4,d_Cuisine,$R$4,d_Pay,$S$4,d_Type,$T$4),0)</f>
        <v>3.676</v>
      </c>
      <c r="F87" s="52" t="n">
        <f aca="false">IFERROR(COUNTIFS(d_Rest,$B87,d_CRating,"&gt;=4",d_Year,$P$4,d_City,$Q$4,d_Cuisine,$R$4,d_Pay,$S$4,d_Type,$T$4)/C87,0)</f>
        <v>0.73</v>
      </c>
      <c r="G87" s="52" t="n">
        <f aca="false">IFERROR(COUNTIFS(d_Rest,$B87,d_CRating,"&lt;=2",d_Year,$P$4,d_City,$Q$4,d_Cuisine,$R$4,d_Pay,$S$4,d_Type,$T$4)/C87,0)</f>
        <v>0.11</v>
      </c>
    </row>
    <row r="88" customFormat="false" ht="15" hidden="false" customHeight="false" outlineLevel="0" collapsed="false">
      <c r="B88" s="38" t="s">
        <v>137</v>
      </c>
      <c r="C88" s="40" t="n">
        <f aca="false">COUNTIFS(d_Rest,$B88,d_Year,$P$4,d_City,$Q$4,d_Cuisine,$R$4,d_Pay,$S$4,d_Type,$T$4)</f>
        <v>99</v>
      </c>
      <c r="D88" s="57" t="n">
        <f aca="false">IFERROR(AVERAGEIFS(d_CRating,d_Rest,$B88,d_Year,$P$4,d_City,$Q$4,d_Cuisine,$R$4,d_Pay,$S$4,d_Type,$T$4),0)</f>
        <v>4.18181818181818</v>
      </c>
      <c r="E88" s="57" t="n">
        <f aca="false">IFERROR(AVERAGEIFS(d_RRating,d_Rest,$B88,d_Year,$P$4,d_City,$Q$4,d_Cuisine,$R$4,d_Pay,$S$4,d_Type,$T$4),0)</f>
        <v>3.86666666666667</v>
      </c>
      <c r="F88" s="51" t="n">
        <f aca="false">IFERROR(COUNTIFS(d_Rest,$B88,d_CRating,"&gt;=4",d_Year,$P$4,d_City,$Q$4,d_Cuisine,$R$4,d_Pay,$S$4,d_Type,$T$4)/C88,0)</f>
        <v>0.818181818181818</v>
      </c>
      <c r="G88" s="51" t="n">
        <f aca="false">IFERROR(COUNTIFS(d_Rest,$B88,d_CRating,"&lt;=2",d_Year,$P$4,d_City,$Q$4,d_Cuisine,$R$4,d_Pay,$S$4,d_Type,$T$4)/C88,0)</f>
        <v>0.0808080808080808</v>
      </c>
    </row>
    <row r="89" customFormat="false" ht="15" hidden="false" customHeight="false" outlineLevel="0" collapsed="false">
      <c r="B89" s="42" t="s">
        <v>138</v>
      </c>
      <c r="C89" s="44" t="n">
        <f aca="false">COUNTIFS(d_Rest,$B89,d_Year,$P$4,d_City,$Q$4,d_Cuisine,$R$4,d_Pay,$S$4,d_Type,$T$4)</f>
        <v>98</v>
      </c>
      <c r="D89" s="60" t="n">
        <f aca="false">IFERROR(AVERAGEIFS(d_CRating,d_Rest,$B89,d_Year,$P$4,d_City,$Q$4,d_Cuisine,$R$4,d_Pay,$S$4,d_Type,$T$4),0)</f>
        <v>4.18367346938776</v>
      </c>
      <c r="E89" s="60" t="n">
        <f aca="false">IFERROR(AVERAGEIFS(d_RRating,d_Rest,$B89,d_Year,$P$4,d_City,$Q$4,d_Cuisine,$R$4,d_Pay,$S$4,d_Type,$T$4),0)</f>
        <v>3.7</v>
      </c>
      <c r="F89" s="52" t="n">
        <f aca="false">IFERROR(COUNTIFS(d_Rest,$B89,d_CRating,"&gt;=4",d_Year,$P$4,d_City,$Q$4,d_Cuisine,$R$4,d_Pay,$S$4,d_Type,$T$4)/C89,0)</f>
        <v>0.806122448979592</v>
      </c>
      <c r="G89" s="52" t="n">
        <f aca="false">IFERROR(COUNTIFS(d_Rest,$B89,d_CRating,"&lt;=2",d_Year,$P$4,d_City,$Q$4,d_Cuisine,$R$4,d_Pay,$S$4,d_Type,$T$4)/C89,0)</f>
        <v>0.0714285714285714</v>
      </c>
    </row>
    <row r="90" customFormat="false" ht="15" hidden="false" customHeight="false" outlineLevel="0" collapsed="false">
      <c r="B90" s="38" t="s">
        <v>139</v>
      </c>
      <c r="C90" s="40" t="n">
        <f aca="false">COUNTIFS(d_Rest,$B90,d_Year,$P$4,d_City,$Q$4,d_Cuisine,$R$4,d_Pay,$S$4,d_Type,$T$4)</f>
        <v>97</v>
      </c>
      <c r="D90" s="57" t="n">
        <f aca="false">IFERROR(AVERAGEIFS(d_CRating,d_Rest,$B90,d_Year,$P$4,d_City,$Q$4,d_Cuisine,$R$4,d_Pay,$S$4,d_Type,$T$4),0)</f>
        <v>3.85567010309278</v>
      </c>
      <c r="E90" s="57" t="n">
        <f aca="false">IFERROR(AVERAGEIFS(d_RRating,d_Rest,$B90,d_Year,$P$4,d_City,$Q$4,d_Cuisine,$R$4,d_Pay,$S$4,d_Type,$T$4),0)</f>
        <v>3.76185567010309</v>
      </c>
      <c r="F90" s="51" t="n">
        <f aca="false">IFERROR(COUNTIFS(d_Rest,$B90,d_CRating,"&gt;=4",d_Year,$P$4,d_City,$Q$4,d_Cuisine,$R$4,d_Pay,$S$4,d_Type,$T$4)/C90,0)</f>
        <v>0.649484536082474</v>
      </c>
      <c r="G90" s="51" t="n">
        <f aca="false">IFERROR(COUNTIFS(d_Rest,$B90,d_CRating,"&lt;=2",d_Year,$P$4,d_City,$Q$4,d_Cuisine,$R$4,d_Pay,$S$4,d_Type,$T$4)/C90,0)</f>
        <v>0.164948453608247</v>
      </c>
    </row>
    <row r="91" customFormat="false" ht="15" hidden="false" customHeight="false" outlineLevel="0" collapsed="false">
      <c r="B91" s="42" t="s">
        <v>140</v>
      </c>
      <c r="C91" s="44" t="n">
        <f aca="false">COUNTIFS(d_Rest,$B91,d_Year,$P$4,d_City,$Q$4,d_Cuisine,$R$4,d_Pay,$S$4,d_Type,$T$4)</f>
        <v>93</v>
      </c>
      <c r="D91" s="60" t="n">
        <f aca="false">IFERROR(AVERAGEIFS(d_CRating,d_Rest,$B91,d_Year,$P$4,d_City,$Q$4,d_Cuisine,$R$4,d_Pay,$S$4,d_Type,$T$4),0)</f>
        <v>4.02150537634409</v>
      </c>
      <c r="E91" s="60" t="n">
        <f aca="false">IFERROR(AVERAGEIFS(d_RRating,d_Rest,$B91,d_Year,$P$4,d_City,$Q$4,d_Cuisine,$R$4,d_Pay,$S$4,d_Type,$T$4),0)</f>
        <v>3.72150537634409</v>
      </c>
      <c r="F91" s="52" t="n">
        <f aca="false">IFERROR(COUNTIFS(d_Rest,$B91,d_CRating,"&gt;=4",d_Year,$P$4,d_City,$Q$4,d_Cuisine,$R$4,d_Pay,$S$4,d_Type,$T$4)/C91,0)</f>
        <v>0.709677419354839</v>
      </c>
      <c r="G91" s="52" t="n">
        <f aca="false">IFERROR(COUNTIFS(d_Rest,$B91,d_CRating,"&lt;=2",d_Year,$P$4,d_City,$Q$4,d_Cuisine,$R$4,d_Pay,$S$4,d_Type,$T$4)/C91,0)</f>
        <v>0.10752688172043</v>
      </c>
    </row>
    <row r="92" customFormat="false" ht="15" hidden="false" customHeight="false" outlineLevel="0" collapsed="false">
      <c r="B92" s="38" t="s">
        <v>141</v>
      </c>
      <c r="C92" s="40" t="n">
        <f aca="false">COUNTIFS(d_Rest,$B92,d_Year,$P$4,d_City,$Q$4,d_Cuisine,$R$4,d_Pay,$S$4,d_Type,$T$4)</f>
        <v>93</v>
      </c>
      <c r="D92" s="57" t="n">
        <f aca="false">IFERROR(AVERAGEIFS(d_CRating,d_Rest,$B92,d_Year,$P$4,d_City,$Q$4,d_Cuisine,$R$4,d_Pay,$S$4,d_Type,$T$4),0)</f>
        <v>3.96774193548387</v>
      </c>
      <c r="E92" s="57" t="n">
        <f aca="false">IFERROR(AVERAGEIFS(d_RRating,d_Rest,$B92,d_Year,$P$4,d_City,$Q$4,d_Cuisine,$R$4,d_Pay,$S$4,d_Type,$T$4),0)</f>
        <v>3.60215053763441</v>
      </c>
      <c r="F92" s="51" t="n">
        <f aca="false">IFERROR(COUNTIFS(d_Rest,$B92,d_CRating,"&gt;=4",d_Year,$P$4,d_City,$Q$4,d_Cuisine,$R$4,d_Pay,$S$4,d_Type,$T$4)/C92,0)</f>
        <v>0.645161290322581</v>
      </c>
      <c r="G92" s="51" t="n">
        <f aca="false">IFERROR(COUNTIFS(d_Rest,$B92,d_CRating,"&lt;=2",d_Year,$P$4,d_City,$Q$4,d_Cuisine,$R$4,d_Pay,$S$4,d_Type,$T$4)/C92,0)</f>
        <v>0.0860215053763441</v>
      </c>
    </row>
    <row r="93" customFormat="false" ht="15" hidden="false" customHeight="false" outlineLevel="0" collapsed="false">
      <c r="B93" s="42" t="s">
        <v>142</v>
      </c>
      <c r="C93" s="44" t="n">
        <f aca="false">COUNTIFS(d_Rest,$B93,d_Year,$P$4,d_City,$Q$4,d_Cuisine,$R$4,d_Pay,$S$4,d_Type,$T$4)</f>
        <v>89</v>
      </c>
      <c r="D93" s="60" t="n">
        <f aca="false">IFERROR(AVERAGEIFS(d_CRating,d_Rest,$B93,d_Year,$P$4,d_City,$Q$4,d_Cuisine,$R$4,d_Pay,$S$4,d_Type,$T$4),0)</f>
        <v>4.03370786516854</v>
      </c>
      <c r="E93" s="60" t="n">
        <f aca="false">IFERROR(AVERAGEIFS(d_RRating,d_Rest,$B93,d_Year,$P$4,d_City,$Q$4,d_Cuisine,$R$4,d_Pay,$S$4,d_Type,$T$4),0)</f>
        <v>3.6561797752809</v>
      </c>
      <c r="F93" s="52" t="n">
        <f aca="false">IFERROR(COUNTIFS(d_Rest,$B93,d_CRating,"&gt;=4",d_Year,$P$4,d_City,$Q$4,d_Cuisine,$R$4,d_Pay,$S$4,d_Type,$T$4)/C93,0)</f>
        <v>0.752808988764045</v>
      </c>
      <c r="G93" s="52" t="n">
        <f aca="false">IFERROR(COUNTIFS(d_Rest,$B93,d_CRating,"&lt;=2",d_Year,$P$4,d_City,$Q$4,d_Cuisine,$R$4,d_Pay,$S$4,d_Type,$T$4)/C93,0)</f>
        <v>0.134831460674157</v>
      </c>
    </row>
    <row r="96" customFormat="false" ht="15" hidden="false" customHeight="false" outlineLevel="0" collapsed="false">
      <c r="B96" s="35" t="s">
        <v>302</v>
      </c>
    </row>
    <row r="97" customFormat="false" ht="30" hidden="false" customHeight="true" outlineLevel="0" collapsed="false">
      <c r="B97" s="36" t="s">
        <v>80</v>
      </c>
      <c r="C97" s="37" t="s">
        <v>64</v>
      </c>
      <c r="D97" s="37" t="s">
        <v>128</v>
      </c>
      <c r="E97" s="37" t="s">
        <v>127</v>
      </c>
      <c r="F97" s="37" t="s">
        <v>300</v>
      </c>
      <c r="G97" s="37" t="s">
        <v>301</v>
      </c>
    </row>
    <row r="98" customFormat="false" ht="15" hidden="false" customHeight="false" outlineLevel="0" collapsed="false">
      <c r="B98" s="38" t="s">
        <v>81</v>
      </c>
      <c r="C98" s="40" t="n">
        <f aca="false">COUNTIFS(d_Cuisine,$B98,d_Year,$P$4,d_City,$Q$4,d_Cuisine,$R$4,d_Pay,$S$4,d_Type,$T$4)</f>
        <v>138</v>
      </c>
      <c r="D98" s="57" t="n">
        <f aca="false">IFERROR(AVERAGEIFS(d_CRating,d_Cuisine,$B98,d_Year,$P$4,d_City,$Q$4,d_Cuisine,$R$4,d_Pay,$S$4,d_Type,$T$4),0)</f>
        <v>3.95652173913043</v>
      </c>
      <c r="E98" s="57" t="n">
        <f aca="false">IFERROR(AVERAGEIFS(d_RRating,d_Cuisine,$B98,d_Year,$P$4,d_City,$Q$4,d_Cuisine,$R$4,d_Pay,$S$4,d_Type,$T$4),0)</f>
        <v>3.7536231884058</v>
      </c>
      <c r="F98" s="51" t="n">
        <f aca="false">IFERROR(COUNTIFS(d_Cuisine,$B98,d_CRating,"&gt;=4",d_Year,$P$4,d_City,$Q$4,d_Cuisine,$R$4,d_Pay,$S$4,d_Type,$T$4)/C98,0)</f>
        <v>0.702898550724638</v>
      </c>
      <c r="G98" s="51" t="n">
        <f aca="false">IFERROR(COUNTIFS(d_Cuisine,$B98,d_CRating,"&lt;=2",d_Year,$P$4,d_City,$Q$4,d_Cuisine,$R$4,d_Pay,$S$4,d_Type,$T$4)/C98,0)</f>
        <v>0.130434782608696</v>
      </c>
    </row>
    <row r="99" customFormat="false" ht="15" hidden="false" customHeight="false" outlineLevel="0" collapsed="false">
      <c r="B99" s="42" t="s">
        <v>82</v>
      </c>
      <c r="C99" s="44" t="n">
        <f aca="false">COUNTIFS(d_Cuisine,$B99,d_Year,$P$4,d_City,$Q$4,d_Cuisine,$R$4,d_Pay,$S$4,d_Type,$T$4)</f>
        <v>136</v>
      </c>
      <c r="D99" s="60" t="n">
        <f aca="false">IFERROR(AVERAGEIFS(d_CRating,d_Cuisine,$B99,d_Year,$P$4,d_City,$Q$4,d_Cuisine,$R$4,d_Pay,$S$4,d_Type,$T$4),0)</f>
        <v>4.11764705882353</v>
      </c>
      <c r="E99" s="60" t="n">
        <f aca="false">IFERROR(AVERAGEIFS(d_RRating,d_Cuisine,$B99,d_Year,$P$4,d_City,$Q$4,d_Cuisine,$R$4,d_Pay,$S$4,d_Type,$T$4),0)</f>
        <v>3.65882352941177</v>
      </c>
      <c r="F99" s="52" t="n">
        <f aca="false">IFERROR(COUNTIFS(d_Cuisine,$B99,d_CRating,"&gt;=4",d_Year,$P$4,d_City,$Q$4,d_Cuisine,$R$4,d_Pay,$S$4,d_Type,$T$4)/C99,0)</f>
        <v>0.75</v>
      </c>
      <c r="G99" s="52" t="n">
        <f aca="false">IFERROR(COUNTIFS(d_Cuisine,$B99,d_CRating,"&lt;=2",d_Year,$P$4,d_City,$Q$4,d_Cuisine,$R$4,d_Pay,$S$4,d_Type,$T$4)/C99,0)</f>
        <v>0.0661764705882353</v>
      </c>
    </row>
    <row r="100" customFormat="false" ht="15" hidden="false" customHeight="false" outlineLevel="0" collapsed="false">
      <c r="B100" s="38" t="s">
        <v>83</v>
      </c>
      <c r="C100" s="40" t="n">
        <f aca="false">COUNTIFS(d_Cuisine,$B100,d_Year,$P$4,d_City,$Q$4,d_Cuisine,$R$4,d_Pay,$S$4,d_Type,$T$4)</f>
        <v>128</v>
      </c>
      <c r="D100" s="57" t="n">
        <f aca="false">IFERROR(AVERAGEIFS(d_CRating,d_Cuisine,$B100,d_Year,$P$4,d_City,$Q$4,d_Cuisine,$R$4,d_Pay,$S$4,d_Type,$T$4),0)</f>
        <v>4.046875</v>
      </c>
      <c r="E100" s="57" t="n">
        <f aca="false">IFERROR(AVERAGEIFS(d_RRating,d_Cuisine,$B100,d_Year,$P$4,d_City,$Q$4,d_Cuisine,$R$4,d_Pay,$S$4,d_Type,$T$4),0)</f>
        <v>3.709375</v>
      </c>
      <c r="F100" s="51" t="n">
        <f aca="false">IFERROR(COUNTIFS(d_Cuisine,$B100,d_CRating,"&gt;=4",d_Year,$P$4,d_City,$Q$4,d_Cuisine,$R$4,d_Pay,$S$4,d_Type,$T$4)/C100,0)</f>
        <v>0.734375</v>
      </c>
      <c r="G100" s="51" t="n">
        <f aca="false">IFERROR(COUNTIFS(d_Cuisine,$B100,d_CRating,"&lt;=2",d_Year,$P$4,d_City,$Q$4,d_Cuisine,$R$4,d_Pay,$S$4,d_Type,$T$4)/C100,0)</f>
        <v>0.0859375</v>
      </c>
    </row>
    <row r="101" customFormat="false" ht="15" hidden="false" customHeight="false" outlineLevel="0" collapsed="false">
      <c r="B101" s="42" t="s">
        <v>84</v>
      </c>
      <c r="C101" s="44" t="n">
        <f aca="false">COUNTIFS(d_Cuisine,$B101,d_Year,$P$4,d_City,$Q$4,d_Cuisine,$R$4,d_Pay,$S$4,d_Type,$T$4)</f>
        <v>122</v>
      </c>
      <c r="D101" s="60" t="n">
        <f aca="false">IFERROR(AVERAGEIFS(d_CRating,d_Cuisine,$B101,d_Year,$P$4,d_City,$Q$4,d_Cuisine,$R$4,d_Pay,$S$4,d_Type,$T$4),0)</f>
        <v>4.11475409836066</v>
      </c>
      <c r="E101" s="60" t="n">
        <f aca="false">IFERROR(AVERAGEIFS(d_RRating,d_Cuisine,$B101,d_Year,$P$4,d_City,$Q$4,d_Cuisine,$R$4,d_Pay,$S$4,d_Type,$T$4),0)</f>
        <v>3.7672131147541</v>
      </c>
      <c r="F101" s="52" t="n">
        <f aca="false">IFERROR(COUNTIFS(d_Cuisine,$B101,d_CRating,"&gt;=4",d_Year,$P$4,d_City,$Q$4,d_Cuisine,$R$4,d_Pay,$S$4,d_Type,$T$4)/C101,0)</f>
        <v>0.762295081967213</v>
      </c>
      <c r="G101" s="52" t="n">
        <f aca="false">IFERROR(COUNTIFS(d_Cuisine,$B101,d_CRating,"&lt;=2",d_Year,$P$4,d_City,$Q$4,d_Cuisine,$R$4,d_Pay,$S$4,d_Type,$T$4)/C101,0)</f>
        <v>0.131147540983607</v>
      </c>
    </row>
    <row r="102" customFormat="false" ht="15" hidden="false" customHeight="false" outlineLevel="0" collapsed="false">
      <c r="B102" s="38" t="s">
        <v>85</v>
      </c>
      <c r="C102" s="40" t="n">
        <f aca="false">COUNTIFS(d_Cuisine,$B102,d_Year,$P$4,d_City,$Q$4,d_Cuisine,$R$4,d_Pay,$S$4,d_Type,$T$4)</f>
        <v>121</v>
      </c>
      <c r="D102" s="57" t="n">
        <f aca="false">IFERROR(AVERAGEIFS(d_CRating,d_Cuisine,$B102,d_Year,$P$4,d_City,$Q$4,d_Cuisine,$R$4,d_Pay,$S$4,d_Type,$T$4),0)</f>
        <v>3.94214876033058</v>
      </c>
      <c r="E102" s="57" t="n">
        <f aca="false">IFERROR(AVERAGEIFS(d_RRating,d_Cuisine,$B102,d_Year,$P$4,d_City,$Q$4,d_Cuisine,$R$4,d_Pay,$S$4,d_Type,$T$4),0)</f>
        <v>3.69586776859504</v>
      </c>
      <c r="F102" s="51" t="n">
        <f aca="false">IFERROR(COUNTIFS(d_Cuisine,$B102,d_CRating,"&gt;=4",d_Year,$P$4,d_City,$Q$4,d_Cuisine,$R$4,d_Pay,$S$4,d_Type,$T$4)/C102,0)</f>
        <v>0.694214876033058</v>
      </c>
      <c r="G102" s="51" t="n">
        <f aca="false">IFERROR(COUNTIFS(d_Cuisine,$B102,d_CRating,"&lt;=2",d_Year,$P$4,d_City,$Q$4,d_Cuisine,$R$4,d_Pay,$S$4,d_Type,$T$4)/C102,0)</f>
        <v>0.0991735537190083</v>
      </c>
    </row>
    <row r="103" customFormat="false" ht="15" hidden="false" customHeight="false" outlineLevel="0" collapsed="false">
      <c r="B103" s="42" t="s">
        <v>86</v>
      </c>
      <c r="C103" s="44" t="n">
        <f aca="false">COUNTIFS(d_Cuisine,$B103,d_Year,$P$4,d_City,$Q$4,d_Cuisine,$R$4,d_Pay,$S$4,d_Type,$T$4)</f>
        <v>116</v>
      </c>
      <c r="D103" s="60" t="n">
        <f aca="false">IFERROR(AVERAGEIFS(d_CRating,d_Cuisine,$B103,d_Year,$P$4,d_City,$Q$4,d_Cuisine,$R$4,d_Pay,$S$4,d_Type,$T$4),0)</f>
        <v>4.11206896551724</v>
      </c>
      <c r="E103" s="60" t="n">
        <f aca="false">IFERROR(AVERAGEIFS(d_RRating,d_Cuisine,$B103,d_Year,$P$4,d_City,$Q$4,d_Cuisine,$R$4,d_Pay,$S$4,d_Type,$T$4),0)</f>
        <v>3.70172413793103</v>
      </c>
      <c r="F103" s="52" t="n">
        <f aca="false">IFERROR(COUNTIFS(d_Cuisine,$B103,d_CRating,"&gt;=4",d_Year,$P$4,d_City,$Q$4,d_Cuisine,$R$4,d_Pay,$S$4,d_Type,$T$4)/C103,0)</f>
        <v>0.758620689655172</v>
      </c>
      <c r="G103" s="52" t="n">
        <f aca="false">IFERROR(COUNTIFS(d_Cuisine,$B103,d_CRating,"&lt;=2",d_Year,$P$4,d_City,$Q$4,d_Cuisine,$R$4,d_Pay,$S$4,d_Type,$T$4)/C103,0)</f>
        <v>0.0603448275862069</v>
      </c>
    </row>
    <row r="104" customFormat="false" ht="15" hidden="false" customHeight="false" outlineLevel="0" collapsed="false">
      <c r="B104" s="38" t="s">
        <v>87</v>
      </c>
      <c r="C104" s="40" t="n">
        <f aca="false">COUNTIFS(d_Cuisine,$B104,d_Year,$P$4,d_City,$Q$4,d_Cuisine,$R$4,d_Pay,$S$4,d_Type,$T$4)</f>
        <v>115</v>
      </c>
      <c r="D104" s="57" t="n">
        <f aca="false">IFERROR(AVERAGEIFS(d_CRating,d_Cuisine,$B104,d_Year,$P$4,d_City,$Q$4,d_Cuisine,$R$4,d_Pay,$S$4,d_Type,$T$4),0)</f>
        <v>3.99130434782609</v>
      </c>
      <c r="E104" s="57" t="n">
        <f aca="false">IFERROR(AVERAGEIFS(d_RRating,d_Cuisine,$B104,d_Year,$P$4,d_City,$Q$4,d_Cuisine,$R$4,d_Pay,$S$4,d_Type,$T$4),0)</f>
        <v>3.81130434782609</v>
      </c>
      <c r="F104" s="51" t="n">
        <f aca="false">IFERROR(COUNTIFS(d_Cuisine,$B104,d_CRating,"&gt;=4",d_Year,$P$4,d_City,$Q$4,d_Cuisine,$R$4,d_Pay,$S$4,d_Type,$T$4)/C104,0)</f>
        <v>0.730434782608696</v>
      </c>
      <c r="G104" s="51" t="n">
        <f aca="false">IFERROR(COUNTIFS(d_Cuisine,$B104,d_CRating,"&lt;=2",d_Year,$P$4,d_City,$Q$4,d_Cuisine,$R$4,d_Pay,$S$4,d_Type,$T$4)/C104,0)</f>
        <v>0.130434782608696</v>
      </c>
    </row>
    <row r="105" customFormat="false" ht="15" hidden="false" customHeight="false" outlineLevel="0" collapsed="false">
      <c r="B105" s="42" t="s">
        <v>88</v>
      </c>
      <c r="C105" s="44" t="n">
        <f aca="false">COUNTIFS(d_Cuisine,$B105,d_Year,$P$4,d_City,$Q$4,d_Cuisine,$R$4,d_Pay,$S$4,d_Type,$T$4)</f>
        <v>114</v>
      </c>
      <c r="D105" s="60" t="n">
        <f aca="false">IFERROR(AVERAGEIFS(d_CRating,d_Cuisine,$B105,d_Year,$P$4,d_City,$Q$4,d_Cuisine,$R$4,d_Pay,$S$4,d_Type,$T$4),0)</f>
        <v>3.79824561403509</v>
      </c>
      <c r="E105" s="60" t="n">
        <f aca="false">IFERROR(AVERAGEIFS(d_RRating,d_Cuisine,$B105,d_Year,$P$4,d_City,$Q$4,d_Cuisine,$R$4,d_Pay,$S$4,d_Type,$T$4),0)</f>
        <v>3.76754385964912</v>
      </c>
      <c r="F105" s="52" t="n">
        <f aca="false">IFERROR(COUNTIFS(d_Cuisine,$B105,d_CRating,"&gt;=4",d_Year,$P$4,d_City,$Q$4,d_Cuisine,$R$4,d_Pay,$S$4,d_Type,$T$4)/C105,0)</f>
        <v>0.649122807017544</v>
      </c>
      <c r="G105" s="52" t="n">
        <f aca="false">IFERROR(COUNTIFS(d_Cuisine,$B105,d_CRating,"&lt;=2",d_Year,$P$4,d_City,$Q$4,d_Cuisine,$R$4,d_Pay,$S$4,d_Type,$T$4)/C105,0)</f>
        <v>0.175438596491228</v>
      </c>
    </row>
    <row r="106" customFormat="false" ht="15" hidden="false" customHeight="false" outlineLevel="0" collapsed="false">
      <c r="B106" s="38" t="s">
        <v>89</v>
      </c>
      <c r="C106" s="40" t="n">
        <f aca="false">COUNTIFS(d_Cuisine,$B106,d_Year,$P$4,d_City,$Q$4,d_Cuisine,$R$4,d_Pay,$S$4,d_Type,$T$4)</f>
        <v>109</v>
      </c>
      <c r="D106" s="57" t="n">
        <f aca="false">IFERROR(AVERAGEIFS(d_CRating,d_Cuisine,$B106,d_Year,$P$4,d_City,$Q$4,d_Cuisine,$R$4,d_Pay,$S$4,d_Type,$T$4),0)</f>
        <v>4.02752293577982</v>
      </c>
      <c r="E106" s="57" t="n">
        <f aca="false">IFERROR(AVERAGEIFS(d_RRating,d_Cuisine,$B106,d_Year,$P$4,d_City,$Q$4,d_Cuisine,$R$4,d_Pay,$S$4,d_Type,$T$4),0)</f>
        <v>3.61467889908257</v>
      </c>
      <c r="F106" s="51" t="n">
        <f aca="false">IFERROR(COUNTIFS(d_Cuisine,$B106,d_CRating,"&gt;=4",d_Year,$P$4,d_City,$Q$4,d_Cuisine,$R$4,d_Pay,$S$4,d_Type,$T$4)/C106,0)</f>
        <v>0.788990825688073</v>
      </c>
      <c r="G106" s="51" t="n">
        <f aca="false">IFERROR(COUNTIFS(d_Cuisine,$B106,d_CRating,"&lt;=2",d_Year,$P$4,d_City,$Q$4,d_Cuisine,$R$4,d_Pay,$S$4,d_Type,$T$4)/C106,0)</f>
        <v>0.119266055045872</v>
      </c>
    </row>
    <row r="107" customFormat="false" ht="15" hidden="false" customHeight="false" outlineLevel="0" collapsed="false">
      <c r="B107" s="42" t="s">
        <v>90</v>
      </c>
      <c r="C107" s="44" t="n">
        <f aca="false">COUNTIFS(d_Cuisine,$B107,d_Year,$P$4,d_City,$Q$4,d_Cuisine,$R$4,d_Pay,$S$4,d_Type,$T$4)</f>
        <v>101</v>
      </c>
      <c r="D107" s="60" t="n">
        <f aca="false">IFERROR(AVERAGEIFS(d_CRating,d_Cuisine,$B107,d_Year,$P$4,d_City,$Q$4,d_Cuisine,$R$4,d_Pay,$S$4,d_Type,$T$4),0)</f>
        <v>4.06930693069307</v>
      </c>
      <c r="E107" s="60" t="n">
        <f aca="false">IFERROR(AVERAGEIFS(d_RRating,d_Cuisine,$B107,d_Year,$P$4,d_City,$Q$4,d_Cuisine,$R$4,d_Pay,$S$4,d_Type,$T$4),0)</f>
        <v>3.68910891089109</v>
      </c>
      <c r="F107" s="52" t="n">
        <f aca="false">IFERROR(COUNTIFS(d_Cuisine,$B107,d_CRating,"&gt;=4",d_Year,$P$4,d_City,$Q$4,d_Cuisine,$R$4,d_Pay,$S$4,d_Type,$T$4)/C107,0)</f>
        <v>0.762376237623762</v>
      </c>
      <c r="G107" s="52" t="n">
        <f aca="false">IFERROR(COUNTIFS(d_Cuisine,$B107,d_CRating,"&lt;=2",d_Year,$P$4,d_City,$Q$4,d_Cuisine,$R$4,d_Pay,$S$4,d_Type,$T$4)/C107,0)</f>
        <v>0.118811881188119</v>
      </c>
    </row>
    <row r="110" customFormat="false" ht="15" hidden="false" customHeight="false" outlineLevel="0" collapsed="false">
      <c r="B110" s="35" t="s">
        <v>303</v>
      </c>
    </row>
    <row r="111" customFormat="false" ht="30" hidden="false" customHeight="true" outlineLevel="0" collapsed="false">
      <c r="B111" s="36" t="s">
        <v>99</v>
      </c>
      <c r="C111" s="37" t="s">
        <v>64</v>
      </c>
      <c r="D111" s="37" t="s">
        <v>128</v>
      </c>
      <c r="E111" s="37" t="s">
        <v>127</v>
      </c>
      <c r="F111" s="37" t="s">
        <v>300</v>
      </c>
      <c r="G111" s="37" t="s">
        <v>301</v>
      </c>
    </row>
    <row r="112" customFormat="false" ht="15" hidden="false" customHeight="false" outlineLevel="0" collapsed="false">
      <c r="B112" s="38" t="s">
        <v>100</v>
      </c>
      <c r="C112" s="40" t="n">
        <f aca="false">COUNTIFS(d_City,$B112,d_Year,$P$4,d_City,$Q$4,d_Cuisine,$R$4,d_Pay,$S$4,d_Type,$T$4)</f>
        <v>119</v>
      </c>
      <c r="D112" s="57" t="n">
        <f aca="false">IFERROR(AVERAGEIFS(d_CRating,d_City,$B112,d_Year,$P$4,d_City,$Q$4,d_Cuisine,$R$4,d_Pay,$S$4,d_Type,$T$4),0)</f>
        <v>4.13445378151261</v>
      </c>
      <c r="E112" s="57" t="n">
        <f aca="false">IFERROR(AVERAGEIFS(d_RRating,d_City,$B112,d_Year,$P$4,d_City,$Q$4,d_Cuisine,$R$4,d_Pay,$S$4,d_Type,$T$4),0)</f>
        <v>3.7781512605042</v>
      </c>
      <c r="F112" s="51" t="n">
        <f aca="false">IFERROR(COUNTIFS(d_City,$B112,d_CRating,"&gt;=4",d_Year,$P$4,d_City,$Q$4,d_Cuisine,$R$4,d_Pay,$S$4,d_Type,$T$4)/C112,0)</f>
        <v>0.798319327731093</v>
      </c>
      <c r="G112" s="51" t="n">
        <f aca="false">IFERROR(COUNTIFS(d_City,$B112,d_CRating,"&lt;=2",d_Year,$P$4,d_City,$Q$4,d_Cuisine,$R$4,d_Pay,$S$4,d_Type,$T$4)/C112,0)</f>
        <v>0.0840336134453782</v>
      </c>
    </row>
    <row r="113" customFormat="false" ht="15" hidden="false" customHeight="false" outlineLevel="0" collapsed="false">
      <c r="B113" s="42" t="s">
        <v>101</v>
      </c>
      <c r="C113" s="44" t="n">
        <f aca="false">COUNTIFS(d_City,$B113,d_Year,$P$4,d_City,$Q$4,d_Cuisine,$R$4,d_Pay,$S$4,d_Type,$T$4)</f>
        <v>114</v>
      </c>
      <c r="D113" s="60" t="n">
        <f aca="false">IFERROR(AVERAGEIFS(d_CRating,d_City,$B113,d_Year,$P$4,d_City,$Q$4,d_Cuisine,$R$4,d_Pay,$S$4,d_Type,$T$4),0)</f>
        <v>3.99122807017544</v>
      </c>
      <c r="E113" s="60" t="n">
        <f aca="false">IFERROR(AVERAGEIFS(d_RRating,d_City,$B113,d_Year,$P$4,d_City,$Q$4,d_Cuisine,$R$4,d_Pay,$S$4,d_Type,$T$4),0)</f>
        <v>3.63421052631579</v>
      </c>
      <c r="F113" s="52" t="n">
        <f aca="false">IFERROR(COUNTIFS(d_City,$B113,d_CRating,"&gt;=4",d_Year,$P$4,d_City,$Q$4,d_Cuisine,$R$4,d_Pay,$S$4,d_Type,$T$4)/C113,0)</f>
        <v>0.745614035087719</v>
      </c>
      <c r="G113" s="52" t="n">
        <f aca="false">IFERROR(COUNTIFS(d_City,$B113,d_CRating,"&lt;=2",d_Year,$P$4,d_City,$Q$4,d_Cuisine,$R$4,d_Pay,$S$4,d_Type,$T$4)/C113,0)</f>
        <v>0.131578947368421</v>
      </c>
    </row>
    <row r="114" customFormat="false" ht="15" hidden="false" customHeight="false" outlineLevel="0" collapsed="false">
      <c r="B114" s="38" t="s">
        <v>102</v>
      </c>
      <c r="C114" s="40" t="n">
        <f aca="false">COUNTIFS(d_City,$B114,d_Year,$P$4,d_City,$Q$4,d_Cuisine,$R$4,d_Pay,$S$4,d_Type,$T$4)</f>
        <v>110</v>
      </c>
      <c r="D114" s="57" t="n">
        <f aca="false">IFERROR(AVERAGEIFS(d_CRating,d_City,$B114,d_Year,$P$4,d_City,$Q$4,d_Cuisine,$R$4,d_Pay,$S$4,d_Type,$T$4),0)</f>
        <v>4.10909090909091</v>
      </c>
      <c r="E114" s="57" t="n">
        <f aca="false">IFERROR(AVERAGEIFS(d_RRating,d_City,$B114,d_Year,$P$4,d_City,$Q$4,d_Cuisine,$R$4,d_Pay,$S$4,d_Type,$T$4),0)</f>
        <v>3.70454545454545</v>
      </c>
      <c r="F114" s="51" t="n">
        <f aca="false">IFERROR(COUNTIFS(d_City,$B114,d_CRating,"&gt;=4",d_Year,$P$4,d_City,$Q$4,d_Cuisine,$R$4,d_Pay,$S$4,d_Type,$T$4)/C114,0)</f>
        <v>0.772727272727273</v>
      </c>
      <c r="G114" s="51" t="n">
        <f aca="false">IFERROR(COUNTIFS(d_City,$B114,d_CRating,"&lt;=2",d_Year,$P$4,d_City,$Q$4,d_Cuisine,$R$4,d_Pay,$S$4,d_Type,$T$4)/C114,0)</f>
        <v>0.1</v>
      </c>
    </row>
    <row r="115" customFormat="false" ht="15" hidden="false" customHeight="false" outlineLevel="0" collapsed="false">
      <c r="B115" s="42" t="s">
        <v>103</v>
      </c>
      <c r="C115" s="44" t="n">
        <f aca="false">COUNTIFS(d_City,$B115,d_Year,$P$4,d_City,$Q$4,d_Cuisine,$R$4,d_Pay,$S$4,d_Type,$T$4)</f>
        <v>108</v>
      </c>
      <c r="D115" s="60" t="n">
        <f aca="false">IFERROR(AVERAGEIFS(d_CRating,d_City,$B115,d_Year,$P$4,d_City,$Q$4,d_Cuisine,$R$4,d_Pay,$S$4,d_Type,$T$4),0)</f>
        <v>4</v>
      </c>
      <c r="E115" s="60" t="n">
        <f aca="false">IFERROR(AVERAGEIFS(d_RRating,d_City,$B115,d_Year,$P$4,d_City,$Q$4,d_Cuisine,$R$4,d_Pay,$S$4,d_Type,$T$4),0)</f>
        <v>3.71018518518519</v>
      </c>
      <c r="F115" s="52" t="n">
        <f aca="false">IFERROR(COUNTIFS(d_City,$B115,d_CRating,"&gt;=4",d_Year,$P$4,d_City,$Q$4,d_Cuisine,$R$4,d_Pay,$S$4,d_Type,$T$4)/C115,0)</f>
        <v>0.703703703703704</v>
      </c>
      <c r="G115" s="52" t="n">
        <f aca="false">IFERROR(COUNTIFS(d_City,$B115,d_CRating,"&lt;=2",d_Year,$P$4,d_City,$Q$4,d_Cuisine,$R$4,d_Pay,$S$4,d_Type,$T$4)/C115,0)</f>
        <v>0.0925925925925926</v>
      </c>
    </row>
    <row r="116" customFormat="false" ht="15" hidden="false" customHeight="false" outlineLevel="0" collapsed="false">
      <c r="B116" s="38" t="s">
        <v>104</v>
      </c>
      <c r="C116" s="40" t="n">
        <f aca="false">COUNTIFS(d_City,$B116,d_Year,$P$4,d_City,$Q$4,d_Cuisine,$R$4,d_Pay,$S$4,d_Type,$T$4)</f>
        <v>107</v>
      </c>
      <c r="D116" s="57" t="n">
        <f aca="false">IFERROR(AVERAGEIFS(d_CRating,d_City,$B116,d_Year,$P$4,d_City,$Q$4,d_Cuisine,$R$4,d_Pay,$S$4,d_Type,$T$4),0)</f>
        <v>3.94392523364486</v>
      </c>
      <c r="E116" s="57" t="n">
        <f aca="false">IFERROR(AVERAGEIFS(d_RRating,d_City,$B116,d_Year,$P$4,d_City,$Q$4,d_Cuisine,$R$4,d_Pay,$S$4,d_Type,$T$4),0)</f>
        <v>3.70560747663551</v>
      </c>
      <c r="F116" s="51" t="n">
        <f aca="false">IFERROR(COUNTIFS(d_City,$B116,d_CRating,"&gt;=4",d_Year,$P$4,d_City,$Q$4,d_Cuisine,$R$4,d_Pay,$S$4,d_Type,$T$4)/C116,0)</f>
        <v>0.700934579439252</v>
      </c>
      <c r="G116" s="51" t="n">
        <f aca="false">IFERROR(COUNTIFS(d_City,$B116,d_CRating,"&lt;=2",d_Year,$P$4,d_City,$Q$4,d_Cuisine,$R$4,d_Pay,$S$4,d_Type,$T$4)/C116,0)</f>
        <v>0.121495327102804</v>
      </c>
    </row>
    <row r="117" customFormat="false" ht="15" hidden="false" customHeight="false" outlineLevel="0" collapsed="false">
      <c r="B117" s="42" t="s">
        <v>105</v>
      </c>
      <c r="C117" s="44" t="n">
        <f aca="false">COUNTIFS(d_City,$B117,d_Year,$P$4,d_City,$Q$4,d_Cuisine,$R$4,d_Pay,$S$4,d_Type,$T$4)</f>
        <v>102</v>
      </c>
      <c r="D117" s="60" t="n">
        <f aca="false">IFERROR(AVERAGEIFS(d_CRating,d_City,$B117,d_Year,$P$4,d_City,$Q$4,d_Cuisine,$R$4,d_Pay,$S$4,d_Type,$T$4),0)</f>
        <v>4</v>
      </c>
      <c r="E117" s="60" t="n">
        <f aca="false">IFERROR(AVERAGEIFS(d_RRating,d_City,$B117,d_Year,$P$4,d_City,$Q$4,d_Cuisine,$R$4,d_Pay,$S$4,d_Type,$T$4),0)</f>
        <v>3.74509803921569</v>
      </c>
      <c r="F117" s="52" t="n">
        <f aca="false">IFERROR(COUNTIFS(d_City,$B117,d_CRating,"&gt;=4",d_Year,$P$4,d_City,$Q$4,d_Cuisine,$R$4,d_Pay,$S$4,d_Type,$T$4)/C117,0)</f>
        <v>0.705882352941177</v>
      </c>
      <c r="G117" s="52" t="n">
        <f aca="false">IFERROR(COUNTIFS(d_City,$B117,d_CRating,"&lt;=2",d_Year,$P$4,d_City,$Q$4,d_Cuisine,$R$4,d_Pay,$S$4,d_Type,$T$4)/C117,0)</f>
        <v>0.107843137254902</v>
      </c>
    </row>
    <row r="118" customFormat="false" ht="15" hidden="false" customHeight="false" outlineLevel="0" collapsed="false">
      <c r="B118" s="38" t="s">
        <v>106</v>
      </c>
      <c r="C118" s="40" t="n">
        <f aca="false">COUNTIFS(d_City,$B118,d_Year,$P$4,d_City,$Q$4,d_Cuisine,$R$4,d_Pay,$S$4,d_Type,$T$4)</f>
        <v>96</v>
      </c>
      <c r="D118" s="57" t="n">
        <f aca="false">IFERROR(AVERAGEIFS(d_CRating,d_City,$B118,d_Year,$P$4,d_City,$Q$4,d_Cuisine,$R$4,d_Pay,$S$4,d_Type,$T$4),0)</f>
        <v>4.03125</v>
      </c>
      <c r="E118" s="57" t="n">
        <f aca="false">IFERROR(AVERAGEIFS(d_RRating,d_City,$B118,d_Year,$P$4,d_City,$Q$4,d_Cuisine,$R$4,d_Pay,$S$4,d_Type,$T$4),0)</f>
        <v>3.73333333333333</v>
      </c>
      <c r="F118" s="51" t="n">
        <f aca="false">IFERROR(COUNTIFS(d_City,$B118,d_CRating,"&gt;=4",d_Year,$P$4,d_City,$Q$4,d_Cuisine,$R$4,d_Pay,$S$4,d_Type,$T$4)/C118,0)</f>
        <v>0.739583333333333</v>
      </c>
      <c r="G118" s="51" t="n">
        <f aca="false">IFERROR(COUNTIFS(d_City,$B118,d_CRating,"&lt;=2",d_Year,$P$4,d_City,$Q$4,d_Cuisine,$R$4,d_Pay,$S$4,d_Type,$T$4)/C118,0)</f>
        <v>0.104166666666667</v>
      </c>
    </row>
    <row r="119" customFormat="false" ht="15" hidden="false" customHeight="false" outlineLevel="0" collapsed="false">
      <c r="B119" s="42" t="s">
        <v>107</v>
      </c>
      <c r="C119" s="44" t="n">
        <f aca="false">COUNTIFS(d_City,$B119,d_Year,$P$4,d_City,$Q$4,d_Cuisine,$R$4,d_Pay,$S$4,d_Type,$T$4)</f>
        <v>96</v>
      </c>
      <c r="D119" s="60" t="n">
        <f aca="false">IFERROR(AVERAGEIFS(d_CRating,d_City,$B119,d_Year,$P$4,d_City,$Q$4,d_Cuisine,$R$4,d_Pay,$S$4,d_Type,$T$4),0)</f>
        <v>4.19791666666667</v>
      </c>
      <c r="E119" s="60" t="n">
        <f aca="false">IFERROR(AVERAGEIFS(d_RRating,d_City,$B119,d_Year,$P$4,d_City,$Q$4,d_Cuisine,$R$4,d_Pay,$S$4,d_Type,$T$4),0)</f>
        <v>3.73229166666667</v>
      </c>
      <c r="F119" s="52" t="n">
        <f aca="false">IFERROR(COUNTIFS(d_City,$B119,d_CRating,"&gt;=4",d_Year,$P$4,d_City,$Q$4,d_Cuisine,$R$4,d_Pay,$S$4,d_Type,$T$4)/C119,0)</f>
        <v>0.78125</v>
      </c>
      <c r="G119" s="52" t="n">
        <f aca="false">IFERROR(COUNTIFS(d_City,$B119,d_CRating,"&lt;=2",d_Year,$P$4,d_City,$Q$4,d_Cuisine,$R$4,d_Pay,$S$4,d_Type,$T$4)/C119,0)</f>
        <v>0.09375</v>
      </c>
    </row>
    <row r="120" customFormat="false" ht="15" hidden="false" customHeight="false" outlineLevel="0" collapsed="false">
      <c r="B120" s="38" t="s">
        <v>108</v>
      </c>
      <c r="C120" s="40" t="n">
        <f aca="false">COUNTIFS(d_City,$B120,d_Year,$P$4,d_City,$Q$4,d_Cuisine,$R$4,d_Pay,$S$4,d_Type,$T$4)</f>
        <v>94</v>
      </c>
      <c r="D120" s="57" t="n">
        <f aca="false">IFERROR(AVERAGEIFS(d_CRating,d_City,$B120,d_Year,$P$4,d_City,$Q$4,d_Cuisine,$R$4,d_Pay,$S$4,d_Type,$T$4),0)</f>
        <v>4.0531914893617</v>
      </c>
      <c r="E120" s="57" t="n">
        <f aca="false">IFERROR(AVERAGEIFS(d_RRating,d_City,$B120,d_Year,$P$4,d_City,$Q$4,d_Cuisine,$R$4,d_Pay,$S$4,d_Type,$T$4),0)</f>
        <v>3.64893617021277</v>
      </c>
      <c r="F120" s="51" t="n">
        <f aca="false">IFERROR(COUNTIFS(d_City,$B120,d_CRating,"&gt;=4",d_Year,$P$4,d_City,$Q$4,d_Cuisine,$R$4,d_Pay,$S$4,d_Type,$T$4)/C120,0)</f>
        <v>0.702127659574468</v>
      </c>
      <c r="G120" s="51" t="n">
        <f aca="false">IFERROR(COUNTIFS(d_City,$B120,d_CRating,"&lt;=2",d_Year,$P$4,d_City,$Q$4,d_Cuisine,$R$4,d_Pay,$S$4,d_Type,$T$4)/C120,0)</f>
        <v>0.0638297872340426</v>
      </c>
    </row>
    <row r="121" customFormat="false" ht="15" hidden="false" customHeight="false" outlineLevel="0" collapsed="false">
      <c r="B121" s="42" t="s">
        <v>109</v>
      </c>
      <c r="C121" s="44" t="n">
        <f aca="false">COUNTIFS(d_City,$B121,d_Year,$P$4,d_City,$Q$4,d_Cuisine,$R$4,d_Pay,$S$4,d_Type,$T$4)</f>
        <v>91</v>
      </c>
      <c r="D121" s="60" t="n">
        <f aca="false">IFERROR(AVERAGEIFS(d_CRating,d_City,$B121,d_Year,$P$4,d_City,$Q$4,d_Cuisine,$R$4,d_Pay,$S$4,d_Type,$T$4),0)</f>
        <v>3.91208791208791</v>
      </c>
      <c r="E121" s="60" t="n">
        <f aca="false">IFERROR(AVERAGEIFS(d_RRating,d_City,$B121,d_Year,$P$4,d_City,$Q$4,d_Cuisine,$R$4,d_Pay,$S$4,d_Type,$T$4),0)</f>
        <v>3.72857142857143</v>
      </c>
      <c r="F121" s="52" t="n">
        <f aca="false">IFERROR(COUNTIFS(d_City,$B121,d_CRating,"&gt;=4",d_Year,$P$4,d_City,$Q$4,d_Cuisine,$R$4,d_Pay,$S$4,d_Type,$T$4)/C121,0)</f>
        <v>0.736263736263736</v>
      </c>
      <c r="G121" s="52" t="n">
        <f aca="false">IFERROR(COUNTIFS(d_City,$B121,d_CRating,"&lt;=2",d_Year,$P$4,d_City,$Q$4,d_Cuisine,$R$4,d_Pay,$S$4,d_Type,$T$4)/C121,0)</f>
        <v>0.131868131868132</v>
      </c>
    </row>
    <row r="122" customFormat="false" ht="15" hidden="false" customHeight="false" outlineLevel="0" collapsed="false">
      <c r="B122" s="38" t="s">
        <v>110</v>
      </c>
      <c r="C122" s="40" t="n">
        <f aca="false">COUNTIFS(d_City,$B122,d_Year,$P$4,d_City,$Q$4,d_Cuisine,$R$4,d_Pay,$S$4,d_Type,$T$4)</f>
        <v>83</v>
      </c>
      <c r="D122" s="57" t="n">
        <f aca="false">IFERROR(AVERAGEIFS(d_CRating,d_City,$B122,d_Year,$P$4,d_City,$Q$4,d_Cuisine,$R$4,d_Pay,$S$4,d_Type,$T$4),0)</f>
        <v>3.93975903614458</v>
      </c>
      <c r="E122" s="57" t="n">
        <f aca="false">IFERROR(AVERAGEIFS(d_RRating,d_City,$B122,d_Year,$P$4,d_City,$Q$4,d_Cuisine,$R$4,d_Pay,$S$4,d_Type,$T$4),0)</f>
        <v>3.79759036144578</v>
      </c>
      <c r="F122" s="51" t="n">
        <f aca="false">IFERROR(COUNTIFS(d_City,$B122,d_CRating,"&gt;=4",d_Year,$P$4,d_City,$Q$4,d_Cuisine,$R$4,d_Pay,$S$4,d_Type,$T$4)/C122,0)</f>
        <v>0.734939759036145</v>
      </c>
      <c r="G122" s="51" t="n">
        <f aca="false">IFERROR(COUNTIFS(d_City,$B122,d_CRating,"&lt;=2",d_Year,$P$4,d_City,$Q$4,d_Cuisine,$R$4,d_Pay,$S$4,d_Type,$T$4)/C122,0)</f>
        <v>0.156626506024096</v>
      </c>
    </row>
    <row r="123" customFormat="false" ht="15" hidden="false" customHeight="false" outlineLevel="0" collapsed="false">
      <c r="B123" s="42" t="s">
        <v>111</v>
      </c>
      <c r="C123" s="44" t="n">
        <f aca="false">COUNTIFS(d_City,$B123,d_Year,$P$4,d_City,$Q$4,d_Cuisine,$R$4,d_Pay,$S$4,d_Type,$T$4)</f>
        <v>80</v>
      </c>
      <c r="D123" s="60" t="n">
        <f aca="false">IFERROR(AVERAGEIFS(d_CRating,d_City,$B123,d_Year,$P$4,d_City,$Q$4,d_Cuisine,$R$4,d_Pay,$S$4,d_Type,$T$4),0)</f>
        <v>3.8375</v>
      </c>
      <c r="E123" s="60" t="n">
        <f aca="false">IFERROR(AVERAGEIFS(d_RRating,d_City,$B123,d_Year,$P$4,d_City,$Q$4,d_Cuisine,$R$4,d_Pay,$S$4,d_Type,$T$4),0)</f>
        <v>3.7025</v>
      </c>
      <c r="F123" s="52" t="n">
        <f aca="false">IFERROR(COUNTIFS(d_City,$B123,d_CRating,"&gt;=4",d_Year,$P$4,d_City,$Q$4,d_Cuisine,$R$4,d_Pay,$S$4,d_Type,$T$4)/C123,0)</f>
        <v>0.6375</v>
      </c>
      <c r="G123" s="52" t="n">
        <f aca="false">IFERROR(COUNTIFS(d_City,$B123,d_CRating,"&lt;=2",d_Year,$P$4,d_City,$Q$4,d_Cuisine,$R$4,d_Pay,$S$4,d_Type,$T$4)/C123,0)</f>
        <v>0.1625</v>
      </c>
    </row>
    <row r="126" customFormat="false" ht="15" hidden="false" customHeight="false" outlineLevel="0" collapsed="false">
      <c r="B126" s="35" t="s">
        <v>304</v>
      </c>
    </row>
    <row r="127" customFormat="false" ht="30" hidden="false" customHeight="true" outlineLevel="0" collapsed="false">
      <c r="B127" s="36" t="s">
        <v>62</v>
      </c>
      <c r="C127" s="37" t="s">
        <v>63</v>
      </c>
      <c r="D127" s="37" t="s">
        <v>64</v>
      </c>
      <c r="E127" s="37" t="s">
        <v>128</v>
      </c>
      <c r="F127" s="37" t="s">
        <v>127</v>
      </c>
    </row>
    <row r="128" customFormat="false" ht="15" hidden="false" customHeight="false" outlineLevel="0" collapsed="false">
      <c r="B128" s="38" t="str">
        <f aca="false">TEXT(C128,"mmm-yy")</f>
        <v>Jan-25</v>
      </c>
      <c r="C128" s="39" t="n">
        <v>45658</v>
      </c>
      <c r="D128" s="40" t="n">
        <f aca="false">COUNTIFS(d_Date,"&gt;="&amp;$C128,d_Date,"&lt;"&amp;EDATE($C128,1),d_Year,$P$4,d_City,$Q$4,d_Cuisine,$R$4,d_Pay,$S$4,d_Type,$T$4)</f>
        <v>93</v>
      </c>
      <c r="E128" s="57" t="n">
        <f aca="false">IFERROR(AVERAGEIFS(d_CRating,d_Date,"&gt;="&amp;$C128,d_Date,"&lt;"&amp;EDATE($C128,1),d_Year,$P$4,d_City,$Q$4,d_Cuisine,$R$4,d_Pay,$S$4,d_Type,$T$4),0)</f>
        <v>4.10752688172043</v>
      </c>
      <c r="F128" s="57" t="n">
        <f aca="false">IFERROR(AVERAGEIFS(d_RRating,d_Date,"&gt;="&amp;$C128,d_Date,"&lt;"&amp;EDATE($C128,1),d_Year,$P$4,d_City,$Q$4,d_Cuisine,$R$4,d_Pay,$S$4,d_Type,$T$4),0)</f>
        <v>3.68064516129032</v>
      </c>
    </row>
    <row r="129" customFormat="false" ht="15" hidden="false" customHeight="false" outlineLevel="0" collapsed="false">
      <c r="B129" s="42" t="str">
        <f aca="false">TEXT(C129,"mmm-yy")</f>
        <v>Feb-25</v>
      </c>
      <c r="C129" s="43" t="n">
        <v>45689</v>
      </c>
      <c r="D129" s="44" t="n">
        <f aca="false">COUNTIFS(d_Date,"&gt;="&amp;$C129,d_Date,"&lt;"&amp;EDATE($C129,1),d_Year,$P$4,d_City,$Q$4,d_Cuisine,$R$4,d_Pay,$S$4,d_Type,$T$4)</f>
        <v>84</v>
      </c>
      <c r="E129" s="60" t="n">
        <f aca="false">IFERROR(AVERAGEIFS(d_CRating,d_Date,"&gt;="&amp;$C129,d_Date,"&lt;"&amp;EDATE($C129,1),d_Year,$P$4,d_City,$Q$4,d_Cuisine,$R$4,d_Pay,$S$4,d_Type,$T$4),0)</f>
        <v>4.04761904761905</v>
      </c>
      <c r="F129" s="60" t="n">
        <f aca="false">IFERROR(AVERAGEIFS(d_RRating,d_Date,"&gt;="&amp;$C129,d_Date,"&lt;"&amp;EDATE($C129,1),d_Year,$P$4,d_City,$Q$4,d_Cuisine,$R$4,d_Pay,$S$4,d_Type,$T$4),0)</f>
        <v>3.56547619047619</v>
      </c>
    </row>
    <row r="130" customFormat="false" ht="15" hidden="false" customHeight="false" outlineLevel="0" collapsed="false">
      <c r="B130" s="38" t="str">
        <f aca="false">TEXT(C130,"mmm-yy")</f>
        <v>Mar-25</v>
      </c>
      <c r="C130" s="39" t="n">
        <v>45717</v>
      </c>
      <c r="D130" s="40" t="n">
        <f aca="false">COUNTIFS(d_Date,"&gt;="&amp;$C130,d_Date,"&lt;"&amp;EDATE($C130,1),d_Year,$P$4,d_City,$Q$4,d_Cuisine,$R$4,d_Pay,$S$4,d_Type,$T$4)</f>
        <v>93</v>
      </c>
      <c r="E130" s="57" t="n">
        <f aca="false">IFERROR(AVERAGEIFS(d_CRating,d_Date,"&gt;="&amp;$C130,d_Date,"&lt;"&amp;EDATE($C130,1),d_Year,$P$4,d_City,$Q$4,d_Cuisine,$R$4,d_Pay,$S$4,d_Type,$T$4),0)</f>
        <v>4.06451612903226</v>
      </c>
      <c r="F130" s="57" t="n">
        <f aca="false">IFERROR(AVERAGEIFS(d_RRating,d_Date,"&gt;="&amp;$C130,d_Date,"&lt;"&amp;EDATE($C130,1),d_Year,$P$4,d_City,$Q$4,d_Cuisine,$R$4,d_Pay,$S$4,d_Type,$T$4),0)</f>
        <v>3.75161290322581</v>
      </c>
    </row>
    <row r="131" customFormat="false" ht="15" hidden="false" customHeight="false" outlineLevel="0" collapsed="false">
      <c r="B131" s="42" t="str">
        <f aca="false">TEXT(C131,"mmm-yy")</f>
        <v>Apr-25</v>
      </c>
      <c r="C131" s="43" t="n">
        <v>45748</v>
      </c>
      <c r="D131" s="44" t="n">
        <f aca="false">COUNTIFS(d_Date,"&gt;="&amp;$C131,d_Date,"&lt;"&amp;EDATE($C131,1),d_Year,$P$4,d_City,$Q$4,d_Cuisine,$R$4,d_Pay,$S$4,d_Type,$T$4)</f>
        <v>90</v>
      </c>
      <c r="E131" s="60" t="n">
        <f aca="false">IFERROR(AVERAGEIFS(d_CRating,d_Date,"&gt;="&amp;$C131,d_Date,"&lt;"&amp;EDATE($C131,1),d_Year,$P$4,d_City,$Q$4,d_Cuisine,$R$4,d_Pay,$S$4,d_Type,$T$4),0)</f>
        <v>4.05555555555556</v>
      </c>
      <c r="F131" s="60" t="n">
        <f aca="false">IFERROR(AVERAGEIFS(d_RRating,d_Date,"&gt;="&amp;$C131,d_Date,"&lt;"&amp;EDATE($C131,1),d_Year,$P$4,d_City,$Q$4,d_Cuisine,$R$4,d_Pay,$S$4,d_Type,$T$4),0)</f>
        <v>3.76777777777778</v>
      </c>
    </row>
    <row r="132" customFormat="false" ht="15" hidden="false" customHeight="false" outlineLevel="0" collapsed="false">
      <c r="B132" s="38" t="str">
        <f aca="false">TEXT(C132,"mmm-yy")</f>
        <v>May-25</v>
      </c>
      <c r="C132" s="39" t="n">
        <v>45778</v>
      </c>
      <c r="D132" s="40" t="n">
        <f aca="false">COUNTIFS(d_Date,"&gt;="&amp;$C132,d_Date,"&lt;"&amp;EDATE($C132,1),d_Year,$P$4,d_City,$Q$4,d_Cuisine,$R$4,d_Pay,$S$4,d_Type,$T$4)</f>
        <v>93</v>
      </c>
      <c r="E132" s="57" t="n">
        <f aca="false">IFERROR(AVERAGEIFS(d_CRating,d_Date,"&gt;="&amp;$C132,d_Date,"&lt;"&amp;EDATE($C132,1),d_Year,$P$4,d_City,$Q$4,d_Cuisine,$R$4,d_Pay,$S$4,d_Type,$T$4),0)</f>
        <v>3.96774193548387</v>
      </c>
      <c r="F132" s="57" t="n">
        <f aca="false">IFERROR(AVERAGEIFS(d_RRating,d_Date,"&gt;="&amp;$C132,d_Date,"&lt;"&amp;EDATE($C132,1),d_Year,$P$4,d_City,$Q$4,d_Cuisine,$R$4,d_Pay,$S$4,d_Type,$T$4),0)</f>
        <v>3.7247311827957</v>
      </c>
    </row>
    <row r="133" customFormat="false" ht="15" hidden="false" customHeight="false" outlineLevel="0" collapsed="false">
      <c r="B133" s="42" t="str">
        <f aca="false">TEXT(C133,"mmm-yy")</f>
        <v>Jun-25</v>
      </c>
      <c r="C133" s="43" t="n">
        <v>45809</v>
      </c>
      <c r="D133" s="44" t="n">
        <f aca="false">COUNTIFS(d_Date,"&gt;="&amp;$C133,d_Date,"&lt;"&amp;EDATE($C133,1),d_Year,$P$4,d_City,$Q$4,d_Cuisine,$R$4,d_Pay,$S$4,d_Type,$T$4)</f>
        <v>90</v>
      </c>
      <c r="E133" s="60" t="n">
        <f aca="false">IFERROR(AVERAGEIFS(d_CRating,d_Date,"&gt;="&amp;$C133,d_Date,"&lt;"&amp;EDATE($C133,1),d_Year,$P$4,d_City,$Q$4,d_Cuisine,$R$4,d_Pay,$S$4,d_Type,$T$4),0)</f>
        <v>3.87777777777778</v>
      </c>
      <c r="F133" s="60" t="n">
        <f aca="false">IFERROR(AVERAGEIFS(d_RRating,d_Date,"&gt;="&amp;$C133,d_Date,"&lt;"&amp;EDATE($C133,1),d_Year,$P$4,d_City,$Q$4,d_Cuisine,$R$4,d_Pay,$S$4,d_Type,$T$4),0)</f>
        <v>3.71111111111111</v>
      </c>
    </row>
    <row r="134" customFormat="false" ht="15" hidden="false" customHeight="false" outlineLevel="0" collapsed="false">
      <c r="B134" s="38" t="str">
        <f aca="false">TEXT(C134,"mmm-yy")</f>
        <v>Jul-25</v>
      </c>
      <c r="C134" s="39" t="n">
        <v>45839</v>
      </c>
      <c r="D134" s="40" t="n">
        <f aca="false">COUNTIFS(d_Date,"&gt;="&amp;$C134,d_Date,"&lt;"&amp;EDATE($C134,1),d_Year,$P$4,d_City,$Q$4,d_Cuisine,$R$4,d_Pay,$S$4,d_Type,$T$4)</f>
        <v>93</v>
      </c>
      <c r="E134" s="57" t="n">
        <f aca="false">IFERROR(AVERAGEIFS(d_CRating,d_Date,"&gt;="&amp;$C134,d_Date,"&lt;"&amp;EDATE($C134,1),d_Year,$P$4,d_City,$Q$4,d_Cuisine,$R$4,d_Pay,$S$4,d_Type,$T$4),0)</f>
        <v>3.98924731182796</v>
      </c>
      <c r="F134" s="57" t="n">
        <f aca="false">IFERROR(AVERAGEIFS(d_RRating,d_Date,"&gt;="&amp;$C134,d_Date,"&lt;"&amp;EDATE($C134,1),d_Year,$P$4,d_City,$Q$4,d_Cuisine,$R$4,d_Pay,$S$4,d_Type,$T$4),0)</f>
        <v>3.7010752688172</v>
      </c>
    </row>
    <row r="135" customFormat="false" ht="15" hidden="false" customHeight="false" outlineLevel="0" collapsed="false">
      <c r="B135" s="42" t="str">
        <f aca="false">TEXT(C135,"mmm-yy")</f>
        <v>Aug-25</v>
      </c>
      <c r="C135" s="43" t="n">
        <v>45870</v>
      </c>
      <c r="D135" s="44" t="n">
        <f aca="false">COUNTIFS(d_Date,"&gt;="&amp;$C135,d_Date,"&lt;"&amp;EDATE($C135,1),d_Year,$P$4,d_City,$Q$4,d_Cuisine,$R$4,d_Pay,$S$4,d_Type,$T$4)</f>
        <v>93</v>
      </c>
      <c r="E135" s="60" t="n">
        <f aca="false">IFERROR(AVERAGEIFS(d_CRating,d_Date,"&gt;="&amp;$C135,d_Date,"&lt;"&amp;EDATE($C135,1),d_Year,$P$4,d_City,$Q$4,d_Cuisine,$R$4,d_Pay,$S$4,d_Type,$T$4),0)</f>
        <v>4.03225806451613</v>
      </c>
      <c r="F135" s="60" t="n">
        <f aca="false">IFERROR(AVERAGEIFS(d_RRating,d_Date,"&gt;="&amp;$C135,d_Date,"&lt;"&amp;EDATE($C135,1),d_Year,$P$4,d_City,$Q$4,d_Cuisine,$R$4,d_Pay,$S$4,d_Type,$T$4),0)</f>
        <v>3.55698924731183</v>
      </c>
    </row>
    <row r="136" customFormat="false" ht="15" hidden="false" customHeight="false" outlineLevel="0" collapsed="false">
      <c r="B136" s="38" t="str">
        <f aca="false">TEXT(C136,"mmm-yy")</f>
        <v>Sep-25</v>
      </c>
      <c r="C136" s="39" t="n">
        <v>45901</v>
      </c>
      <c r="D136" s="40" t="n">
        <f aca="false">COUNTIFS(d_Date,"&gt;="&amp;$C136,d_Date,"&lt;"&amp;EDATE($C136,1),d_Year,$P$4,d_City,$Q$4,d_Cuisine,$R$4,d_Pay,$S$4,d_Type,$T$4)</f>
        <v>90</v>
      </c>
      <c r="E136" s="57" t="n">
        <f aca="false">IFERROR(AVERAGEIFS(d_CRating,d_Date,"&gt;="&amp;$C136,d_Date,"&lt;"&amp;EDATE($C136,1),d_Year,$P$4,d_City,$Q$4,d_Cuisine,$R$4,d_Pay,$S$4,d_Type,$T$4),0)</f>
        <v>3.97777777777778</v>
      </c>
      <c r="F136" s="57" t="n">
        <f aca="false">IFERROR(AVERAGEIFS(d_RRating,d_Date,"&gt;="&amp;$C136,d_Date,"&lt;"&amp;EDATE($C136,1),d_Year,$P$4,d_City,$Q$4,d_Cuisine,$R$4,d_Pay,$S$4,d_Type,$T$4),0)</f>
        <v>3.78111111111111</v>
      </c>
    </row>
    <row r="137" customFormat="false" ht="15" hidden="false" customHeight="false" outlineLevel="0" collapsed="false">
      <c r="B137" s="42" t="str">
        <f aca="false">TEXT(C137,"mmm-yy")</f>
        <v>Oct-25</v>
      </c>
      <c r="C137" s="43" t="n">
        <v>45931</v>
      </c>
      <c r="D137" s="44" t="n">
        <f aca="false">COUNTIFS(d_Date,"&gt;="&amp;$C137,d_Date,"&lt;"&amp;EDATE($C137,1),d_Year,$P$4,d_City,$Q$4,d_Cuisine,$R$4,d_Pay,$S$4,d_Type,$T$4)</f>
        <v>93</v>
      </c>
      <c r="E137" s="60" t="n">
        <f aca="false">IFERROR(AVERAGEIFS(d_CRating,d_Date,"&gt;="&amp;$C137,d_Date,"&lt;"&amp;EDATE($C137,1),d_Year,$P$4,d_City,$Q$4,d_Cuisine,$R$4,d_Pay,$S$4,d_Type,$T$4),0)</f>
        <v>4.10752688172043</v>
      </c>
      <c r="F137" s="60" t="n">
        <f aca="false">IFERROR(AVERAGEIFS(d_RRating,d_Date,"&gt;="&amp;$C137,d_Date,"&lt;"&amp;EDATE($C137,1),d_Year,$P$4,d_City,$Q$4,d_Cuisine,$R$4,d_Pay,$S$4,d_Type,$T$4),0)</f>
        <v>3.76129032258065</v>
      </c>
    </row>
    <row r="138" customFormat="false" ht="15" hidden="false" customHeight="false" outlineLevel="0" collapsed="false">
      <c r="B138" s="38" t="str">
        <f aca="false">TEXT(C138,"mmm-yy")</f>
        <v>Nov-25</v>
      </c>
      <c r="C138" s="39" t="n">
        <v>45962</v>
      </c>
      <c r="D138" s="40" t="n">
        <f aca="false">COUNTIFS(d_Date,"&gt;="&amp;$C138,d_Date,"&lt;"&amp;EDATE($C138,1),d_Year,$P$4,d_City,$Q$4,d_Cuisine,$R$4,d_Pay,$S$4,d_Type,$T$4)</f>
        <v>90</v>
      </c>
      <c r="E138" s="57" t="n">
        <f aca="false">IFERROR(AVERAGEIFS(d_CRating,d_Date,"&gt;="&amp;$C138,d_Date,"&lt;"&amp;EDATE($C138,1),d_Year,$P$4,d_City,$Q$4,d_Cuisine,$R$4,d_Pay,$S$4,d_Type,$T$4),0)</f>
        <v>3.88888888888889</v>
      </c>
      <c r="F138" s="57" t="n">
        <f aca="false">IFERROR(AVERAGEIFS(d_RRating,d_Date,"&gt;="&amp;$C138,d_Date,"&lt;"&amp;EDATE($C138,1),d_Year,$P$4,d_City,$Q$4,d_Cuisine,$R$4,d_Pay,$S$4,d_Type,$T$4),0)</f>
        <v>3.84555555555556</v>
      </c>
    </row>
    <row r="139" customFormat="false" ht="15" hidden="false" customHeight="false" outlineLevel="0" collapsed="false">
      <c r="B139" s="42" t="str">
        <f aca="false">TEXT(C139,"mmm-yy")</f>
        <v>Dec-25</v>
      </c>
      <c r="C139" s="43" t="n">
        <v>45992</v>
      </c>
      <c r="D139" s="44" t="n">
        <f aca="false">COUNTIFS(d_Date,"&gt;="&amp;$C139,d_Date,"&lt;"&amp;EDATE($C139,1),d_Year,$P$4,d_City,$Q$4,d_Cuisine,$R$4,d_Pay,$S$4,d_Type,$T$4)</f>
        <v>93</v>
      </c>
      <c r="E139" s="60" t="n">
        <f aca="false">IFERROR(AVERAGEIFS(d_CRating,d_Date,"&gt;="&amp;$C139,d_Date,"&lt;"&amp;EDATE($C139,1),d_Year,$P$4,d_City,$Q$4,d_Cuisine,$R$4,d_Pay,$S$4,d_Type,$T$4),0)</f>
        <v>4.06451612903226</v>
      </c>
      <c r="F139" s="60" t="n">
        <f aca="false">IFERROR(AVERAGEIFS(d_RRating,d_Date,"&gt;="&amp;$C139,d_Date,"&lt;"&amp;EDATE($C139,1),d_Year,$P$4,d_City,$Q$4,d_Cuisine,$R$4,d_Pay,$S$4,d_Type,$T$4),0)</f>
        <v>3.77849462365591</v>
      </c>
    </row>
    <row r="140" customFormat="false" ht="15" hidden="false" customHeight="false" outlineLevel="0" collapsed="false">
      <c r="B140" s="38" t="str">
        <f aca="false">TEXT(C140,"mmm-yy")</f>
        <v>Jan-26</v>
      </c>
      <c r="C140" s="39" t="n">
        <v>46023</v>
      </c>
      <c r="D140" s="40" t="n">
        <f aca="false">COUNTIFS(d_Date,"&gt;="&amp;$C140,d_Date,"&lt;"&amp;EDATE($C140,1),d_Year,$P$4,d_City,$Q$4,d_Cuisine,$R$4,d_Pay,$S$4,d_Type,$T$4)</f>
        <v>93</v>
      </c>
      <c r="E140" s="57" t="n">
        <f aca="false">IFERROR(AVERAGEIFS(d_CRating,d_Date,"&gt;="&amp;$C140,d_Date,"&lt;"&amp;EDATE($C140,1),d_Year,$P$4,d_City,$Q$4,d_Cuisine,$R$4,d_Pay,$S$4,d_Type,$T$4),0)</f>
        <v>4.08602150537634</v>
      </c>
      <c r="F140" s="57" t="n">
        <f aca="false">IFERROR(AVERAGEIFS(d_RRating,d_Date,"&gt;="&amp;$C140,d_Date,"&lt;"&amp;EDATE($C140,1),d_Year,$P$4,d_City,$Q$4,d_Cuisine,$R$4,d_Pay,$S$4,d_Type,$T$4),0)</f>
        <v>3.68817204301075</v>
      </c>
    </row>
    <row r="141" customFormat="false" ht="15" hidden="false" customHeight="false" outlineLevel="0" collapsed="false">
      <c r="B141" s="42" t="str">
        <f aca="false">TEXT(C141,"mmm-yy")</f>
        <v>Feb-26</v>
      </c>
      <c r="C141" s="43" t="n">
        <v>46054</v>
      </c>
      <c r="D141" s="44" t="n">
        <f aca="false">COUNTIFS(d_Date,"&gt;="&amp;$C141,d_Date,"&lt;"&amp;EDATE($C141,1),d_Year,$P$4,d_City,$Q$4,d_Cuisine,$R$4,d_Pay,$S$4,d_Type,$T$4)</f>
        <v>12</v>
      </c>
      <c r="E141" s="60" t="n">
        <f aca="false">IFERROR(AVERAGEIFS(d_CRating,d_Date,"&gt;="&amp;$C141,d_Date,"&lt;"&amp;EDATE($C141,1),d_Year,$P$4,d_City,$Q$4,d_Cuisine,$R$4,d_Pay,$S$4,d_Type,$T$4),0)</f>
        <v>3.75</v>
      </c>
      <c r="F141" s="60" t="n">
        <f aca="false">IFERROR(AVERAGEIFS(d_RRating,d_Date,"&gt;="&amp;$C141,d_Date,"&lt;"&amp;EDATE($C141,1),d_Year,$P$4,d_City,$Q$4,d_Cuisine,$R$4,d_Pay,$S$4,d_Type,$T$4),0)</f>
        <v>3.76666666666667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34D"/>
    <pageSetUpPr fitToPage="false"/>
  </sheetPr>
  <dimension ref="B1:T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305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306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19.5" hidden="false" customHeight="true" outlineLevel="0" collapsed="false">
      <c r="B5" s="3" t="s">
        <v>307</v>
      </c>
      <c r="C5" s="3"/>
      <c r="D5" s="7" t="s">
        <v>308</v>
      </c>
      <c r="E5" s="7"/>
      <c r="F5" s="4" t="s">
        <v>3</v>
      </c>
      <c r="G5" s="4"/>
      <c r="H5" s="8" t="s">
        <v>309</v>
      </c>
      <c r="I5" s="8"/>
      <c r="J5" s="6" t="s">
        <v>310</v>
      </c>
      <c r="K5" s="6"/>
      <c r="L5" s="5" t="s">
        <v>311</v>
      </c>
      <c r="M5" s="5"/>
    </row>
    <row r="6" customFormat="false" ht="36" hidden="false" customHeight="true" outlineLevel="0" collapsed="false">
      <c r="B6" s="80" t="n">
        <f aca="false">SUMIFS(d_Gross,d_Status,"Delivered",d_Year,$P$4,d_City,$Q$4,d_Cuisine,$R$4,d_Pay,$S$4,d_Type,$T$4)</f>
        <v>755840</v>
      </c>
      <c r="C6" s="80"/>
      <c r="D6" s="88" t="n">
        <f aca="false">SUMIFS(d_Disc,d_Status,"Delivered",d_Year,$P$4,d_City,$Q$4,d_Cuisine,$R$4,d_Pay,$S$4,d_Type,$T$4)</f>
        <v>56065</v>
      </c>
      <c r="E6" s="88"/>
      <c r="F6" s="10" t="n">
        <f aca="false">SUMIFS(d_Net,d_Status,"Delivered",d_Year,$P$4,d_City,$Q$4,d_Cuisine,$R$4,d_Pay,$S$4,d_Type,$T$4)</f>
        <v>699950</v>
      </c>
      <c r="G6" s="10"/>
      <c r="H6" s="34" t="n">
        <f aca="false">IFERROR(SUMIFS(d_Net,d_Status,"Delivered",d_Year,$P$4,d_City,$Q$4,d_Cuisine,$R$4,d_Pay,$S$4,d_Type,$T$4)/COUNTIFS(d_Status,"Delivered",d_Year,$P$4,d_City,$Q$4,d_Cuisine,$R$4,d_Pay,$S$4,d_Type,$T$4),0)</f>
        <v>884.892541087231</v>
      </c>
      <c r="I6" s="34"/>
      <c r="J6" s="12" t="n">
        <f aca="false">IFERROR(SUMIFS(d_Disc,d_Status,"Delivered",d_Year,$P$4,d_City,$Q$4,d_Cuisine,$R$4,d_Pay,$S$4,d_Type,$T$4)/SUMIFS(d_Gross,d_Status,"Delivered",d_Year,$P$4,d_City,$Q$4,d_Cuisine,$R$4,d_Pay,$S$4,d_Type,$T$4),0)</f>
        <v>0.0741757514817951</v>
      </c>
      <c r="K6" s="12"/>
      <c r="L6" s="89" t="n">
        <f aca="false">SUMIFS(d_Net,d_Status,"Pending",d_Year,$P$4,d_City,$Q$4,d_Cuisine,$R$4,d_Pay,$S$4,d_Type,$T$4)</f>
        <v>194755</v>
      </c>
      <c r="M6" s="89"/>
    </row>
    <row r="7" customFormat="false" ht="24" hidden="false" customHeight="true" outlineLevel="0" collapsed="false">
      <c r="B7" s="15" t="s">
        <v>9</v>
      </c>
      <c r="C7" s="15"/>
      <c r="D7" s="15" t="s">
        <v>312</v>
      </c>
      <c r="E7" s="15"/>
      <c r="F7" s="15" t="s">
        <v>313</v>
      </c>
      <c r="G7" s="15"/>
      <c r="H7" s="15" t="s">
        <v>314</v>
      </c>
      <c r="I7" s="15"/>
      <c r="J7" s="15" t="s">
        <v>315</v>
      </c>
      <c r="K7" s="15"/>
      <c r="L7" s="15" t="s">
        <v>316</v>
      </c>
      <c r="M7" s="15"/>
    </row>
    <row r="57" customFormat="false" ht="21.75" hidden="false" customHeight="true" outlineLevel="0" collapsed="false">
      <c r="B57" s="16" t="s">
        <v>60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9" customFormat="false" ht="15" hidden="false" customHeight="false" outlineLevel="0" collapsed="false">
      <c r="B59" s="35" t="s">
        <v>317</v>
      </c>
    </row>
    <row r="60" customFormat="false" ht="30" hidden="false" customHeight="true" outlineLevel="0" collapsed="false">
      <c r="B60" s="36" t="s">
        <v>62</v>
      </c>
      <c r="C60" s="37" t="s">
        <v>63</v>
      </c>
      <c r="D60" s="37" t="s">
        <v>9</v>
      </c>
      <c r="E60" s="37" t="s">
        <v>318</v>
      </c>
      <c r="F60" s="37" t="s">
        <v>319</v>
      </c>
      <c r="G60" s="37" t="s">
        <v>126</v>
      </c>
      <c r="H60" s="37" t="s">
        <v>320</v>
      </c>
    </row>
    <row r="61" customFormat="false" ht="15" hidden="false" customHeight="false" outlineLevel="0" collapsed="false">
      <c r="B61" s="38" t="str">
        <f aca="false">TEXT(C61,"mmm-yy")</f>
        <v>Jan-25</v>
      </c>
      <c r="C61" s="39" t="n">
        <v>45658</v>
      </c>
      <c r="D61" s="40" t="n">
        <f aca="false">COUNTIFS(d_Date,"&gt;="&amp;$C61,d_Date,"&lt;"&amp;EDATE($C61,1),d_Status,"Delivered",d_Year,$P$4,d_City,$Q$4,d_Cuisine,$R$4,d_Pay,$S$4,d_Type,$T$4)</f>
        <v>66</v>
      </c>
      <c r="E61" s="41" t="n">
        <f aca="false">SUMIFS(d_Gross,d_Date,"&gt;="&amp;$C61,d_Date,"&lt;"&amp;EDATE($C61,1),d_Status,"Delivered",d_Year,$P$4,d_City,$Q$4,d_Cuisine,$R$4,d_Pay,$S$4,d_Type,$T$4)</f>
        <v>62827</v>
      </c>
      <c r="F61" s="41" t="n">
        <f aca="false">SUMIFS(d_Disc,d_Date,"&gt;="&amp;$C61,d_Date,"&lt;"&amp;EDATE($C61,1),d_Status,"Delivered",d_Year,$P$4,d_City,$Q$4,d_Cuisine,$R$4,d_Pay,$S$4,d_Type,$T$4)</f>
        <v>4985</v>
      </c>
      <c r="G61" s="41" t="n">
        <f aca="false">SUMIFS(d_Net,d_Date,"&gt;="&amp;$C61,d_Date,"&lt;"&amp;EDATE($C61,1),d_Status,"Delivered",d_Year,$P$4,d_City,$Q$4,d_Cuisine,$R$4,d_Pay,$S$4,d_Type,$T$4)</f>
        <v>57842</v>
      </c>
      <c r="H61" s="41" t="n">
        <f aca="false">IFERROR(G61/D61,0)</f>
        <v>876.393939393939</v>
      </c>
    </row>
    <row r="62" customFormat="false" ht="15" hidden="false" customHeight="false" outlineLevel="0" collapsed="false">
      <c r="B62" s="42" t="str">
        <f aca="false">TEXT(C62,"mmm-yy")</f>
        <v>Feb-25</v>
      </c>
      <c r="C62" s="43" t="n">
        <v>45689</v>
      </c>
      <c r="D62" s="44" t="n">
        <f aca="false">COUNTIFS(d_Date,"&gt;="&amp;$C62,d_Date,"&lt;"&amp;EDATE($C62,1),d_Status,"Delivered",d_Year,$P$4,d_City,$Q$4,d_Cuisine,$R$4,d_Pay,$S$4,d_Type,$T$4)</f>
        <v>48</v>
      </c>
      <c r="E62" s="45" t="n">
        <f aca="false">SUMIFS(d_Gross,d_Date,"&gt;="&amp;$C62,d_Date,"&lt;"&amp;EDATE($C62,1),d_Status,"Delivered",d_Year,$P$4,d_City,$Q$4,d_Cuisine,$R$4,d_Pay,$S$4,d_Type,$T$4)</f>
        <v>47979</v>
      </c>
      <c r="F62" s="45" t="n">
        <f aca="false">SUMIFS(d_Disc,d_Date,"&gt;="&amp;$C62,d_Date,"&lt;"&amp;EDATE($C62,1),d_Status,"Delivered",d_Year,$P$4,d_City,$Q$4,d_Cuisine,$R$4,d_Pay,$S$4,d_Type,$T$4)</f>
        <v>3330</v>
      </c>
      <c r="G62" s="45" t="n">
        <f aca="false">SUMIFS(d_Net,d_Date,"&gt;="&amp;$C62,d_Date,"&lt;"&amp;EDATE($C62,1),d_Status,"Delivered",d_Year,$P$4,d_City,$Q$4,d_Cuisine,$R$4,d_Pay,$S$4,d_Type,$T$4)</f>
        <v>44649</v>
      </c>
      <c r="H62" s="45" t="n">
        <f aca="false">IFERROR(G62/D62,0)</f>
        <v>930.1875</v>
      </c>
    </row>
    <row r="63" customFormat="false" ht="15" hidden="false" customHeight="false" outlineLevel="0" collapsed="false">
      <c r="B63" s="38" t="str">
        <f aca="false">TEXT(C63,"mmm-yy")</f>
        <v>Mar-25</v>
      </c>
      <c r="C63" s="39" t="n">
        <v>45717</v>
      </c>
      <c r="D63" s="40" t="n">
        <f aca="false">COUNTIFS(d_Date,"&gt;="&amp;$C63,d_Date,"&lt;"&amp;EDATE($C63,1),d_Status,"Delivered",d_Year,$P$4,d_City,$Q$4,d_Cuisine,$R$4,d_Pay,$S$4,d_Type,$T$4)</f>
        <v>55</v>
      </c>
      <c r="E63" s="41" t="n">
        <f aca="false">SUMIFS(d_Gross,d_Date,"&gt;="&amp;$C63,d_Date,"&lt;"&amp;EDATE($C63,1),d_Status,"Delivered",d_Year,$P$4,d_City,$Q$4,d_Cuisine,$R$4,d_Pay,$S$4,d_Type,$T$4)</f>
        <v>55750</v>
      </c>
      <c r="F63" s="41" t="n">
        <f aca="false">SUMIFS(d_Disc,d_Date,"&gt;="&amp;$C63,d_Date,"&lt;"&amp;EDATE($C63,1),d_Status,"Delivered",d_Year,$P$4,d_City,$Q$4,d_Cuisine,$R$4,d_Pay,$S$4,d_Type,$T$4)</f>
        <v>4910</v>
      </c>
      <c r="G63" s="41" t="n">
        <f aca="false">SUMIFS(d_Net,d_Date,"&gt;="&amp;$C63,d_Date,"&lt;"&amp;EDATE($C63,1),d_Status,"Delivered",d_Year,$P$4,d_City,$Q$4,d_Cuisine,$R$4,d_Pay,$S$4,d_Type,$T$4)</f>
        <v>50840</v>
      </c>
      <c r="H63" s="41" t="n">
        <f aca="false">IFERROR(G63/D63,0)</f>
        <v>924.363636363636</v>
      </c>
    </row>
    <row r="64" customFormat="false" ht="15" hidden="false" customHeight="false" outlineLevel="0" collapsed="false">
      <c r="B64" s="42" t="str">
        <f aca="false">TEXT(C64,"mmm-yy")</f>
        <v>Apr-25</v>
      </c>
      <c r="C64" s="43" t="n">
        <v>45748</v>
      </c>
      <c r="D64" s="44" t="n">
        <f aca="false">COUNTIFS(d_Date,"&gt;="&amp;$C64,d_Date,"&lt;"&amp;EDATE($C64,1),d_Status,"Delivered",d_Year,$P$4,d_City,$Q$4,d_Cuisine,$R$4,d_Pay,$S$4,d_Type,$T$4)</f>
        <v>61</v>
      </c>
      <c r="E64" s="45" t="n">
        <f aca="false">SUMIFS(d_Gross,d_Date,"&gt;="&amp;$C64,d_Date,"&lt;"&amp;EDATE($C64,1),d_Status,"Delivered",d_Year,$P$4,d_City,$Q$4,d_Cuisine,$R$4,d_Pay,$S$4,d_Type,$T$4)</f>
        <v>55046</v>
      </c>
      <c r="F64" s="45" t="n">
        <f aca="false">SUMIFS(d_Disc,d_Date,"&gt;="&amp;$C64,d_Date,"&lt;"&amp;EDATE($C64,1),d_Status,"Delivered",d_Year,$P$4,d_City,$Q$4,d_Cuisine,$R$4,d_Pay,$S$4,d_Type,$T$4)</f>
        <v>4050</v>
      </c>
      <c r="G64" s="45" t="n">
        <f aca="false">SUMIFS(d_Net,d_Date,"&gt;="&amp;$C64,d_Date,"&lt;"&amp;EDATE($C64,1),d_Status,"Delivered",d_Year,$P$4,d_City,$Q$4,d_Cuisine,$R$4,d_Pay,$S$4,d_Type,$T$4)</f>
        <v>50996</v>
      </c>
      <c r="H64" s="45" t="n">
        <f aca="false">IFERROR(G64/D64,0)</f>
        <v>836</v>
      </c>
    </row>
    <row r="65" customFormat="false" ht="15" hidden="false" customHeight="false" outlineLevel="0" collapsed="false">
      <c r="B65" s="38" t="str">
        <f aca="false">TEXT(C65,"mmm-yy")</f>
        <v>May-25</v>
      </c>
      <c r="C65" s="39" t="n">
        <v>45778</v>
      </c>
      <c r="D65" s="40" t="n">
        <f aca="false">COUNTIFS(d_Date,"&gt;="&amp;$C65,d_Date,"&lt;"&amp;EDATE($C65,1),d_Status,"Delivered",d_Year,$P$4,d_City,$Q$4,d_Cuisine,$R$4,d_Pay,$S$4,d_Type,$T$4)</f>
        <v>59</v>
      </c>
      <c r="E65" s="41" t="n">
        <f aca="false">SUMIFS(d_Gross,d_Date,"&gt;="&amp;$C65,d_Date,"&lt;"&amp;EDATE($C65,1),d_Status,"Delivered",d_Year,$P$4,d_City,$Q$4,d_Cuisine,$R$4,d_Pay,$S$4,d_Type,$T$4)</f>
        <v>56594</v>
      </c>
      <c r="F65" s="41" t="n">
        <f aca="false">SUMIFS(d_Disc,d_Date,"&gt;="&amp;$C65,d_Date,"&lt;"&amp;EDATE($C65,1),d_Status,"Delivered",d_Year,$P$4,d_City,$Q$4,d_Cuisine,$R$4,d_Pay,$S$4,d_Type,$T$4)</f>
        <v>3545</v>
      </c>
      <c r="G65" s="41" t="n">
        <f aca="false">SUMIFS(d_Net,d_Date,"&gt;="&amp;$C65,d_Date,"&lt;"&amp;EDATE($C65,1),d_Status,"Delivered",d_Year,$P$4,d_City,$Q$4,d_Cuisine,$R$4,d_Pay,$S$4,d_Type,$T$4)</f>
        <v>53126</v>
      </c>
      <c r="H65" s="41" t="n">
        <f aca="false">IFERROR(G65/D65,0)</f>
        <v>900.440677966102</v>
      </c>
    </row>
    <row r="66" customFormat="false" ht="15" hidden="false" customHeight="false" outlineLevel="0" collapsed="false">
      <c r="B66" s="42" t="str">
        <f aca="false">TEXT(C66,"mmm-yy")</f>
        <v>Jun-25</v>
      </c>
      <c r="C66" s="43" t="n">
        <v>45809</v>
      </c>
      <c r="D66" s="44" t="n">
        <f aca="false">COUNTIFS(d_Date,"&gt;="&amp;$C66,d_Date,"&lt;"&amp;EDATE($C66,1),d_Status,"Delivered",d_Year,$P$4,d_City,$Q$4,d_Cuisine,$R$4,d_Pay,$S$4,d_Type,$T$4)</f>
        <v>58</v>
      </c>
      <c r="E66" s="45" t="n">
        <f aca="false">SUMIFS(d_Gross,d_Date,"&gt;="&amp;$C66,d_Date,"&lt;"&amp;EDATE($C66,1),d_Status,"Delivered",d_Year,$P$4,d_City,$Q$4,d_Cuisine,$R$4,d_Pay,$S$4,d_Type,$T$4)</f>
        <v>57273</v>
      </c>
      <c r="F66" s="45" t="n">
        <f aca="false">SUMIFS(d_Disc,d_Date,"&gt;="&amp;$C66,d_Date,"&lt;"&amp;EDATE($C66,1),d_Status,"Delivered",d_Year,$P$4,d_City,$Q$4,d_Cuisine,$R$4,d_Pay,$S$4,d_Type,$T$4)</f>
        <v>4075</v>
      </c>
      <c r="G66" s="45" t="n">
        <f aca="false">SUMIFS(d_Net,d_Date,"&gt;="&amp;$C66,d_Date,"&lt;"&amp;EDATE($C66,1),d_Status,"Delivered",d_Year,$P$4,d_City,$Q$4,d_Cuisine,$R$4,d_Pay,$S$4,d_Type,$T$4)</f>
        <v>53242</v>
      </c>
      <c r="H66" s="45" t="n">
        <f aca="false">IFERROR(G66/D66,0)</f>
        <v>917.965517241379</v>
      </c>
    </row>
    <row r="67" customFormat="false" ht="15" hidden="false" customHeight="false" outlineLevel="0" collapsed="false">
      <c r="B67" s="38" t="str">
        <f aca="false">TEXT(C67,"mmm-yy")</f>
        <v>Jul-25</v>
      </c>
      <c r="C67" s="39" t="n">
        <v>45839</v>
      </c>
      <c r="D67" s="40" t="n">
        <f aca="false">COUNTIFS(d_Date,"&gt;="&amp;$C67,d_Date,"&lt;"&amp;EDATE($C67,1),d_Status,"Delivered",d_Year,$P$4,d_City,$Q$4,d_Cuisine,$R$4,d_Pay,$S$4,d_Type,$T$4)</f>
        <v>59</v>
      </c>
      <c r="E67" s="41" t="n">
        <f aca="false">SUMIFS(d_Gross,d_Date,"&gt;="&amp;$C67,d_Date,"&lt;"&amp;EDATE($C67,1),d_Status,"Delivered",d_Year,$P$4,d_City,$Q$4,d_Cuisine,$R$4,d_Pay,$S$4,d_Type,$T$4)</f>
        <v>63191</v>
      </c>
      <c r="F67" s="41" t="n">
        <f aca="false">SUMIFS(d_Disc,d_Date,"&gt;="&amp;$C67,d_Date,"&lt;"&amp;EDATE($C67,1),d_Status,"Delivered",d_Year,$P$4,d_City,$Q$4,d_Cuisine,$R$4,d_Pay,$S$4,d_Type,$T$4)</f>
        <v>4490</v>
      </c>
      <c r="G67" s="41" t="n">
        <f aca="false">SUMIFS(d_Net,d_Date,"&gt;="&amp;$C67,d_Date,"&lt;"&amp;EDATE($C67,1),d_Status,"Delivered",d_Year,$P$4,d_City,$Q$4,d_Cuisine,$R$4,d_Pay,$S$4,d_Type,$T$4)</f>
        <v>58701</v>
      </c>
      <c r="H67" s="41" t="n">
        <f aca="false">IFERROR(G67/D67,0)</f>
        <v>994.932203389831</v>
      </c>
    </row>
    <row r="68" customFormat="false" ht="15" hidden="false" customHeight="false" outlineLevel="0" collapsed="false">
      <c r="B68" s="42" t="str">
        <f aca="false">TEXT(C68,"mmm-yy")</f>
        <v>Aug-25</v>
      </c>
      <c r="C68" s="43" t="n">
        <v>45870</v>
      </c>
      <c r="D68" s="44" t="n">
        <f aca="false">COUNTIFS(d_Date,"&gt;="&amp;$C68,d_Date,"&lt;"&amp;EDATE($C68,1),d_Status,"Delivered",d_Year,$P$4,d_City,$Q$4,d_Cuisine,$R$4,d_Pay,$S$4,d_Type,$T$4)</f>
        <v>70</v>
      </c>
      <c r="E68" s="45" t="n">
        <f aca="false">SUMIFS(d_Gross,d_Date,"&gt;="&amp;$C68,d_Date,"&lt;"&amp;EDATE($C68,1),d_Status,"Delivered",d_Year,$P$4,d_City,$Q$4,d_Cuisine,$R$4,d_Pay,$S$4,d_Type,$T$4)</f>
        <v>60407</v>
      </c>
      <c r="F68" s="45" t="n">
        <f aca="false">SUMIFS(d_Disc,d_Date,"&gt;="&amp;$C68,d_Date,"&lt;"&amp;EDATE($C68,1),d_Status,"Delivered",d_Year,$P$4,d_City,$Q$4,d_Cuisine,$R$4,d_Pay,$S$4,d_Type,$T$4)</f>
        <v>4935</v>
      </c>
      <c r="G68" s="45" t="n">
        <f aca="false">SUMIFS(d_Net,d_Date,"&gt;="&amp;$C68,d_Date,"&lt;"&amp;EDATE($C68,1),d_Status,"Delivered",d_Year,$P$4,d_City,$Q$4,d_Cuisine,$R$4,d_Pay,$S$4,d_Type,$T$4)</f>
        <v>55472</v>
      </c>
      <c r="H68" s="45" t="n">
        <f aca="false">IFERROR(G68/D68,0)</f>
        <v>792.457142857143</v>
      </c>
    </row>
    <row r="69" customFormat="false" ht="15" hidden="false" customHeight="false" outlineLevel="0" collapsed="false">
      <c r="B69" s="38" t="str">
        <f aca="false">TEXT(C69,"mmm-yy")</f>
        <v>Sep-25</v>
      </c>
      <c r="C69" s="39" t="n">
        <v>45901</v>
      </c>
      <c r="D69" s="40" t="n">
        <f aca="false">COUNTIFS(d_Date,"&gt;="&amp;$C69,d_Date,"&lt;"&amp;EDATE($C69,1),d_Status,"Delivered",d_Year,$P$4,d_City,$Q$4,d_Cuisine,$R$4,d_Pay,$S$4,d_Type,$T$4)</f>
        <v>60</v>
      </c>
      <c r="E69" s="41" t="n">
        <f aca="false">SUMIFS(d_Gross,d_Date,"&gt;="&amp;$C69,d_Date,"&lt;"&amp;EDATE($C69,1),d_Status,"Delivered",d_Year,$P$4,d_City,$Q$4,d_Cuisine,$R$4,d_Pay,$S$4,d_Type,$T$4)</f>
        <v>57870</v>
      </c>
      <c r="F69" s="41" t="n">
        <f aca="false">SUMIFS(d_Disc,d_Date,"&gt;="&amp;$C69,d_Date,"&lt;"&amp;EDATE($C69,1),d_Status,"Delivered",d_Year,$P$4,d_City,$Q$4,d_Cuisine,$R$4,d_Pay,$S$4,d_Type,$T$4)</f>
        <v>4040</v>
      </c>
      <c r="G69" s="41" t="n">
        <f aca="false">SUMIFS(d_Net,d_Date,"&gt;="&amp;$C69,d_Date,"&lt;"&amp;EDATE($C69,1),d_Status,"Delivered",d_Year,$P$4,d_City,$Q$4,d_Cuisine,$R$4,d_Pay,$S$4,d_Type,$T$4)</f>
        <v>53830</v>
      </c>
      <c r="H69" s="41" t="n">
        <f aca="false">IFERROR(G69/D69,0)</f>
        <v>897.166666666667</v>
      </c>
    </row>
    <row r="70" customFormat="false" ht="15" hidden="false" customHeight="false" outlineLevel="0" collapsed="false">
      <c r="B70" s="42" t="str">
        <f aca="false">TEXT(C70,"mmm-yy")</f>
        <v>Oct-25</v>
      </c>
      <c r="C70" s="43" t="n">
        <v>45931</v>
      </c>
      <c r="D70" s="44" t="n">
        <f aca="false">COUNTIFS(d_Date,"&gt;="&amp;$C70,d_Date,"&lt;"&amp;EDATE($C70,1),d_Status,"Delivered",d_Year,$P$4,d_City,$Q$4,d_Cuisine,$R$4,d_Pay,$S$4,d_Type,$T$4)</f>
        <v>63</v>
      </c>
      <c r="E70" s="45" t="n">
        <f aca="false">SUMIFS(d_Gross,d_Date,"&gt;="&amp;$C70,d_Date,"&lt;"&amp;EDATE($C70,1),d_Status,"Delivered",d_Year,$P$4,d_City,$Q$4,d_Cuisine,$R$4,d_Pay,$S$4,d_Type,$T$4)</f>
        <v>58274</v>
      </c>
      <c r="F70" s="45" t="n">
        <f aca="false">SUMIFS(d_Disc,d_Date,"&gt;="&amp;$C70,d_Date,"&lt;"&amp;EDATE($C70,1),d_Status,"Delivered",d_Year,$P$4,d_City,$Q$4,d_Cuisine,$R$4,d_Pay,$S$4,d_Type,$T$4)</f>
        <v>4555</v>
      </c>
      <c r="G70" s="45" t="n">
        <f aca="false">SUMIFS(d_Net,d_Date,"&gt;="&amp;$C70,d_Date,"&lt;"&amp;EDATE($C70,1),d_Status,"Delivered",d_Year,$P$4,d_City,$Q$4,d_Cuisine,$R$4,d_Pay,$S$4,d_Type,$T$4)</f>
        <v>53755</v>
      </c>
      <c r="H70" s="45" t="n">
        <f aca="false">IFERROR(G70/D70,0)</f>
        <v>853.253968253968</v>
      </c>
    </row>
    <row r="71" customFormat="false" ht="15" hidden="false" customHeight="false" outlineLevel="0" collapsed="false">
      <c r="B71" s="38" t="str">
        <f aca="false">TEXT(C71,"mmm-yy")</f>
        <v>Nov-25</v>
      </c>
      <c r="C71" s="39" t="n">
        <v>45962</v>
      </c>
      <c r="D71" s="40" t="n">
        <f aca="false">COUNTIFS(d_Date,"&gt;="&amp;$C71,d_Date,"&lt;"&amp;EDATE($C71,1),d_Status,"Delivered",d_Year,$P$4,d_City,$Q$4,d_Cuisine,$R$4,d_Pay,$S$4,d_Type,$T$4)</f>
        <v>61</v>
      </c>
      <c r="E71" s="41" t="n">
        <f aca="false">SUMIFS(d_Gross,d_Date,"&gt;="&amp;$C71,d_Date,"&lt;"&amp;EDATE($C71,1),d_Status,"Delivered",d_Year,$P$4,d_City,$Q$4,d_Cuisine,$R$4,d_Pay,$S$4,d_Type,$T$4)</f>
        <v>61149</v>
      </c>
      <c r="F71" s="41" t="n">
        <f aca="false">SUMIFS(d_Disc,d_Date,"&gt;="&amp;$C71,d_Date,"&lt;"&amp;EDATE($C71,1),d_Status,"Delivered",d_Year,$P$4,d_City,$Q$4,d_Cuisine,$R$4,d_Pay,$S$4,d_Type,$T$4)</f>
        <v>4395</v>
      </c>
      <c r="G71" s="41" t="n">
        <f aca="false">SUMIFS(d_Net,d_Date,"&gt;="&amp;$C71,d_Date,"&lt;"&amp;EDATE($C71,1),d_Status,"Delivered",d_Year,$P$4,d_City,$Q$4,d_Cuisine,$R$4,d_Pay,$S$4,d_Type,$T$4)</f>
        <v>56754</v>
      </c>
      <c r="H71" s="41" t="n">
        <f aca="false">IFERROR(G71/D71,0)</f>
        <v>930.393442622951</v>
      </c>
    </row>
    <row r="72" customFormat="false" ht="15" hidden="false" customHeight="false" outlineLevel="0" collapsed="false">
      <c r="B72" s="42" t="str">
        <f aca="false">TEXT(C72,"mmm-yy")</f>
        <v>Dec-25</v>
      </c>
      <c r="C72" s="43" t="n">
        <v>45992</v>
      </c>
      <c r="D72" s="44" t="n">
        <f aca="false">COUNTIFS(d_Date,"&gt;="&amp;$C72,d_Date,"&lt;"&amp;EDATE($C72,1),d_Status,"Delivered",d_Year,$P$4,d_City,$Q$4,d_Cuisine,$R$4,d_Pay,$S$4,d_Type,$T$4)</f>
        <v>61</v>
      </c>
      <c r="E72" s="45" t="n">
        <f aca="false">SUMIFS(d_Gross,d_Date,"&gt;="&amp;$C72,d_Date,"&lt;"&amp;EDATE($C72,1),d_Status,"Delivered",d_Year,$P$4,d_City,$Q$4,d_Cuisine,$R$4,d_Pay,$S$4,d_Type,$T$4)</f>
        <v>57316</v>
      </c>
      <c r="F72" s="45" t="n">
        <f aca="false">SUMIFS(d_Disc,d_Date,"&gt;="&amp;$C72,d_Date,"&lt;"&amp;EDATE($C72,1),d_Status,"Delivered",d_Year,$P$4,d_City,$Q$4,d_Cuisine,$R$4,d_Pay,$S$4,d_Type,$T$4)</f>
        <v>3985</v>
      </c>
      <c r="G72" s="45" t="n">
        <f aca="false">SUMIFS(d_Net,d_Date,"&gt;="&amp;$C72,d_Date,"&lt;"&amp;EDATE($C72,1),d_Status,"Delivered",d_Year,$P$4,d_City,$Q$4,d_Cuisine,$R$4,d_Pay,$S$4,d_Type,$T$4)</f>
        <v>53347</v>
      </c>
      <c r="H72" s="45" t="n">
        <f aca="false">IFERROR(G72/D72,0)</f>
        <v>874.540983606557</v>
      </c>
    </row>
    <row r="73" customFormat="false" ht="15" hidden="false" customHeight="false" outlineLevel="0" collapsed="false">
      <c r="B73" s="38" t="str">
        <f aca="false">TEXT(C73,"mmm-yy")</f>
        <v>Jan-26</v>
      </c>
      <c r="C73" s="39" t="n">
        <v>46023</v>
      </c>
      <c r="D73" s="40" t="n">
        <f aca="false">COUNTIFS(d_Date,"&gt;="&amp;$C73,d_Date,"&lt;"&amp;EDATE($C73,1),d_Status,"Delivered",d_Year,$P$4,d_City,$Q$4,d_Cuisine,$R$4,d_Pay,$S$4,d_Type,$T$4)</f>
        <v>63</v>
      </c>
      <c r="E73" s="41" t="n">
        <f aca="false">SUMIFS(d_Gross,d_Date,"&gt;="&amp;$C73,d_Date,"&lt;"&amp;EDATE($C73,1),d_Status,"Delivered",d_Year,$P$4,d_City,$Q$4,d_Cuisine,$R$4,d_Pay,$S$4,d_Type,$T$4)</f>
        <v>57356</v>
      </c>
      <c r="F73" s="41" t="n">
        <f aca="false">SUMIFS(d_Disc,d_Date,"&gt;="&amp;$C73,d_Date,"&lt;"&amp;EDATE($C73,1),d_Status,"Delivered",d_Year,$P$4,d_City,$Q$4,d_Cuisine,$R$4,d_Pay,$S$4,d_Type,$T$4)</f>
        <v>3985</v>
      </c>
      <c r="G73" s="41" t="n">
        <f aca="false">SUMIFS(d_Net,d_Date,"&gt;="&amp;$C73,d_Date,"&lt;"&amp;EDATE($C73,1),d_Status,"Delivered",d_Year,$P$4,d_City,$Q$4,d_Cuisine,$R$4,d_Pay,$S$4,d_Type,$T$4)</f>
        <v>53371</v>
      </c>
      <c r="H73" s="41" t="n">
        <f aca="false">IFERROR(G73/D73,0)</f>
        <v>847.15873015873</v>
      </c>
    </row>
    <row r="74" customFormat="false" ht="15" hidden="false" customHeight="false" outlineLevel="0" collapsed="false">
      <c r="B74" s="42" t="str">
        <f aca="false">TEXT(C74,"mmm-yy")</f>
        <v>Feb-26</v>
      </c>
      <c r="C74" s="43" t="n">
        <v>46054</v>
      </c>
      <c r="D74" s="44" t="n">
        <f aca="false">COUNTIFS(d_Date,"&gt;="&amp;$C74,d_Date,"&lt;"&amp;EDATE($C74,1),d_Status,"Delivered",d_Year,$P$4,d_City,$Q$4,d_Cuisine,$R$4,d_Pay,$S$4,d_Type,$T$4)</f>
        <v>7</v>
      </c>
      <c r="E74" s="45" t="n">
        <f aca="false">SUMIFS(d_Gross,d_Date,"&gt;="&amp;$C74,d_Date,"&lt;"&amp;EDATE($C74,1),d_Status,"Delivered",d_Year,$P$4,d_City,$Q$4,d_Cuisine,$R$4,d_Pay,$S$4,d_Type,$T$4)</f>
        <v>4808</v>
      </c>
      <c r="F74" s="45" t="n">
        <f aca="false">SUMIFS(d_Disc,d_Date,"&gt;="&amp;$C74,d_Date,"&lt;"&amp;EDATE($C74,1),d_Status,"Delivered",d_Year,$P$4,d_City,$Q$4,d_Cuisine,$R$4,d_Pay,$S$4,d_Type,$T$4)</f>
        <v>785</v>
      </c>
      <c r="G74" s="45" t="n">
        <f aca="false">SUMIFS(d_Net,d_Date,"&gt;="&amp;$C74,d_Date,"&lt;"&amp;EDATE($C74,1),d_Status,"Delivered",d_Year,$P$4,d_City,$Q$4,d_Cuisine,$R$4,d_Pay,$S$4,d_Type,$T$4)</f>
        <v>4025</v>
      </c>
      <c r="H74" s="45" t="n">
        <f aca="false">IFERROR(G74/D74,0)</f>
        <v>575</v>
      </c>
    </row>
    <row r="75" customFormat="false" ht="15" hidden="false" customHeight="false" outlineLevel="0" collapsed="false">
      <c r="B75" s="46" t="s">
        <v>69</v>
      </c>
      <c r="C75" s="47"/>
      <c r="D75" s="48" t="n">
        <f aca="false">SUM(D61:D74)</f>
        <v>791</v>
      </c>
      <c r="E75" s="49" t="n">
        <f aca="false">SUM(E61:E74)</f>
        <v>755840</v>
      </c>
      <c r="F75" s="49" t="n">
        <f aca="false">SUM(F61:F74)</f>
        <v>56065</v>
      </c>
      <c r="G75" s="49" t="n">
        <f aca="false">SUM(G61:G74)</f>
        <v>699950</v>
      </c>
      <c r="H75" s="49" t="n">
        <f aca="false">IFERROR(G75/D75,0)</f>
        <v>884.892541087231</v>
      </c>
    </row>
    <row r="76" customFormat="false" ht="15" hidden="false" customHeight="false" outlineLevel="0" collapsed="false">
      <c r="B76" s="50" t="s">
        <v>321</v>
      </c>
    </row>
    <row r="79" customFormat="false" ht="15" hidden="false" customHeight="false" outlineLevel="0" collapsed="false">
      <c r="B79" s="35" t="s">
        <v>322</v>
      </c>
    </row>
    <row r="80" customFormat="false" ht="30" hidden="false" customHeight="true" outlineLevel="0" collapsed="false">
      <c r="B80" s="36" t="s">
        <v>99</v>
      </c>
      <c r="C80" s="37" t="s">
        <v>9</v>
      </c>
      <c r="D80" s="37" t="s">
        <v>318</v>
      </c>
      <c r="E80" s="37" t="s">
        <v>319</v>
      </c>
      <c r="F80" s="37" t="s">
        <v>126</v>
      </c>
      <c r="G80" s="37" t="s">
        <v>323</v>
      </c>
      <c r="H80" s="37" t="s">
        <v>320</v>
      </c>
    </row>
    <row r="81" customFormat="false" ht="15" hidden="false" customHeight="false" outlineLevel="0" collapsed="false">
      <c r="B81" s="38" t="s">
        <v>100</v>
      </c>
      <c r="C81" s="40" t="n">
        <f aca="false">COUNTIFS(d_City,$B81,d_Status,"Delivered",d_Year,$P$4,d_City,$Q$4,d_Cuisine,$R$4,d_Pay,$S$4,d_Type,$T$4)</f>
        <v>81</v>
      </c>
      <c r="D81" s="41" t="n">
        <f aca="false">SUMIFS(d_Gross,d_City,$B81,d_Status,"Delivered",d_Year,$P$4,d_City,$Q$4,d_Cuisine,$R$4,d_Pay,$S$4,d_Type,$T$4)</f>
        <v>78708</v>
      </c>
      <c r="E81" s="41" t="n">
        <f aca="false">SUMIFS(d_Disc,d_City,$B81,d_Status,"Delivered",d_Year,$P$4,d_City,$Q$4,d_Cuisine,$R$4,d_Pay,$S$4,d_Type,$T$4)</f>
        <v>6615</v>
      </c>
      <c r="F81" s="41" t="n">
        <f aca="false">SUMIFS(d_Net,d_City,$B81,d_Status,"Delivered",d_Year,$P$4,d_City,$Q$4,d_Cuisine,$R$4,d_Pay,$S$4,d_Type,$T$4)</f>
        <v>72095</v>
      </c>
      <c r="G81" s="51" t="n">
        <f aca="false">IFERROR(F81/SUMIFS(d_Net,d_Status,"Delivered",d_Year,$P$4,d_City,$Q$4,d_Cuisine,$R$4,d_Pay,$S$4,d_Type,$T$4),0)</f>
        <v>0.103000214301022</v>
      </c>
      <c r="H81" s="41" t="n">
        <f aca="false">IFERROR(F81/C81,0)</f>
        <v>890.061728395062</v>
      </c>
    </row>
    <row r="82" customFormat="false" ht="15" hidden="false" customHeight="false" outlineLevel="0" collapsed="false">
      <c r="B82" s="42" t="s">
        <v>101</v>
      </c>
      <c r="C82" s="44" t="n">
        <f aca="false">COUNTIFS(d_City,$B82,d_Status,"Delivered",d_Year,$P$4,d_City,$Q$4,d_Cuisine,$R$4,d_Pay,$S$4,d_Type,$T$4)</f>
        <v>80</v>
      </c>
      <c r="D82" s="45" t="n">
        <f aca="false">SUMIFS(d_Gross,d_City,$B82,d_Status,"Delivered",d_Year,$P$4,d_City,$Q$4,d_Cuisine,$R$4,d_Pay,$S$4,d_Type,$T$4)</f>
        <v>73459</v>
      </c>
      <c r="E82" s="45" t="n">
        <f aca="false">SUMIFS(d_Disc,d_City,$B82,d_Status,"Delivered",d_Year,$P$4,d_City,$Q$4,d_Cuisine,$R$4,d_Pay,$S$4,d_Type,$T$4)</f>
        <v>5220</v>
      </c>
      <c r="F82" s="45" t="n">
        <f aca="false">SUMIFS(d_Net,d_City,$B82,d_Status,"Delivered",d_Year,$P$4,d_City,$Q$4,d_Cuisine,$R$4,d_Pay,$S$4,d_Type,$T$4)</f>
        <v>68239</v>
      </c>
      <c r="G82" s="52" t="n">
        <f aca="false">IFERROR(F82/SUMIFS(d_Net,d_Status,"Delivered",d_Year,$P$4,d_City,$Q$4,d_Cuisine,$R$4,d_Pay,$S$4,d_Type,$T$4),0)</f>
        <v>0.0974912493749554</v>
      </c>
      <c r="H82" s="45" t="n">
        <f aca="false">IFERROR(F82/C82,0)</f>
        <v>852.9875</v>
      </c>
    </row>
    <row r="83" customFormat="false" ht="15" hidden="false" customHeight="false" outlineLevel="0" collapsed="false">
      <c r="B83" s="38" t="s">
        <v>102</v>
      </c>
      <c r="C83" s="40" t="n">
        <f aca="false">COUNTIFS(d_City,$B83,d_Status,"Delivered",d_Year,$P$4,d_City,$Q$4,d_Cuisine,$R$4,d_Pay,$S$4,d_Type,$T$4)</f>
        <v>71</v>
      </c>
      <c r="D83" s="41" t="n">
        <f aca="false">SUMIFS(d_Gross,d_City,$B83,d_Status,"Delivered",d_Year,$P$4,d_City,$Q$4,d_Cuisine,$R$4,d_Pay,$S$4,d_Type,$T$4)</f>
        <v>67838</v>
      </c>
      <c r="E83" s="41" t="n">
        <f aca="false">SUMIFS(d_Disc,d_City,$B83,d_Status,"Delivered",d_Year,$P$4,d_City,$Q$4,d_Cuisine,$R$4,d_Pay,$S$4,d_Type,$T$4)</f>
        <v>4600</v>
      </c>
      <c r="F83" s="41" t="n">
        <f aca="false">SUMIFS(d_Net,d_City,$B83,d_Status,"Delivered",d_Year,$P$4,d_City,$Q$4,d_Cuisine,$R$4,d_Pay,$S$4,d_Type,$T$4)</f>
        <v>63265</v>
      </c>
      <c r="G83" s="51" t="n">
        <f aca="false">IFERROR(F83/SUMIFS(d_Net,d_Status,"Delivered",d_Year,$P$4,d_City,$Q$4,d_Cuisine,$R$4,d_Pay,$S$4,d_Type,$T$4),0)</f>
        <v>0.0903850275019644</v>
      </c>
      <c r="H83" s="41" t="n">
        <f aca="false">IFERROR(F83/C83,0)</f>
        <v>891.056338028169</v>
      </c>
    </row>
    <row r="84" customFormat="false" ht="15" hidden="false" customHeight="false" outlineLevel="0" collapsed="false">
      <c r="B84" s="42" t="s">
        <v>103</v>
      </c>
      <c r="C84" s="44" t="n">
        <f aca="false">COUNTIFS(d_City,$B84,d_Status,"Delivered",d_Year,$P$4,d_City,$Q$4,d_Cuisine,$R$4,d_Pay,$S$4,d_Type,$T$4)</f>
        <v>72</v>
      </c>
      <c r="D84" s="45" t="n">
        <f aca="false">SUMIFS(d_Gross,d_City,$B84,d_Status,"Delivered",d_Year,$P$4,d_City,$Q$4,d_Cuisine,$R$4,d_Pay,$S$4,d_Type,$T$4)</f>
        <v>68210</v>
      </c>
      <c r="E84" s="45" t="n">
        <f aca="false">SUMIFS(d_Disc,d_City,$B84,d_Status,"Delivered",d_Year,$P$4,d_City,$Q$4,d_Cuisine,$R$4,d_Pay,$S$4,d_Type,$T$4)</f>
        <v>6240</v>
      </c>
      <c r="F84" s="45" t="n">
        <f aca="false">SUMIFS(d_Net,d_City,$B84,d_Status,"Delivered",d_Year,$P$4,d_City,$Q$4,d_Cuisine,$R$4,d_Pay,$S$4,d_Type,$T$4)</f>
        <v>61979</v>
      </c>
      <c r="G84" s="52" t="n">
        <f aca="false">IFERROR(F84/SUMIFS(d_Net,d_Status,"Delivered",d_Year,$P$4,d_City,$Q$4,d_Cuisine,$R$4,d_Pay,$S$4,d_Type,$T$4),0)</f>
        <v>0.0885477534109579</v>
      </c>
      <c r="H84" s="45" t="n">
        <f aca="false">IFERROR(F84/C84,0)</f>
        <v>860.819444444445</v>
      </c>
    </row>
    <row r="85" customFormat="false" ht="15" hidden="false" customHeight="false" outlineLevel="0" collapsed="false">
      <c r="B85" s="38" t="s">
        <v>104</v>
      </c>
      <c r="C85" s="40" t="n">
        <f aca="false">COUNTIFS(d_City,$B85,d_Status,"Delivered",d_Year,$P$4,d_City,$Q$4,d_Cuisine,$R$4,d_Pay,$S$4,d_Type,$T$4)</f>
        <v>67</v>
      </c>
      <c r="D85" s="41" t="n">
        <f aca="false">SUMIFS(d_Gross,d_City,$B85,d_Status,"Delivered",d_Year,$P$4,d_City,$Q$4,d_Cuisine,$R$4,d_Pay,$S$4,d_Type,$T$4)</f>
        <v>67623</v>
      </c>
      <c r="E85" s="41" t="n">
        <f aca="false">SUMIFS(d_Disc,d_City,$B85,d_Status,"Delivered",d_Year,$P$4,d_City,$Q$4,d_Cuisine,$R$4,d_Pay,$S$4,d_Type,$T$4)</f>
        <v>4305</v>
      </c>
      <c r="F85" s="41" t="n">
        <f aca="false">SUMIFS(d_Net,d_City,$B85,d_Status,"Delivered",d_Year,$P$4,d_City,$Q$4,d_Cuisine,$R$4,d_Pay,$S$4,d_Type,$T$4)</f>
        <v>63318</v>
      </c>
      <c r="G85" s="51" t="n">
        <f aca="false">IFERROR(F85/SUMIFS(d_Net,d_Status,"Delivered",d_Year,$P$4,d_City,$Q$4,d_Cuisine,$R$4,d_Pay,$S$4,d_Type,$T$4),0)</f>
        <v>0.0904607471962283</v>
      </c>
      <c r="H85" s="41" t="n">
        <f aca="false">IFERROR(F85/C85,0)</f>
        <v>945.044776119403</v>
      </c>
    </row>
    <row r="86" customFormat="false" ht="15" hidden="false" customHeight="false" outlineLevel="0" collapsed="false">
      <c r="B86" s="42" t="s">
        <v>105</v>
      </c>
      <c r="C86" s="44" t="n">
        <f aca="false">COUNTIFS(d_City,$B86,d_Status,"Delivered",d_Year,$P$4,d_City,$Q$4,d_Cuisine,$R$4,d_Pay,$S$4,d_Type,$T$4)</f>
        <v>71</v>
      </c>
      <c r="D86" s="45" t="n">
        <f aca="false">SUMIFS(d_Gross,d_City,$B86,d_Status,"Delivered",d_Year,$P$4,d_City,$Q$4,d_Cuisine,$R$4,d_Pay,$S$4,d_Type,$T$4)</f>
        <v>66968</v>
      </c>
      <c r="E86" s="45" t="n">
        <f aca="false">SUMIFS(d_Disc,d_City,$B86,d_Status,"Delivered",d_Year,$P$4,d_City,$Q$4,d_Cuisine,$R$4,d_Pay,$S$4,d_Type,$T$4)</f>
        <v>4645</v>
      </c>
      <c r="F86" s="45" t="n">
        <f aca="false">SUMIFS(d_Net,d_City,$B86,d_Status,"Delivered",d_Year,$P$4,d_City,$Q$4,d_Cuisine,$R$4,d_Pay,$S$4,d_Type,$T$4)</f>
        <v>62339</v>
      </c>
      <c r="G86" s="52" t="n">
        <f aca="false">IFERROR(F86/SUMIFS(d_Net,d_Status,"Delivered",d_Year,$P$4,d_City,$Q$4,d_Cuisine,$R$4,d_Pay,$S$4,d_Type,$T$4),0)</f>
        <v>0.0890620758625616</v>
      </c>
      <c r="H86" s="45" t="n">
        <f aca="false">IFERROR(F86/C86,0)</f>
        <v>878.014084507042</v>
      </c>
    </row>
    <row r="87" customFormat="false" ht="15" hidden="false" customHeight="false" outlineLevel="0" collapsed="false">
      <c r="B87" s="38" t="s">
        <v>106</v>
      </c>
      <c r="C87" s="40" t="n">
        <f aca="false">COUNTIFS(d_City,$B87,d_Status,"Delivered",d_Year,$P$4,d_City,$Q$4,d_Cuisine,$R$4,d_Pay,$S$4,d_Type,$T$4)</f>
        <v>57</v>
      </c>
      <c r="D87" s="41" t="n">
        <f aca="false">SUMIFS(d_Gross,d_City,$B87,d_Status,"Delivered",d_Year,$P$4,d_City,$Q$4,d_Cuisine,$R$4,d_Pay,$S$4,d_Type,$T$4)</f>
        <v>55758</v>
      </c>
      <c r="E87" s="41" t="n">
        <f aca="false">SUMIFS(d_Disc,d_City,$B87,d_Status,"Delivered",d_Year,$P$4,d_City,$Q$4,d_Cuisine,$R$4,d_Pay,$S$4,d_Type,$T$4)</f>
        <v>4695</v>
      </c>
      <c r="F87" s="41" t="n">
        <f aca="false">SUMIFS(d_Net,d_City,$B87,d_Status,"Delivered",d_Year,$P$4,d_City,$Q$4,d_Cuisine,$R$4,d_Pay,$S$4,d_Type,$T$4)</f>
        <v>51140</v>
      </c>
      <c r="G87" s="51" t="n">
        <f aca="false">IFERROR(F87/SUMIFS(d_Net,d_Status,"Delivered",d_Year,$P$4,d_City,$Q$4,d_Cuisine,$R$4,d_Pay,$S$4,d_Type,$T$4),0)</f>
        <v>0.0730623615972569</v>
      </c>
      <c r="H87" s="41" t="n">
        <f aca="false">IFERROR(F87/C87,0)</f>
        <v>897.19298245614</v>
      </c>
    </row>
    <row r="88" customFormat="false" ht="15" hidden="false" customHeight="false" outlineLevel="0" collapsed="false">
      <c r="B88" s="42" t="s">
        <v>107</v>
      </c>
      <c r="C88" s="44" t="n">
        <f aca="false">COUNTIFS(d_City,$B88,d_Status,"Delivered",d_Year,$P$4,d_City,$Q$4,d_Cuisine,$R$4,d_Pay,$S$4,d_Type,$T$4)</f>
        <v>61</v>
      </c>
      <c r="D88" s="45" t="n">
        <f aca="false">SUMIFS(d_Gross,d_City,$B88,d_Status,"Delivered",d_Year,$P$4,d_City,$Q$4,d_Cuisine,$R$4,d_Pay,$S$4,d_Type,$T$4)</f>
        <v>55660</v>
      </c>
      <c r="E88" s="45" t="n">
        <f aca="false">SUMIFS(d_Disc,d_City,$B88,d_Status,"Delivered",d_Year,$P$4,d_City,$Q$4,d_Cuisine,$R$4,d_Pay,$S$4,d_Type,$T$4)</f>
        <v>4450</v>
      </c>
      <c r="F88" s="45" t="n">
        <f aca="false">SUMIFS(d_Net,d_City,$B88,d_Status,"Delivered",d_Year,$P$4,d_City,$Q$4,d_Cuisine,$R$4,d_Pay,$S$4,d_Type,$T$4)</f>
        <v>51254</v>
      </c>
      <c r="G88" s="52" t="n">
        <f aca="false">IFERROR(F88/SUMIFS(d_Net,d_Status,"Delivered",d_Year,$P$4,d_City,$Q$4,d_Cuisine,$R$4,d_Pay,$S$4,d_Type,$T$4),0)</f>
        <v>0.0732252303735981</v>
      </c>
      <c r="H88" s="45" t="n">
        <f aca="false">IFERROR(F88/C88,0)</f>
        <v>840.229508196721</v>
      </c>
    </row>
    <row r="89" customFormat="false" ht="15" hidden="false" customHeight="false" outlineLevel="0" collapsed="false">
      <c r="B89" s="38" t="s">
        <v>108</v>
      </c>
      <c r="C89" s="40" t="n">
        <f aca="false">COUNTIFS(d_City,$B89,d_Status,"Delivered",d_Year,$P$4,d_City,$Q$4,d_Cuisine,$R$4,d_Pay,$S$4,d_Type,$T$4)</f>
        <v>62</v>
      </c>
      <c r="D89" s="41" t="n">
        <f aca="false">SUMIFS(d_Gross,d_City,$B89,d_Status,"Delivered",d_Year,$P$4,d_City,$Q$4,d_Cuisine,$R$4,d_Pay,$S$4,d_Type,$T$4)</f>
        <v>54061</v>
      </c>
      <c r="E89" s="41" t="n">
        <f aca="false">SUMIFS(d_Disc,d_City,$B89,d_Status,"Delivered",d_Year,$P$4,d_City,$Q$4,d_Cuisine,$R$4,d_Pay,$S$4,d_Type,$T$4)</f>
        <v>3350</v>
      </c>
      <c r="F89" s="41" t="n">
        <f aca="false">SUMIFS(d_Net,d_City,$B89,d_Status,"Delivered",d_Year,$P$4,d_City,$Q$4,d_Cuisine,$R$4,d_Pay,$S$4,d_Type,$T$4)</f>
        <v>50711</v>
      </c>
      <c r="G89" s="51" t="n">
        <f aca="false">IFERROR(F89/SUMIFS(d_Net,d_Status,"Delivered",d_Year,$P$4,d_City,$Q$4,d_Cuisine,$R$4,d_Pay,$S$4,d_Type,$T$4),0)</f>
        <v>0.0724494606757626</v>
      </c>
      <c r="H89" s="41" t="n">
        <f aca="false">IFERROR(F89/C89,0)</f>
        <v>817.91935483871</v>
      </c>
    </row>
    <row r="90" customFormat="false" ht="15" hidden="false" customHeight="false" outlineLevel="0" collapsed="false">
      <c r="B90" s="42" t="s">
        <v>109</v>
      </c>
      <c r="C90" s="44" t="n">
        <f aca="false">COUNTIFS(d_City,$B90,d_Status,"Delivered",d_Year,$P$4,d_City,$Q$4,d_Cuisine,$R$4,d_Pay,$S$4,d_Type,$T$4)</f>
        <v>61</v>
      </c>
      <c r="D90" s="45" t="n">
        <f aca="false">SUMIFS(d_Gross,d_City,$B90,d_Status,"Delivered",d_Year,$P$4,d_City,$Q$4,d_Cuisine,$R$4,d_Pay,$S$4,d_Type,$T$4)</f>
        <v>63629</v>
      </c>
      <c r="E90" s="45" t="n">
        <f aca="false">SUMIFS(d_Disc,d_City,$B90,d_Status,"Delivered",d_Year,$P$4,d_City,$Q$4,d_Cuisine,$R$4,d_Pay,$S$4,d_Type,$T$4)</f>
        <v>5040</v>
      </c>
      <c r="F90" s="45" t="n">
        <f aca="false">SUMIFS(d_Net,d_City,$B90,d_Status,"Delivered",d_Year,$P$4,d_City,$Q$4,d_Cuisine,$R$4,d_Pay,$S$4,d_Type,$T$4)</f>
        <v>58589</v>
      </c>
      <c r="G90" s="52" t="n">
        <f aca="false">IFERROR(F90/SUMIFS(d_Net,d_Status,"Delivered",d_Year,$P$4,d_City,$Q$4,d_Cuisine,$R$4,d_Pay,$S$4,d_Type,$T$4),0)</f>
        <v>0.0837045503250232</v>
      </c>
      <c r="H90" s="45" t="n">
        <f aca="false">IFERROR(F90/C90,0)</f>
        <v>960.475409836066</v>
      </c>
    </row>
    <row r="91" customFormat="false" ht="15" hidden="false" customHeight="false" outlineLevel="0" collapsed="false">
      <c r="B91" s="38" t="s">
        <v>110</v>
      </c>
      <c r="C91" s="40" t="n">
        <f aca="false">COUNTIFS(d_City,$B91,d_Status,"Delivered",d_Year,$P$4,d_City,$Q$4,d_Cuisine,$R$4,d_Pay,$S$4,d_Type,$T$4)</f>
        <v>53</v>
      </c>
      <c r="D91" s="41" t="n">
        <f aca="false">SUMIFS(d_Gross,d_City,$B91,d_Status,"Delivered",d_Year,$P$4,d_City,$Q$4,d_Cuisine,$R$4,d_Pay,$S$4,d_Type,$T$4)</f>
        <v>47690</v>
      </c>
      <c r="E91" s="41" t="n">
        <f aca="false">SUMIFS(d_Disc,d_City,$B91,d_Status,"Delivered",d_Year,$P$4,d_City,$Q$4,d_Cuisine,$R$4,d_Pay,$S$4,d_Type,$T$4)</f>
        <v>3395</v>
      </c>
      <c r="F91" s="41" t="n">
        <f aca="false">SUMIFS(d_Net,d_City,$B91,d_Status,"Delivered",d_Year,$P$4,d_City,$Q$4,d_Cuisine,$R$4,d_Pay,$S$4,d_Type,$T$4)</f>
        <v>44295</v>
      </c>
      <c r="G91" s="51" t="n">
        <f aca="false">IFERROR(F91/SUMIFS(d_Net,d_Status,"Delivered",d_Year,$P$4,d_City,$Q$4,d_Cuisine,$R$4,d_Pay,$S$4,d_Type,$T$4),0)</f>
        <v>0.0632830916494035</v>
      </c>
      <c r="H91" s="41" t="n">
        <f aca="false">IFERROR(F91/C91,0)</f>
        <v>835.754716981132</v>
      </c>
    </row>
    <row r="92" customFormat="false" ht="15" hidden="false" customHeight="false" outlineLevel="0" collapsed="false">
      <c r="B92" s="42" t="s">
        <v>111</v>
      </c>
      <c r="C92" s="44" t="n">
        <f aca="false">COUNTIFS(d_City,$B92,d_Status,"Delivered",d_Year,$P$4,d_City,$Q$4,d_Cuisine,$R$4,d_Pay,$S$4,d_Type,$T$4)</f>
        <v>55</v>
      </c>
      <c r="D92" s="45" t="n">
        <f aca="false">SUMIFS(d_Gross,d_City,$B92,d_Status,"Delivered",d_Year,$P$4,d_City,$Q$4,d_Cuisine,$R$4,d_Pay,$S$4,d_Type,$T$4)</f>
        <v>56236</v>
      </c>
      <c r="E92" s="45" t="n">
        <f aca="false">SUMIFS(d_Disc,d_City,$B92,d_Status,"Delivered",d_Year,$P$4,d_City,$Q$4,d_Cuisine,$R$4,d_Pay,$S$4,d_Type,$T$4)</f>
        <v>3510</v>
      </c>
      <c r="F92" s="45" t="n">
        <f aca="false">SUMIFS(d_Net,d_City,$B92,d_Status,"Delivered",d_Year,$P$4,d_City,$Q$4,d_Cuisine,$R$4,d_Pay,$S$4,d_Type,$T$4)</f>
        <v>52726</v>
      </c>
      <c r="G92" s="52" t="n">
        <f aca="false">IFERROR(F92/SUMIFS(d_Net,d_Status,"Delivered",d_Year,$P$4,d_City,$Q$4,d_Cuisine,$R$4,d_Pay,$S$4,d_Type,$T$4),0)</f>
        <v>0.0753282377312665</v>
      </c>
      <c r="H92" s="45" t="n">
        <f aca="false">IFERROR(F92/C92,0)</f>
        <v>958.654545454545</v>
      </c>
    </row>
    <row r="93" customFormat="false" ht="15" hidden="false" customHeight="false" outlineLevel="0" collapsed="false">
      <c r="B93" s="46" t="s">
        <v>69</v>
      </c>
      <c r="C93" s="48" t="n">
        <f aca="false">SUM(C81:C92)</f>
        <v>791</v>
      </c>
      <c r="D93" s="49" t="n">
        <f aca="false">SUM(D81:D92)</f>
        <v>755840</v>
      </c>
      <c r="E93" s="49" t="n">
        <f aca="false">SUM(E81:E92)</f>
        <v>56065</v>
      </c>
      <c r="F93" s="49" t="n">
        <f aca="false">SUM(F81:F92)</f>
        <v>699950</v>
      </c>
      <c r="G93" s="53" t="n">
        <f aca="false">SUM(G81:G92)</f>
        <v>1</v>
      </c>
      <c r="H93" s="49" t="n">
        <f aca="false">IFERROR(F93/C93,0)</f>
        <v>884.892541087231</v>
      </c>
    </row>
    <row r="96" customFormat="false" ht="15" hidden="false" customHeight="false" outlineLevel="0" collapsed="false">
      <c r="B96" s="35" t="s">
        <v>324</v>
      </c>
    </row>
    <row r="97" customFormat="false" ht="30" hidden="false" customHeight="true" outlineLevel="0" collapsed="false">
      <c r="B97" s="36" t="s">
        <v>80</v>
      </c>
      <c r="C97" s="37" t="s">
        <v>9</v>
      </c>
      <c r="D97" s="37" t="s">
        <v>318</v>
      </c>
      <c r="E97" s="37" t="s">
        <v>319</v>
      </c>
      <c r="F97" s="37" t="s">
        <v>126</v>
      </c>
      <c r="G97" s="37" t="s">
        <v>323</v>
      </c>
      <c r="H97" s="37" t="s">
        <v>320</v>
      </c>
    </row>
    <row r="98" customFormat="false" ht="15" hidden="false" customHeight="false" outlineLevel="0" collapsed="false">
      <c r="B98" s="38" t="s">
        <v>81</v>
      </c>
      <c r="C98" s="40" t="n">
        <f aca="false">COUNTIFS(d_Cuisine,$B98,d_Status,"Delivered",d_Year,$P$4,d_City,$Q$4,d_Cuisine,$R$4,d_Pay,$S$4,d_Type,$T$4)</f>
        <v>98</v>
      </c>
      <c r="D98" s="41" t="n">
        <f aca="false">SUMIFS(d_Gross,d_Cuisine,$B98,d_Status,"Delivered",d_Year,$P$4,d_City,$Q$4,d_Cuisine,$R$4,d_Pay,$S$4,d_Type,$T$4)</f>
        <v>90601</v>
      </c>
      <c r="E98" s="41" t="n">
        <f aca="false">SUMIFS(d_Disc,d_Cuisine,$B98,d_Status,"Delivered",d_Year,$P$4,d_City,$Q$4,d_Cuisine,$R$4,d_Pay,$S$4,d_Type,$T$4)</f>
        <v>5810</v>
      </c>
      <c r="F98" s="41" t="n">
        <f aca="false">SUMIFS(d_Net,d_Cuisine,$B98,d_Status,"Delivered",d_Year,$P$4,d_City,$Q$4,d_Cuisine,$R$4,d_Pay,$S$4,d_Type,$T$4)</f>
        <v>84791</v>
      </c>
      <c r="G98" s="51" t="n">
        <f aca="false">IFERROR(F98/SUMIFS(d_Net,d_Status,"Delivered",d_Year,$P$4,d_City,$Q$4,d_Cuisine,$R$4,d_Pay,$S$4,d_Type,$T$4),0)</f>
        <v>0.121138652760912</v>
      </c>
      <c r="H98" s="41" t="n">
        <f aca="false">IFERROR(F98/C98,0)</f>
        <v>865.214285714286</v>
      </c>
    </row>
    <row r="99" customFormat="false" ht="15" hidden="false" customHeight="false" outlineLevel="0" collapsed="false">
      <c r="B99" s="42" t="s">
        <v>82</v>
      </c>
      <c r="C99" s="44" t="n">
        <f aca="false">COUNTIFS(d_Cuisine,$B99,d_Status,"Delivered",d_Year,$P$4,d_City,$Q$4,d_Cuisine,$R$4,d_Pay,$S$4,d_Type,$T$4)</f>
        <v>88</v>
      </c>
      <c r="D99" s="45" t="n">
        <f aca="false">SUMIFS(d_Gross,d_Cuisine,$B99,d_Status,"Delivered",d_Year,$P$4,d_City,$Q$4,d_Cuisine,$R$4,d_Pay,$S$4,d_Type,$T$4)</f>
        <v>79762</v>
      </c>
      <c r="E99" s="45" t="n">
        <f aca="false">SUMIFS(d_Disc,d_Cuisine,$B99,d_Status,"Delivered",d_Year,$P$4,d_City,$Q$4,d_Cuisine,$R$4,d_Pay,$S$4,d_Type,$T$4)</f>
        <v>7850</v>
      </c>
      <c r="F99" s="45" t="n">
        <f aca="false">SUMIFS(d_Net,d_Cuisine,$B99,d_Status,"Delivered",d_Year,$P$4,d_City,$Q$4,d_Cuisine,$R$4,d_Pay,$S$4,d_Type,$T$4)</f>
        <v>71912</v>
      </c>
      <c r="G99" s="52" t="n">
        <f aca="false">IFERROR(F99/SUMIFS(d_Net,d_Status,"Delivered",d_Year,$P$4,d_City,$Q$4,d_Cuisine,$R$4,d_Pay,$S$4,d_Type,$T$4),0)</f>
        <v>0.10273876705479</v>
      </c>
      <c r="H99" s="45" t="n">
        <f aca="false">IFERROR(F99/C99,0)</f>
        <v>817.181818181818</v>
      </c>
    </row>
    <row r="100" customFormat="false" ht="15" hidden="false" customHeight="false" outlineLevel="0" collapsed="false">
      <c r="B100" s="38" t="s">
        <v>83</v>
      </c>
      <c r="C100" s="40" t="n">
        <f aca="false">COUNTIFS(d_Cuisine,$B100,d_Status,"Delivered",d_Year,$P$4,d_City,$Q$4,d_Cuisine,$R$4,d_Pay,$S$4,d_Type,$T$4)</f>
        <v>84</v>
      </c>
      <c r="D100" s="41" t="n">
        <f aca="false">SUMIFS(d_Gross,d_Cuisine,$B100,d_Status,"Delivered",d_Year,$P$4,d_City,$Q$4,d_Cuisine,$R$4,d_Pay,$S$4,d_Type,$T$4)</f>
        <v>76812</v>
      </c>
      <c r="E100" s="41" t="n">
        <f aca="false">SUMIFS(d_Disc,d_Cuisine,$B100,d_Status,"Delivered",d_Year,$P$4,d_City,$Q$4,d_Cuisine,$R$4,d_Pay,$S$4,d_Type,$T$4)</f>
        <v>6320</v>
      </c>
      <c r="F100" s="41" t="n">
        <f aca="false">SUMIFS(d_Net,d_Cuisine,$B100,d_Status,"Delivered",d_Year,$P$4,d_City,$Q$4,d_Cuisine,$R$4,d_Pay,$S$4,d_Type,$T$4)</f>
        <v>70578</v>
      </c>
      <c r="G100" s="51" t="n">
        <f aca="false">IFERROR(F100/SUMIFS(d_Net,d_Status,"Delivered",d_Year,$P$4,d_City,$Q$4,d_Cuisine,$R$4,d_Pay,$S$4,d_Type,$T$4),0)</f>
        <v>0.100832916636903</v>
      </c>
      <c r="H100" s="41" t="n">
        <f aca="false">IFERROR(F100/C100,0)</f>
        <v>840.214285714286</v>
      </c>
    </row>
    <row r="101" customFormat="false" ht="15" hidden="false" customHeight="false" outlineLevel="0" collapsed="false">
      <c r="B101" s="42" t="s">
        <v>84</v>
      </c>
      <c r="C101" s="44" t="n">
        <f aca="false">COUNTIFS(d_Cuisine,$B101,d_Status,"Delivered",d_Year,$P$4,d_City,$Q$4,d_Cuisine,$R$4,d_Pay,$S$4,d_Type,$T$4)</f>
        <v>83</v>
      </c>
      <c r="D101" s="45" t="n">
        <f aca="false">SUMIFS(d_Gross,d_Cuisine,$B101,d_Status,"Delivered",d_Year,$P$4,d_City,$Q$4,d_Cuisine,$R$4,d_Pay,$S$4,d_Type,$T$4)</f>
        <v>72288</v>
      </c>
      <c r="E101" s="45" t="n">
        <f aca="false">SUMIFS(d_Disc,d_Cuisine,$B101,d_Status,"Delivered",d_Year,$P$4,d_City,$Q$4,d_Cuisine,$R$4,d_Pay,$S$4,d_Type,$T$4)</f>
        <v>6220</v>
      </c>
      <c r="F101" s="45" t="n">
        <f aca="false">SUMIFS(d_Net,d_Cuisine,$B101,d_Status,"Delivered",d_Year,$P$4,d_City,$Q$4,d_Cuisine,$R$4,d_Pay,$S$4,d_Type,$T$4)</f>
        <v>66084</v>
      </c>
      <c r="G101" s="52" t="n">
        <f aca="false">IFERROR(F101/SUMIFS(d_Net,d_Status,"Delivered",d_Year,$P$4,d_City,$Q$4,d_Cuisine,$R$4,d_Pay,$S$4,d_Type,$T$4),0)</f>
        <v>0.0944124580327166</v>
      </c>
      <c r="H101" s="45" t="n">
        <f aca="false">IFERROR(F101/C101,0)</f>
        <v>796.192771084337</v>
      </c>
    </row>
    <row r="102" customFormat="false" ht="15" hidden="false" customHeight="false" outlineLevel="0" collapsed="false">
      <c r="B102" s="38" t="s">
        <v>85</v>
      </c>
      <c r="C102" s="40" t="n">
        <f aca="false">COUNTIFS(d_Cuisine,$B102,d_Status,"Delivered",d_Year,$P$4,d_City,$Q$4,d_Cuisine,$R$4,d_Pay,$S$4,d_Type,$T$4)</f>
        <v>81</v>
      </c>
      <c r="D102" s="41" t="n">
        <f aca="false">SUMIFS(d_Gross,d_Cuisine,$B102,d_Status,"Delivered",d_Year,$P$4,d_City,$Q$4,d_Cuisine,$R$4,d_Pay,$S$4,d_Type,$T$4)</f>
        <v>81394</v>
      </c>
      <c r="E102" s="41" t="n">
        <f aca="false">SUMIFS(d_Disc,d_Cuisine,$B102,d_Status,"Delivered",d_Year,$P$4,d_City,$Q$4,d_Cuisine,$R$4,d_Pay,$S$4,d_Type,$T$4)</f>
        <v>6350</v>
      </c>
      <c r="F102" s="41" t="n">
        <f aca="false">SUMIFS(d_Net,d_Cuisine,$B102,d_Status,"Delivered",d_Year,$P$4,d_City,$Q$4,d_Cuisine,$R$4,d_Pay,$S$4,d_Type,$T$4)</f>
        <v>75044</v>
      </c>
      <c r="G102" s="51" t="n">
        <f aca="false">IFERROR(F102/SUMIFS(d_Net,d_Status,"Delivered",d_Year,$P$4,d_City,$Q$4,d_Cuisine,$R$4,d_Pay,$S$4,d_Type,$T$4),0)</f>
        <v>0.107213372383742</v>
      </c>
      <c r="H102" s="41" t="n">
        <f aca="false">IFERROR(F102/C102,0)</f>
        <v>926.469135802469</v>
      </c>
    </row>
    <row r="103" customFormat="false" ht="15" hidden="false" customHeight="false" outlineLevel="0" collapsed="false">
      <c r="B103" s="42" t="s">
        <v>86</v>
      </c>
      <c r="C103" s="44" t="n">
        <f aca="false">COUNTIFS(d_Cuisine,$B103,d_Status,"Delivered",d_Year,$P$4,d_City,$Q$4,d_Cuisine,$R$4,d_Pay,$S$4,d_Type,$T$4)</f>
        <v>71</v>
      </c>
      <c r="D103" s="45" t="n">
        <f aca="false">SUMIFS(d_Gross,d_Cuisine,$B103,d_Status,"Delivered",d_Year,$P$4,d_City,$Q$4,d_Cuisine,$R$4,d_Pay,$S$4,d_Type,$T$4)</f>
        <v>70267</v>
      </c>
      <c r="E103" s="45" t="n">
        <f aca="false">SUMIFS(d_Disc,d_Cuisine,$B103,d_Status,"Delivered",d_Year,$P$4,d_City,$Q$4,d_Cuisine,$R$4,d_Pay,$S$4,d_Type,$T$4)</f>
        <v>3765</v>
      </c>
      <c r="F103" s="45" t="n">
        <f aca="false">SUMIFS(d_Net,d_Cuisine,$B103,d_Status,"Delivered",d_Year,$P$4,d_City,$Q$4,d_Cuisine,$R$4,d_Pay,$S$4,d_Type,$T$4)</f>
        <v>66546</v>
      </c>
      <c r="G103" s="52" t="n">
        <f aca="false">IFERROR(F103/SUMIFS(d_Net,d_Status,"Delivered",d_Year,$P$4,d_City,$Q$4,d_Cuisine,$R$4,d_Pay,$S$4,d_Type,$T$4),0)</f>
        <v>0.0950725051789414</v>
      </c>
      <c r="H103" s="45" t="n">
        <f aca="false">IFERROR(F103/C103,0)</f>
        <v>937.267605633803</v>
      </c>
    </row>
    <row r="104" customFormat="false" ht="15" hidden="false" customHeight="false" outlineLevel="0" collapsed="false">
      <c r="B104" s="38" t="s">
        <v>87</v>
      </c>
      <c r="C104" s="40" t="n">
        <f aca="false">COUNTIFS(d_Cuisine,$B104,d_Status,"Delivered",d_Year,$P$4,d_City,$Q$4,d_Cuisine,$R$4,d_Pay,$S$4,d_Type,$T$4)</f>
        <v>81</v>
      </c>
      <c r="D104" s="41" t="n">
        <f aca="false">SUMIFS(d_Gross,d_Cuisine,$B104,d_Status,"Delivered",d_Year,$P$4,d_City,$Q$4,d_Cuisine,$R$4,d_Pay,$S$4,d_Type,$T$4)</f>
        <v>78668</v>
      </c>
      <c r="E104" s="41" t="n">
        <f aca="false">SUMIFS(d_Disc,d_Cuisine,$B104,d_Status,"Delivered",d_Year,$P$4,d_City,$Q$4,d_Cuisine,$R$4,d_Pay,$S$4,d_Type,$T$4)</f>
        <v>5830</v>
      </c>
      <c r="F104" s="41" t="n">
        <f aca="false">SUMIFS(d_Net,d_Cuisine,$B104,d_Status,"Delivered",d_Year,$P$4,d_City,$Q$4,d_Cuisine,$R$4,d_Pay,$S$4,d_Type,$T$4)</f>
        <v>72865</v>
      </c>
      <c r="G104" s="51" t="n">
        <f aca="false">IFERROR(F104/SUMIFS(d_Net,d_Status,"Delivered",d_Year,$P$4,d_City,$Q$4,d_Cuisine,$R$4,d_Pay,$S$4,d_Type,$T$4),0)</f>
        <v>0.104100292878063</v>
      </c>
      <c r="H104" s="41" t="n">
        <f aca="false">IFERROR(F104/C104,0)</f>
        <v>899.567901234568</v>
      </c>
    </row>
    <row r="105" customFormat="false" ht="15" hidden="false" customHeight="false" outlineLevel="0" collapsed="false">
      <c r="B105" s="42" t="s">
        <v>88</v>
      </c>
      <c r="C105" s="44" t="n">
        <f aca="false">COUNTIFS(d_Cuisine,$B105,d_Status,"Delivered",d_Year,$P$4,d_City,$Q$4,d_Cuisine,$R$4,d_Pay,$S$4,d_Type,$T$4)</f>
        <v>76</v>
      </c>
      <c r="D105" s="45" t="n">
        <f aca="false">SUMIFS(d_Gross,d_Cuisine,$B105,d_Status,"Delivered",d_Year,$P$4,d_City,$Q$4,d_Cuisine,$R$4,d_Pay,$S$4,d_Type,$T$4)</f>
        <v>77913</v>
      </c>
      <c r="E105" s="45" t="n">
        <f aca="false">SUMIFS(d_Disc,d_Cuisine,$B105,d_Status,"Delivered",d_Year,$P$4,d_City,$Q$4,d_Cuisine,$R$4,d_Pay,$S$4,d_Type,$T$4)</f>
        <v>5585</v>
      </c>
      <c r="F105" s="45" t="n">
        <f aca="false">SUMIFS(d_Net,d_Cuisine,$B105,d_Status,"Delivered",d_Year,$P$4,d_City,$Q$4,d_Cuisine,$R$4,d_Pay,$S$4,d_Type,$T$4)</f>
        <v>72330</v>
      </c>
      <c r="G105" s="52" t="n">
        <f aca="false">IFERROR(F105/SUMIFS(d_Net,d_Status,"Delivered",d_Year,$P$4,d_City,$Q$4,d_Cuisine,$R$4,d_Pay,$S$4,d_Type,$T$4),0)</f>
        <v>0.103335952568041</v>
      </c>
      <c r="H105" s="45" t="n">
        <f aca="false">IFERROR(F105/C105,0)</f>
        <v>951.71052631579</v>
      </c>
    </row>
    <row r="106" customFormat="false" ht="15" hidden="false" customHeight="false" outlineLevel="0" collapsed="false">
      <c r="B106" s="38" t="s">
        <v>89</v>
      </c>
      <c r="C106" s="40" t="n">
        <f aca="false">COUNTIFS(d_Cuisine,$B106,d_Status,"Delivered",d_Year,$P$4,d_City,$Q$4,d_Cuisine,$R$4,d_Pay,$S$4,d_Type,$T$4)</f>
        <v>63</v>
      </c>
      <c r="D106" s="41" t="n">
        <f aca="false">SUMIFS(d_Gross,d_Cuisine,$B106,d_Status,"Delivered",d_Year,$P$4,d_City,$Q$4,d_Cuisine,$R$4,d_Pay,$S$4,d_Type,$T$4)</f>
        <v>63374</v>
      </c>
      <c r="E106" s="41" t="n">
        <f aca="false">SUMIFS(d_Disc,d_Cuisine,$B106,d_Status,"Delivered",d_Year,$P$4,d_City,$Q$4,d_Cuisine,$R$4,d_Pay,$S$4,d_Type,$T$4)</f>
        <v>3855</v>
      </c>
      <c r="F106" s="41" t="n">
        <f aca="false">SUMIFS(d_Net,d_Cuisine,$B106,d_Status,"Delivered",d_Year,$P$4,d_City,$Q$4,d_Cuisine,$R$4,d_Pay,$S$4,d_Type,$T$4)</f>
        <v>59519</v>
      </c>
      <c r="G106" s="51" t="n">
        <f aca="false">IFERROR(F106/SUMIFS(d_Net,d_Status,"Delivered",d_Year,$P$4,d_City,$Q$4,d_Cuisine,$R$4,d_Pay,$S$4,d_Type,$T$4),0)</f>
        <v>0.0850332166583327</v>
      </c>
      <c r="H106" s="41" t="n">
        <f aca="false">IFERROR(F106/C106,0)</f>
        <v>944.746031746032</v>
      </c>
    </row>
    <row r="107" customFormat="false" ht="15" hidden="false" customHeight="false" outlineLevel="0" collapsed="false">
      <c r="B107" s="42" t="s">
        <v>90</v>
      </c>
      <c r="C107" s="44" t="n">
        <f aca="false">COUNTIFS(d_Cuisine,$B107,d_Status,"Delivered",d_Year,$P$4,d_City,$Q$4,d_Cuisine,$R$4,d_Pay,$S$4,d_Type,$T$4)</f>
        <v>66</v>
      </c>
      <c r="D107" s="45" t="n">
        <f aca="false">SUMIFS(d_Gross,d_Cuisine,$B107,d_Status,"Delivered",d_Year,$P$4,d_City,$Q$4,d_Cuisine,$R$4,d_Pay,$S$4,d_Type,$T$4)</f>
        <v>64761</v>
      </c>
      <c r="E107" s="45" t="n">
        <f aca="false">SUMIFS(d_Disc,d_Cuisine,$B107,d_Status,"Delivered",d_Year,$P$4,d_City,$Q$4,d_Cuisine,$R$4,d_Pay,$S$4,d_Type,$T$4)</f>
        <v>4480</v>
      </c>
      <c r="F107" s="45" t="n">
        <f aca="false">SUMIFS(d_Net,d_Cuisine,$B107,d_Status,"Delivered",d_Year,$P$4,d_City,$Q$4,d_Cuisine,$R$4,d_Pay,$S$4,d_Type,$T$4)</f>
        <v>60281</v>
      </c>
      <c r="G107" s="52" t="n">
        <f aca="false">IFERROR(F107/SUMIFS(d_Net,d_Status,"Delivered",d_Year,$P$4,d_City,$Q$4,d_Cuisine,$R$4,d_Pay,$S$4,d_Type,$T$4),0)</f>
        <v>0.0861218658475605</v>
      </c>
      <c r="H107" s="45" t="n">
        <f aca="false">IFERROR(F107/C107,0)</f>
        <v>913.348484848485</v>
      </c>
    </row>
    <row r="108" customFormat="false" ht="15" hidden="false" customHeight="false" outlineLevel="0" collapsed="false">
      <c r="B108" s="46" t="s">
        <v>69</v>
      </c>
      <c r="C108" s="48" t="n">
        <f aca="false">SUM(C98:C107)</f>
        <v>791</v>
      </c>
      <c r="D108" s="49" t="n">
        <f aca="false">SUM(D98:D107)</f>
        <v>755840</v>
      </c>
      <c r="E108" s="49" t="n">
        <f aca="false">SUM(E98:E107)</f>
        <v>56065</v>
      </c>
      <c r="F108" s="49" t="n">
        <f aca="false">SUM(F98:F107)</f>
        <v>699950</v>
      </c>
      <c r="G108" s="53" t="n">
        <f aca="false">SUM(G98:G107)</f>
        <v>1</v>
      </c>
      <c r="H108" s="49" t="n">
        <f aca="false">IFERROR(F108/C108,0)</f>
        <v>884.892541087231</v>
      </c>
    </row>
    <row r="111" customFormat="false" ht="15" hidden="false" customHeight="false" outlineLevel="0" collapsed="false">
      <c r="B111" s="35" t="s">
        <v>325</v>
      </c>
    </row>
    <row r="112" customFormat="false" ht="30" hidden="false" customHeight="true" outlineLevel="0" collapsed="false">
      <c r="B112" s="36" t="s">
        <v>92</v>
      </c>
      <c r="C112" s="37" t="s">
        <v>9</v>
      </c>
      <c r="D112" s="37" t="s">
        <v>318</v>
      </c>
      <c r="E112" s="37" t="s">
        <v>319</v>
      </c>
      <c r="F112" s="37" t="s">
        <v>126</v>
      </c>
      <c r="G112" s="37" t="s">
        <v>323</v>
      </c>
      <c r="H112" s="37" t="s">
        <v>320</v>
      </c>
    </row>
    <row r="113" customFormat="false" ht="15" hidden="false" customHeight="false" outlineLevel="0" collapsed="false">
      <c r="B113" s="38" t="s">
        <v>93</v>
      </c>
      <c r="C113" s="40" t="n">
        <f aca="false">COUNTIFS(d_Pay,$B113,d_Status,"Delivered",d_Year,$P$4,d_City,$Q$4,d_Cuisine,$R$4,d_Pay,$S$4,d_Type,$T$4)</f>
        <v>334</v>
      </c>
      <c r="D113" s="41" t="n">
        <f aca="false">SUMIFS(d_Gross,d_Pay,$B113,d_Status,"Delivered",d_Year,$P$4,d_City,$Q$4,d_Cuisine,$R$4,d_Pay,$S$4,d_Type,$T$4)</f>
        <v>309135</v>
      </c>
      <c r="E113" s="41" t="n">
        <f aca="false">SUMIFS(d_Disc,d_Pay,$B113,d_Status,"Delivered",d_Year,$P$4,d_City,$Q$4,d_Cuisine,$R$4,d_Pay,$S$4,d_Type,$T$4)</f>
        <v>22770</v>
      </c>
      <c r="F113" s="41" t="n">
        <f aca="false">SUMIFS(d_Net,d_Pay,$B113,d_Status,"Delivered",d_Year,$P$4,d_City,$Q$4,d_Cuisine,$R$4,d_Pay,$S$4,d_Type,$T$4)</f>
        <v>286374</v>
      </c>
      <c r="G113" s="51" t="n">
        <f aca="false">IFERROR(F113/SUMIFS(d_Net,d_Status,"Delivered",d_Year,$P$4,d_City,$Q$4,d_Cuisine,$R$4,d_Pay,$S$4,d_Type,$T$4),0)</f>
        <v>0.409134938209872</v>
      </c>
      <c r="H113" s="41" t="n">
        <f aca="false">IFERROR(F113/C113,0)</f>
        <v>857.407185628743</v>
      </c>
    </row>
    <row r="114" customFormat="false" ht="15" hidden="false" customHeight="false" outlineLevel="0" collapsed="false">
      <c r="B114" s="42" t="s">
        <v>94</v>
      </c>
      <c r="C114" s="44" t="n">
        <f aca="false">COUNTIFS(d_Pay,$B114,d_Status,"Delivered",d_Year,$P$4,d_City,$Q$4,d_Cuisine,$R$4,d_Pay,$S$4,d_Type,$T$4)</f>
        <v>159</v>
      </c>
      <c r="D114" s="45" t="n">
        <f aca="false">SUMIFS(d_Gross,d_Pay,$B114,d_Status,"Delivered",d_Year,$P$4,d_City,$Q$4,d_Cuisine,$R$4,d_Pay,$S$4,d_Type,$T$4)</f>
        <v>153578</v>
      </c>
      <c r="E114" s="45" t="n">
        <f aca="false">SUMIFS(d_Disc,d_Pay,$B114,d_Status,"Delivered",d_Year,$P$4,d_City,$Q$4,d_Cuisine,$R$4,d_Pay,$S$4,d_Type,$T$4)</f>
        <v>11540</v>
      </c>
      <c r="F114" s="45" t="n">
        <f aca="false">SUMIFS(d_Net,d_Pay,$B114,d_Status,"Delivered",d_Year,$P$4,d_City,$Q$4,d_Cuisine,$R$4,d_Pay,$S$4,d_Type,$T$4)</f>
        <v>142038</v>
      </c>
      <c r="G114" s="52" t="n">
        <f aca="false">IFERROR(F114/SUMIFS(d_Net,d_Status,"Delivered",d_Year,$P$4,d_City,$Q$4,d_Cuisine,$R$4,d_Pay,$S$4,d_Type,$T$4),0)</f>
        <v>0.202925923280234</v>
      </c>
      <c r="H114" s="45" t="n">
        <f aca="false">IFERROR(F114/C114,0)</f>
        <v>893.320754716981</v>
      </c>
    </row>
    <row r="115" customFormat="false" ht="15" hidden="false" customHeight="false" outlineLevel="0" collapsed="false">
      <c r="B115" s="38" t="s">
        <v>95</v>
      </c>
      <c r="C115" s="40" t="n">
        <f aca="false">COUNTIFS(d_Pay,$B115,d_Status,"Delivered",d_Year,$P$4,d_City,$Q$4,d_Cuisine,$R$4,d_Pay,$S$4,d_Type,$T$4)</f>
        <v>145</v>
      </c>
      <c r="D115" s="41" t="n">
        <f aca="false">SUMIFS(d_Gross,d_Pay,$B115,d_Status,"Delivered",d_Year,$P$4,d_City,$Q$4,d_Cuisine,$R$4,d_Pay,$S$4,d_Type,$T$4)</f>
        <v>138520</v>
      </c>
      <c r="E115" s="41" t="n">
        <f aca="false">SUMIFS(d_Disc,d_Pay,$B115,d_Status,"Delivered",d_Year,$P$4,d_City,$Q$4,d_Cuisine,$R$4,d_Pay,$S$4,d_Type,$T$4)</f>
        <v>10075</v>
      </c>
      <c r="F115" s="41" t="n">
        <f aca="false">SUMIFS(d_Net,d_Pay,$B115,d_Status,"Delivered",d_Year,$P$4,d_City,$Q$4,d_Cuisine,$R$4,d_Pay,$S$4,d_Type,$T$4)</f>
        <v>128565</v>
      </c>
      <c r="G115" s="51" t="n">
        <f aca="false">IFERROR(F115/SUMIFS(d_Net,d_Status,"Delivered",d_Year,$P$4,d_City,$Q$4,d_Cuisine,$R$4,d_Pay,$S$4,d_Type,$T$4),0)</f>
        <v>0.183677405528966</v>
      </c>
      <c r="H115" s="41" t="n">
        <f aca="false">IFERROR(F115/C115,0)</f>
        <v>886.655172413793</v>
      </c>
    </row>
    <row r="116" customFormat="false" ht="15" hidden="false" customHeight="false" outlineLevel="0" collapsed="false">
      <c r="B116" s="42" t="s">
        <v>96</v>
      </c>
      <c r="C116" s="44" t="n">
        <f aca="false">COUNTIFS(d_Pay,$B116,d_Status,"Delivered",d_Year,$P$4,d_City,$Q$4,d_Cuisine,$R$4,d_Pay,$S$4,d_Type,$T$4)</f>
        <v>90</v>
      </c>
      <c r="D116" s="45" t="n">
        <f aca="false">SUMIFS(d_Gross,d_Pay,$B116,d_Status,"Delivered",d_Year,$P$4,d_City,$Q$4,d_Cuisine,$R$4,d_Pay,$S$4,d_Type,$T$4)</f>
        <v>89001</v>
      </c>
      <c r="E116" s="45" t="n">
        <f aca="false">SUMIFS(d_Disc,d_Pay,$B116,d_Status,"Delivered",d_Year,$P$4,d_City,$Q$4,d_Cuisine,$R$4,d_Pay,$S$4,d_Type,$T$4)</f>
        <v>6695</v>
      </c>
      <c r="F116" s="45" t="n">
        <f aca="false">SUMIFS(d_Net,d_Pay,$B116,d_Status,"Delivered",d_Year,$P$4,d_City,$Q$4,d_Cuisine,$R$4,d_Pay,$S$4,d_Type,$T$4)</f>
        <v>82308</v>
      </c>
      <c r="G116" s="52" t="n">
        <f aca="false">IFERROR(F116/SUMIFS(d_Net,d_Status,"Delivered",d_Year,$P$4,d_City,$Q$4,d_Cuisine,$R$4,d_Pay,$S$4,d_Type,$T$4),0)</f>
        <v>0.117591256518323</v>
      </c>
      <c r="H116" s="45" t="n">
        <f aca="false">IFERROR(F116/C116,0)</f>
        <v>914.533333333333</v>
      </c>
    </row>
    <row r="117" customFormat="false" ht="15" hidden="false" customHeight="false" outlineLevel="0" collapsed="false">
      <c r="B117" s="38" t="s">
        <v>97</v>
      </c>
      <c r="C117" s="40" t="n">
        <f aca="false">COUNTIFS(d_Pay,$B117,d_Status,"Delivered",d_Year,$P$4,d_City,$Q$4,d_Cuisine,$R$4,d_Pay,$S$4,d_Type,$T$4)</f>
        <v>63</v>
      </c>
      <c r="D117" s="41" t="n">
        <f aca="false">SUMIFS(d_Gross,d_Pay,$B117,d_Status,"Delivered",d_Year,$P$4,d_City,$Q$4,d_Cuisine,$R$4,d_Pay,$S$4,d_Type,$T$4)</f>
        <v>65606</v>
      </c>
      <c r="E117" s="41" t="n">
        <f aca="false">SUMIFS(d_Disc,d_Pay,$B117,d_Status,"Delivered",d_Year,$P$4,d_City,$Q$4,d_Cuisine,$R$4,d_Pay,$S$4,d_Type,$T$4)</f>
        <v>4985</v>
      </c>
      <c r="F117" s="41" t="n">
        <f aca="false">SUMIFS(d_Net,d_Pay,$B117,d_Status,"Delivered",d_Year,$P$4,d_City,$Q$4,d_Cuisine,$R$4,d_Pay,$S$4,d_Type,$T$4)</f>
        <v>60665</v>
      </c>
      <c r="G117" s="51" t="n">
        <f aca="false">IFERROR(F117/SUMIFS(d_Net,d_Status,"Delivered",d_Year,$P$4,d_City,$Q$4,d_Cuisine,$R$4,d_Pay,$S$4,d_Type,$T$4),0)</f>
        <v>0.0866704764626045</v>
      </c>
      <c r="H117" s="41" t="n">
        <f aca="false">IFERROR(F117/C117,0)</f>
        <v>962.936507936508</v>
      </c>
    </row>
    <row r="118" customFormat="false" ht="15" hidden="false" customHeight="false" outlineLevel="0" collapsed="false">
      <c r="B118" s="46" t="s">
        <v>69</v>
      </c>
      <c r="C118" s="48" t="n">
        <f aca="false">SUM(C113:C117)</f>
        <v>791</v>
      </c>
      <c r="D118" s="49" t="n">
        <f aca="false">SUM(D113:D117)</f>
        <v>755840</v>
      </c>
      <c r="E118" s="49" t="n">
        <f aca="false">SUM(E113:E117)</f>
        <v>56065</v>
      </c>
      <c r="F118" s="49" t="n">
        <f aca="false">SUM(F113:F117)</f>
        <v>699950</v>
      </c>
      <c r="G118" s="53" t="n">
        <f aca="false">SUM(G113:G117)</f>
        <v>1</v>
      </c>
      <c r="H118" s="49" t="n">
        <f aca="false">IFERROR(F118/C118,0)</f>
        <v>884.892541087231</v>
      </c>
    </row>
    <row r="121" customFormat="false" ht="15" hidden="false" customHeight="false" outlineLevel="0" collapsed="false">
      <c r="B121" s="35" t="s">
        <v>326</v>
      </c>
    </row>
    <row r="122" customFormat="false" ht="30" hidden="false" customHeight="true" outlineLevel="0" collapsed="false">
      <c r="B122" s="36" t="s">
        <v>124</v>
      </c>
      <c r="C122" s="37" t="s">
        <v>9</v>
      </c>
      <c r="D122" s="37" t="s">
        <v>318</v>
      </c>
      <c r="E122" s="37" t="s">
        <v>319</v>
      </c>
      <c r="F122" s="37" t="s">
        <v>126</v>
      </c>
      <c r="G122" s="37" t="s">
        <v>323</v>
      </c>
      <c r="H122" s="37" t="s">
        <v>320</v>
      </c>
    </row>
    <row r="123" customFormat="false" ht="15" hidden="false" customHeight="false" outlineLevel="0" collapsed="false">
      <c r="B123" s="38" t="s">
        <v>131</v>
      </c>
      <c r="C123" s="40" t="n">
        <f aca="false">COUNTIFS(d_Rest,$B123,d_Status,"Delivered",d_Year,$P$4,d_City,$Q$4,d_Cuisine,$R$4,d_Pay,$S$4,d_Type,$T$4)</f>
        <v>78</v>
      </c>
      <c r="D123" s="41" t="n">
        <f aca="false">SUMIFS(d_Gross,d_Rest,$B123,d_Status,"Delivered",d_Year,$P$4,d_City,$Q$4,d_Cuisine,$R$4,d_Pay,$S$4,d_Type,$T$4)</f>
        <v>72233</v>
      </c>
      <c r="E123" s="41" t="n">
        <f aca="false">SUMIFS(d_Disc,d_Rest,$B123,d_Status,"Delivered",d_Year,$P$4,d_City,$Q$4,d_Cuisine,$R$4,d_Pay,$S$4,d_Type,$T$4)</f>
        <v>5455</v>
      </c>
      <c r="F123" s="41" t="n">
        <f aca="false">SUMIFS(d_Net,d_Rest,$B123,d_Status,"Delivered",d_Year,$P$4,d_City,$Q$4,d_Cuisine,$R$4,d_Pay,$S$4,d_Type,$T$4)</f>
        <v>66822</v>
      </c>
      <c r="G123" s="51" t="n">
        <f aca="false">IFERROR(F123/SUMIFS(d_Net,d_Status,"Delivered",d_Year,$P$4,d_City,$Q$4,d_Cuisine,$R$4,d_Pay,$S$4,d_Type,$T$4),0)</f>
        <v>0.0954668190585042</v>
      </c>
      <c r="H123" s="41" t="n">
        <f aca="false">IFERROR(F123/C123,0)</f>
        <v>856.692307692308</v>
      </c>
    </row>
    <row r="124" customFormat="false" ht="15" hidden="false" customHeight="false" outlineLevel="0" collapsed="false">
      <c r="B124" s="42" t="s">
        <v>132</v>
      </c>
      <c r="C124" s="44" t="n">
        <f aca="false">COUNTIFS(d_Rest,$B124,d_Status,"Delivered",d_Year,$P$4,d_City,$Q$4,d_Cuisine,$R$4,d_Pay,$S$4,d_Type,$T$4)</f>
        <v>73</v>
      </c>
      <c r="D124" s="45" t="n">
        <f aca="false">SUMIFS(d_Gross,d_Rest,$B124,d_Status,"Delivered",d_Year,$P$4,d_City,$Q$4,d_Cuisine,$R$4,d_Pay,$S$4,d_Type,$T$4)</f>
        <v>65451</v>
      </c>
      <c r="E124" s="45" t="n">
        <f aca="false">SUMIFS(d_Disc,d_Rest,$B124,d_Status,"Delivered",d_Year,$P$4,d_City,$Q$4,d_Cuisine,$R$4,d_Pay,$S$4,d_Type,$T$4)</f>
        <v>5365</v>
      </c>
      <c r="F124" s="45" t="n">
        <f aca="false">SUMIFS(d_Net,d_Rest,$B124,d_Status,"Delivered",d_Year,$P$4,d_City,$Q$4,d_Cuisine,$R$4,d_Pay,$S$4,d_Type,$T$4)</f>
        <v>60113</v>
      </c>
      <c r="G124" s="52" t="n">
        <f aca="false">IFERROR(F124/SUMIFS(d_Net,d_Status,"Delivered",d_Year,$P$4,d_City,$Q$4,d_Cuisine,$R$4,d_Pay,$S$4,d_Type,$T$4),0)</f>
        <v>0.0858818487034788</v>
      </c>
      <c r="H124" s="45" t="n">
        <f aca="false">IFERROR(F124/C124,0)</f>
        <v>823.465753424658</v>
      </c>
    </row>
    <row r="125" customFormat="false" ht="15" hidden="false" customHeight="false" outlineLevel="0" collapsed="false">
      <c r="B125" s="38" t="s">
        <v>133</v>
      </c>
      <c r="C125" s="40" t="n">
        <f aca="false">COUNTIFS(d_Rest,$B125,d_Status,"Delivered",d_Year,$P$4,d_City,$Q$4,d_Cuisine,$R$4,d_Pay,$S$4,d_Type,$T$4)</f>
        <v>70</v>
      </c>
      <c r="D125" s="41" t="n">
        <f aca="false">SUMIFS(d_Gross,d_Rest,$B125,d_Status,"Delivered",d_Year,$P$4,d_City,$Q$4,d_Cuisine,$R$4,d_Pay,$S$4,d_Type,$T$4)</f>
        <v>60104</v>
      </c>
      <c r="E125" s="41" t="n">
        <f aca="false">SUMIFS(d_Disc,d_Rest,$B125,d_Status,"Delivered",d_Year,$P$4,d_City,$Q$4,d_Cuisine,$R$4,d_Pay,$S$4,d_Type,$T$4)</f>
        <v>4565</v>
      </c>
      <c r="F125" s="41" t="n">
        <f aca="false">SUMIFS(d_Net,d_Rest,$B125,d_Status,"Delivered",d_Year,$P$4,d_City,$Q$4,d_Cuisine,$R$4,d_Pay,$S$4,d_Type,$T$4)</f>
        <v>55539</v>
      </c>
      <c r="G125" s="51" t="n">
        <f aca="false">IFERROR(F125/SUMIFS(d_Net,d_Status,"Delivered",d_Year,$P$4,d_City,$Q$4,d_Cuisine,$R$4,d_Pay,$S$4,d_Type,$T$4),0)</f>
        <v>0.0793470962211587</v>
      </c>
      <c r="H125" s="41" t="n">
        <f aca="false">IFERROR(F125/C125,0)</f>
        <v>793.414285714286</v>
      </c>
    </row>
    <row r="126" customFormat="false" ht="15" hidden="false" customHeight="false" outlineLevel="0" collapsed="false">
      <c r="B126" s="42" t="s">
        <v>134</v>
      </c>
      <c r="C126" s="44" t="n">
        <f aca="false">COUNTIFS(d_Rest,$B126,d_Status,"Delivered",d_Year,$P$4,d_City,$Q$4,d_Cuisine,$R$4,d_Pay,$S$4,d_Type,$T$4)</f>
        <v>70</v>
      </c>
      <c r="D126" s="45" t="n">
        <f aca="false">SUMIFS(d_Gross,d_Rest,$B126,d_Status,"Delivered",d_Year,$P$4,d_City,$Q$4,d_Cuisine,$R$4,d_Pay,$S$4,d_Type,$T$4)</f>
        <v>63848</v>
      </c>
      <c r="E126" s="45" t="n">
        <f aca="false">SUMIFS(d_Disc,d_Rest,$B126,d_Status,"Delivered",d_Year,$P$4,d_City,$Q$4,d_Cuisine,$R$4,d_Pay,$S$4,d_Type,$T$4)</f>
        <v>4670</v>
      </c>
      <c r="F126" s="45" t="n">
        <f aca="false">SUMIFS(d_Net,d_Rest,$B126,d_Status,"Delivered",d_Year,$P$4,d_City,$Q$4,d_Cuisine,$R$4,d_Pay,$S$4,d_Type,$T$4)</f>
        <v>59187</v>
      </c>
      <c r="G126" s="52" t="n">
        <f aca="false">IFERROR(F126/SUMIFS(d_Net,d_Status,"Delivered",d_Year,$P$4,d_City,$Q$4,d_Cuisine,$R$4,d_Pay,$S$4,d_Type,$T$4),0)</f>
        <v>0.084558897064076</v>
      </c>
      <c r="H126" s="45" t="n">
        <f aca="false">IFERROR(F126/C126,0)</f>
        <v>845.528571428572</v>
      </c>
    </row>
    <row r="127" customFormat="false" ht="15" hidden="false" customHeight="false" outlineLevel="0" collapsed="false">
      <c r="B127" s="38" t="s">
        <v>135</v>
      </c>
      <c r="C127" s="40" t="n">
        <f aca="false">COUNTIFS(d_Rest,$B127,d_Status,"Delivered",d_Year,$P$4,d_City,$Q$4,d_Cuisine,$R$4,d_Pay,$S$4,d_Type,$T$4)</f>
        <v>69</v>
      </c>
      <c r="D127" s="41" t="n">
        <f aca="false">SUMIFS(d_Gross,d_Rest,$B127,d_Status,"Delivered",d_Year,$P$4,d_City,$Q$4,d_Cuisine,$R$4,d_Pay,$S$4,d_Type,$T$4)</f>
        <v>72637</v>
      </c>
      <c r="E127" s="41" t="n">
        <f aca="false">SUMIFS(d_Disc,d_Rest,$B127,d_Status,"Delivered",d_Year,$P$4,d_City,$Q$4,d_Cuisine,$R$4,d_Pay,$S$4,d_Type,$T$4)</f>
        <v>4985</v>
      </c>
      <c r="F127" s="41" t="n">
        <f aca="false">SUMIFS(d_Net,d_Rest,$B127,d_Status,"Delivered",d_Year,$P$4,d_City,$Q$4,d_Cuisine,$R$4,d_Pay,$S$4,d_Type,$T$4)</f>
        <v>67652</v>
      </c>
      <c r="G127" s="51" t="n">
        <f aca="false">IFERROR(F127/SUMIFS(d_Net,d_Status,"Delivered",d_Year,$P$4,d_City,$Q$4,d_Cuisine,$R$4,d_Pay,$S$4,d_Type,$T$4),0)</f>
        <v>0.096652618044146</v>
      </c>
      <c r="H127" s="41" t="n">
        <f aca="false">IFERROR(F127/C127,0)</f>
        <v>980.463768115942</v>
      </c>
    </row>
    <row r="128" customFormat="false" ht="15" hidden="false" customHeight="false" outlineLevel="0" collapsed="false">
      <c r="B128" s="42" t="s">
        <v>136</v>
      </c>
      <c r="C128" s="44" t="n">
        <f aca="false">COUNTIFS(d_Rest,$B128,d_Status,"Delivered",d_Year,$P$4,d_City,$Q$4,d_Cuisine,$R$4,d_Pay,$S$4,d_Type,$T$4)</f>
        <v>67</v>
      </c>
      <c r="D128" s="45" t="n">
        <f aca="false">SUMIFS(d_Gross,d_Rest,$B128,d_Status,"Delivered",d_Year,$P$4,d_City,$Q$4,d_Cuisine,$R$4,d_Pay,$S$4,d_Type,$T$4)</f>
        <v>68094</v>
      </c>
      <c r="E128" s="45" t="n">
        <f aca="false">SUMIFS(d_Disc,d_Rest,$B128,d_Status,"Delivered",d_Year,$P$4,d_City,$Q$4,d_Cuisine,$R$4,d_Pay,$S$4,d_Type,$T$4)</f>
        <v>4630</v>
      </c>
      <c r="F128" s="45" t="n">
        <f aca="false">SUMIFS(d_Net,d_Rest,$B128,d_Status,"Delivered",d_Year,$P$4,d_City,$Q$4,d_Cuisine,$R$4,d_Pay,$S$4,d_Type,$T$4)</f>
        <v>63464</v>
      </c>
      <c r="G128" s="52" t="n">
        <f aca="false">IFERROR(F128/SUMIFS(d_Net,d_Status,"Delivered",d_Year,$P$4,d_City,$Q$4,d_Cuisine,$R$4,d_Pay,$S$4,d_Type,$T$4),0)</f>
        <v>0.0906693335238231</v>
      </c>
      <c r="H128" s="45" t="n">
        <f aca="false">IFERROR(F128/C128,0)</f>
        <v>947.223880597015</v>
      </c>
    </row>
    <row r="129" customFormat="false" ht="15" hidden="false" customHeight="false" outlineLevel="0" collapsed="false">
      <c r="B129" s="38" t="s">
        <v>137</v>
      </c>
      <c r="C129" s="40" t="n">
        <f aca="false">COUNTIFS(d_Rest,$B129,d_Status,"Delivered",d_Year,$P$4,d_City,$Q$4,d_Cuisine,$R$4,d_Pay,$S$4,d_Type,$T$4)</f>
        <v>74</v>
      </c>
      <c r="D129" s="41" t="n">
        <f aca="false">SUMIFS(d_Gross,d_Rest,$B129,d_Status,"Delivered",d_Year,$P$4,d_City,$Q$4,d_Cuisine,$R$4,d_Pay,$S$4,d_Type,$T$4)</f>
        <v>66874</v>
      </c>
      <c r="E129" s="41" t="n">
        <f aca="false">SUMIFS(d_Disc,d_Rest,$B129,d_Status,"Delivered",d_Year,$P$4,d_City,$Q$4,d_Cuisine,$R$4,d_Pay,$S$4,d_Type,$T$4)</f>
        <v>5905</v>
      </c>
      <c r="F129" s="41" t="n">
        <f aca="false">SUMIFS(d_Net,d_Rest,$B129,d_Status,"Delivered",d_Year,$P$4,d_City,$Q$4,d_Cuisine,$R$4,d_Pay,$S$4,d_Type,$T$4)</f>
        <v>60969</v>
      </c>
      <c r="G129" s="51" t="n">
        <f aca="false">IFERROR(F129/SUMIFS(d_Net,d_Status,"Delivered",d_Year,$P$4,d_City,$Q$4,d_Cuisine,$R$4,d_Pay,$S$4,d_Type,$T$4),0)</f>
        <v>0.0871047931995143</v>
      </c>
      <c r="H129" s="41" t="n">
        <f aca="false">IFERROR(F129/C129,0)</f>
        <v>823.905405405405</v>
      </c>
    </row>
    <row r="130" customFormat="false" ht="15" hidden="false" customHeight="false" outlineLevel="0" collapsed="false">
      <c r="B130" s="42" t="s">
        <v>138</v>
      </c>
      <c r="C130" s="44" t="n">
        <f aca="false">COUNTIFS(d_Rest,$B130,d_Status,"Delivered",d_Year,$P$4,d_City,$Q$4,d_Cuisine,$R$4,d_Pay,$S$4,d_Type,$T$4)</f>
        <v>60</v>
      </c>
      <c r="D130" s="45" t="n">
        <f aca="false">SUMIFS(d_Gross,d_Rest,$B130,d_Status,"Delivered",d_Year,$P$4,d_City,$Q$4,d_Cuisine,$R$4,d_Pay,$S$4,d_Type,$T$4)</f>
        <v>58258</v>
      </c>
      <c r="E130" s="45" t="n">
        <f aca="false">SUMIFS(d_Disc,d_Rest,$B130,d_Status,"Delivered",d_Year,$P$4,d_City,$Q$4,d_Cuisine,$R$4,d_Pay,$S$4,d_Type,$T$4)</f>
        <v>3735</v>
      </c>
      <c r="F130" s="45" t="n">
        <f aca="false">SUMIFS(d_Net,d_Rest,$B130,d_Status,"Delivered",d_Year,$P$4,d_City,$Q$4,d_Cuisine,$R$4,d_Pay,$S$4,d_Type,$T$4)</f>
        <v>54523</v>
      </c>
      <c r="G130" s="52" t="n">
        <f aca="false">IFERROR(F130/SUMIFS(d_Net,d_Status,"Delivered",d_Year,$P$4,d_City,$Q$4,d_Cuisine,$R$4,d_Pay,$S$4,d_Type,$T$4),0)</f>
        <v>0.0778955639688549</v>
      </c>
      <c r="H130" s="45" t="n">
        <f aca="false">IFERROR(F130/C130,0)</f>
        <v>908.716666666667</v>
      </c>
    </row>
    <row r="131" customFormat="false" ht="15" hidden="false" customHeight="false" outlineLevel="0" collapsed="false">
      <c r="B131" s="38" t="s">
        <v>139</v>
      </c>
      <c r="C131" s="40" t="n">
        <f aca="false">COUNTIFS(d_Rest,$B131,d_Status,"Delivered",d_Year,$P$4,d_City,$Q$4,d_Cuisine,$R$4,d_Pay,$S$4,d_Type,$T$4)</f>
        <v>62</v>
      </c>
      <c r="D131" s="41" t="n">
        <f aca="false">SUMIFS(d_Gross,d_Rest,$B131,d_Status,"Delivered",d_Year,$P$4,d_City,$Q$4,d_Cuisine,$R$4,d_Pay,$S$4,d_Type,$T$4)</f>
        <v>61092</v>
      </c>
      <c r="E131" s="41" t="n">
        <f aca="false">SUMIFS(d_Disc,d_Rest,$B131,d_Status,"Delivered",d_Year,$P$4,d_City,$Q$4,d_Cuisine,$R$4,d_Pay,$S$4,d_Type,$T$4)</f>
        <v>4160</v>
      </c>
      <c r="F131" s="41" t="n">
        <f aca="false">SUMIFS(d_Net,d_Rest,$B131,d_Status,"Delivered",d_Year,$P$4,d_City,$Q$4,d_Cuisine,$R$4,d_Pay,$S$4,d_Type,$T$4)</f>
        <v>56948</v>
      </c>
      <c r="G131" s="51" t="n">
        <f aca="false">IFERROR(F131/SUMIFS(d_Net,d_Status,"Delivered",d_Year,$P$4,d_City,$Q$4,d_Cuisine,$R$4,d_Pay,$S$4,d_Type,$T$4),0)</f>
        <v>0.0813600971497964</v>
      </c>
      <c r="H131" s="41" t="n">
        <f aca="false">IFERROR(F131/C131,0)</f>
        <v>918.516129032258</v>
      </c>
    </row>
    <row r="132" customFormat="false" ht="15" hidden="false" customHeight="false" outlineLevel="0" collapsed="false">
      <c r="B132" s="42" t="s">
        <v>140</v>
      </c>
      <c r="C132" s="44" t="n">
        <f aca="false">COUNTIFS(d_Rest,$B132,d_Status,"Delivered",d_Year,$P$4,d_City,$Q$4,d_Cuisine,$R$4,d_Pay,$S$4,d_Type,$T$4)</f>
        <v>54</v>
      </c>
      <c r="D132" s="45" t="n">
        <f aca="false">SUMIFS(d_Gross,d_Rest,$B132,d_Status,"Delivered",d_Year,$P$4,d_City,$Q$4,d_Cuisine,$R$4,d_Pay,$S$4,d_Type,$T$4)</f>
        <v>46676</v>
      </c>
      <c r="E132" s="45" t="n">
        <f aca="false">SUMIFS(d_Disc,d_Rest,$B132,d_Status,"Delivered",d_Year,$P$4,d_City,$Q$4,d_Cuisine,$R$4,d_Pay,$S$4,d_Type,$T$4)</f>
        <v>4230</v>
      </c>
      <c r="F132" s="45" t="n">
        <f aca="false">SUMIFS(d_Net,d_Rest,$B132,d_Status,"Delivered",d_Year,$P$4,d_City,$Q$4,d_Cuisine,$R$4,d_Pay,$S$4,d_Type,$T$4)</f>
        <v>42448</v>
      </c>
      <c r="G132" s="52" t="n">
        <f aca="false">IFERROR(F132/SUMIFS(d_Net,d_Status,"Delivered",d_Year,$P$4,d_City,$Q$4,d_Cuisine,$R$4,d_Pay,$S$4,d_Type,$T$4),0)</f>
        <v>0.0606443317379813</v>
      </c>
      <c r="H132" s="45" t="n">
        <f aca="false">IFERROR(F132/C132,0)</f>
        <v>786.074074074074</v>
      </c>
    </row>
    <row r="133" customFormat="false" ht="15" hidden="false" customHeight="false" outlineLevel="0" collapsed="false">
      <c r="B133" s="38" t="s">
        <v>141</v>
      </c>
      <c r="C133" s="40" t="n">
        <f aca="false">COUNTIFS(d_Rest,$B133,d_Status,"Delivered",d_Year,$P$4,d_City,$Q$4,d_Cuisine,$R$4,d_Pay,$S$4,d_Type,$T$4)</f>
        <v>57</v>
      </c>
      <c r="D133" s="41" t="n">
        <f aca="false">SUMIFS(d_Gross,d_Rest,$B133,d_Status,"Delivered",d_Year,$P$4,d_City,$Q$4,d_Cuisine,$R$4,d_Pay,$S$4,d_Type,$T$4)</f>
        <v>59268</v>
      </c>
      <c r="E133" s="41" t="n">
        <f aca="false">SUMIFS(d_Disc,d_Rest,$B133,d_Status,"Delivered",d_Year,$P$4,d_City,$Q$4,d_Cuisine,$R$4,d_Pay,$S$4,d_Type,$T$4)</f>
        <v>4390</v>
      </c>
      <c r="F133" s="41" t="n">
        <f aca="false">SUMIFS(d_Net,d_Rest,$B133,d_Status,"Delivered",d_Year,$P$4,d_City,$Q$4,d_Cuisine,$R$4,d_Pay,$S$4,d_Type,$T$4)</f>
        <v>54955</v>
      </c>
      <c r="G133" s="51" t="n">
        <f aca="false">IFERROR(F133/SUMIFS(d_Net,d_Status,"Delivered",d_Year,$P$4,d_City,$Q$4,d_Cuisine,$R$4,d_Pay,$S$4,d_Type,$T$4),0)</f>
        <v>0.0785127509107794</v>
      </c>
      <c r="H133" s="41" t="n">
        <f aca="false">IFERROR(F133/C133,0)</f>
        <v>964.122807017544</v>
      </c>
    </row>
    <row r="134" customFormat="false" ht="15" hidden="false" customHeight="false" outlineLevel="0" collapsed="false">
      <c r="B134" s="42" t="s">
        <v>142</v>
      </c>
      <c r="C134" s="44" t="n">
        <f aca="false">COUNTIFS(d_Rest,$B134,d_Status,"Delivered",d_Year,$P$4,d_City,$Q$4,d_Cuisine,$R$4,d_Pay,$S$4,d_Type,$T$4)</f>
        <v>57</v>
      </c>
      <c r="D134" s="45" t="n">
        <f aca="false">SUMIFS(d_Gross,d_Rest,$B134,d_Status,"Delivered",d_Year,$P$4,d_City,$Q$4,d_Cuisine,$R$4,d_Pay,$S$4,d_Type,$T$4)</f>
        <v>61305</v>
      </c>
      <c r="E134" s="45" t="n">
        <f aca="false">SUMIFS(d_Disc,d_Rest,$B134,d_Status,"Delivered",d_Year,$P$4,d_City,$Q$4,d_Cuisine,$R$4,d_Pay,$S$4,d_Type,$T$4)</f>
        <v>3975</v>
      </c>
      <c r="F134" s="45" t="n">
        <f aca="false">SUMIFS(d_Net,d_Rest,$B134,d_Status,"Delivered",d_Year,$P$4,d_City,$Q$4,d_Cuisine,$R$4,d_Pay,$S$4,d_Type,$T$4)</f>
        <v>57330</v>
      </c>
      <c r="G134" s="52" t="n">
        <f aca="false">IFERROR(F134/SUMIFS(d_Net,d_Status,"Delivered",d_Year,$P$4,d_City,$Q$4,d_Cuisine,$R$4,d_Pay,$S$4,d_Type,$T$4),0)</f>
        <v>0.081905850417887</v>
      </c>
      <c r="H134" s="45" t="n">
        <f aca="false">IFERROR(F134/C134,0)</f>
        <v>1005.78947368421</v>
      </c>
    </row>
    <row r="135" customFormat="false" ht="15" hidden="false" customHeight="false" outlineLevel="0" collapsed="false">
      <c r="B135" s="46" t="s">
        <v>69</v>
      </c>
      <c r="C135" s="48" t="n">
        <f aca="false">SUM(C123:C134)</f>
        <v>791</v>
      </c>
      <c r="D135" s="49" t="n">
        <f aca="false">SUM(D123:D134)</f>
        <v>755840</v>
      </c>
      <c r="E135" s="49" t="n">
        <f aca="false">SUM(E123:E134)</f>
        <v>56065</v>
      </c>
      <c r="F135" s="49" t="n">
        <f aca="false">SUM(F123:F134)</f>
        <v>699950</v>
      </c>
      <c r="G135" s="53" t="n">
        <f aca="false">SUM(G123:G134)</f>
        <v>1</v>
      </c>
      <c r="H135" s="49" t="n">
        <f aca="false">IFERROR(F135/C135,0)</f>
        <v>884.892541087231</v>
      </c>
    </row>
    <row r="138" customFormat="false" ht="15" hidden="false" customHeight="false" outlineLevel="0" collapsed="false">
      <c r="B138" s="35" t="s">
        <v>327</v>
      </c>
    </row>
    <row r="139" customFormat="false" ht="30" hidden="false" customHeight="true" outlineLevel="0" collapsed="false">
      <c r="B139" s="36" t="s">
        <v>75</v>
      </c>
      <c r="C139" s="37" t="s">
        <v>9</v>
      </c>
      <c r="D139" s="37" t="s">
        <v>318</v>
      </c>
      <c r="E139" s="37" t="s">
        <v>319</v>
      </c>
      <c r="F139" s="37" t="s">
        <v>126</v>
      </c>
      <c r="G139" s="37" t="s">
        <v>323</v>
      </c>
      <c r="H139" s="37" t="s">
        <v>320</v>
      </c>
    </row>
    <row r="140" customFormat="false" ht="15" hidden="false" customHeight="false" outlineLevel="0" collapsed="false">
      <c r="B140" s="38" t="s">
        <v>77</v>
      </c>
      <c r="C140" s="40" t="n">
        <f aca="false">COUNTIFS(d_Type,$B140,d_Status,"Delivered",d_Year,$P$4,d_City,$Q$4,d_Cuisine,$R$4,d_Pay,$S$4,d_Type,$T$4)</f>
        <v>592</v>
      </c>
      <c r="D140" s="41" t="n">
        <f aca="false">SUMIFS(d_Gross,d_Type,$B140,d_Status,"Delivered",d_Year,$P$4,d_City,$Q$4,d_Cuisine,$R$4,d_Pay,$S$4,d_Type,$T$4)</f>
        <v>562497</v>
      </c>
      <c r="E140" s="41" t="n">
        <f aca="false">SUMIFS(d_Disc,d_Type,$B140,d_Status,"Delivered",d_Year,$P$4,d_City,$Q$4,d_Cuisine,$R$4,d_Pay,$S$4,d_Type,$T$4)</f>
        <v>42350</v>
      </c>
      <c r="F140" s="41" t="n">
        <f aca="false">SUMIFS(d_Net,d_Type,$B140,d_Status,"Delivered",d_Year,$P$4,d_City,$Q$4,d_Cuisine,$R$4,d_Pay,$S$4,d_Type,$T$4)</f>
        <v>520216</v>
      </c>
      <c r="G140" s="51" t="n">
        <f aca="false">IFERROR(F140/SUMIFS(d_Net,d_Status,"Delivered",d_Year,$P$4,d_City,$Q$4,d_Cuisine,$R$4,d_Pay,$S$4,d_Type,$T$4),0)</f>
        <v>0.743218801342953</v>
      </c>
      <c r="H140" s="41" t="n">
        <f aca="false">IFERROR(F140/C140,0)</f>
        <v>878.743243243243</v>
      </c>
    </row>
    <row r="141" customFormat="false" ht="15" hidden="false" customHeight="false" outlineLevel="0" collapsed="false">
      <c r="B141" s="42" t="s">
        <v>78</v>
      </c>
      <c r="C141" s="44" t="n">
        <f aca="false">COUNTIFS(d_Type,$B141,d_Status,"Delivered",d_Year,$P$4,d_City,$Q$4,d_Cuisine,$R$4,d_Pay,$S$4,d_Type,$T$4)</f>
        <v>199</v>
      </c>
      <c r="D141" s="45" t="n">
        <f aca="false">SUMIFS(d_Gross,d_Type,$B141,d_Status,"Delivered",d_Year,$P$4,d_City,$Q$4,d_Cuisine,$R$4,d_Pay,$S$4,d_Type,$T$4)</f>
        <v>193343</v>
      </c>
      <c r="E141" s="45" t="n">
        <f aca="false">SUMIFS(d_Disc,d_Type,$B141,d_Status,"Delivered",d_Year,$P$4,d_City,$Q$4,d_Cuisine,$R$4,d_Pay,$S$4,d_Type,$T$4)</f>
        <v>13715</v>
      </c>
      <c r="F141" s="45" t="n">
        <f aca="false">SUMIFS(d_Net,d_Type,$B141,d_Status,"Delivered",d_Year,$P$4,d_City,$Q$4,d_Cuisine,$R$4,d_Pay,$S$4,d_Type,$T$4)</f>
        <v>179734</v>
      </c>
      <c r="G141" s="52" t="n">
        <f aca="false">IFERROR(F141/SUMIFS(d_Net,d_Status,"Delivered",d_Year,$P$4,d_City,$Q$4,d_Cuisine,$R$4,d_Pay,$S$4,d_Type,$T$4),0)</f>
        <v>0.256781198657047</v>
      </c>
      <c r="H141" s="45" t="n">
        <f aca="false">IFERROR(F141/C141,0)</f>
        <v>903.185929648241</v>
      </c>
    </row>
    <row r="142" customFormat="false" ht="15" hidden="false" customHeight="false" outlineLevel="0" collapsed="false">
      <c r="B142" s="46" t="s">
        <v>69</v>
      </c>
      <c r="C142" s="48" t="n">
        <f aca="false">SUM(C140:C141)</f>
        <v>791</v>
      </c>
      <c r="D142" s="49" t="n">
        <f aca="false">SUM(D140:D141)</f>
        <v>755840</v>
      </c>
      <c r="E142" s="49" t="n">
        <f aca="false">SUM(E140:E141)</f>
        <v>56065</v>
      </c>
      <c r="F142" s="49" t="n">
        <f aca="false">SUM(F140:F141)</f>
        <v>699950</v>
      </c>
      <c r="G142" s="53" t="n">
        <f aca="false">SUM(G140:G141)</f>
        <v>1</v>
      </c>
      <c r="H142" s="49" t="n">
        <f aca="false">IFERROR(F142/C142,0)</f>
        <v>884.892541087231</v>
      </c>
    </row>
  </sheetData>
  <mergeCells count="23">
    <mergeCell ref="B2:M2"/>
    <mergeCell ref="B3:K3"/>
    <mergeCell ref="L3:M3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57:M57"/>
  </mergeCells>
  <dataValidations count="5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D8A"/>
    <pageSetUpPr fitToPage="false"/>
  </sheetPr>
  <dimension ref="B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true" outlineLevel="0" max="21" min="16" style="0" width="1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25" t="s">
        <v>328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customFormat="false" ht="31.5" hidden="false" customHeight="true" outlineLevel="0" collapsed="false">
      <c r="B3" s="26" t="s">
        <v>329</v>
      </c>
      <c r="C3" s="26"/>
      <c r="D3" s="26"/>
      <c r="E3" s="26"/>
      <c r="F3" s="26"/>
      <c r="G3" s="26"/>
      <c r="H3" s="26"/>
      <c r="I3" s="26"/>
      <c r="J3" s="26"/>
      <c r="K3" s="26"/>
      <c r="L3" s="27" t="s">
        <v>43</v>
      </c>
      <c r="M3" s="27"/>
    </row>
    <row r="4" customFormat="false" ht="24" hidden="false" customHeight="true" outlineLevel="0" collapsed="false">
      <c r="B4" s="28" t="s">
        <v>44</v>
      </c>
      <c r="C4" s="29" t="s">
        <v>45</v>
      </c>
      <c r="D4" s="28" t="s">
        <v>46</v>
      </c>
      <c r="E4" s="29" t="s">
        <v>45</v>
      </c>
      <c r="F4" s="28" t="s">
        <v>47</v>
      </c>
      <c r="G4" s="29" t="s">
        <v>45</v>
      </c>
      <c r="H4" s="28" t="s">
        <v>48</v>
      </c>
      <c r="I4" s="29" t="s">
        <v>45</v>
      </c>
      <c r="J4" s="28" t="s">
        <v>49</v>
      </c>
      <c r="K4" s="29" t="s">
        <v>45</v>
      </c>
      <c r="L4" s="30" t="str">
        <f aca="false">"Orders in view: "&amp;TEXT(COUNTIFS(d_ID,"&lt;&gt;",d_Year,$P$4,d_City,$Q$4,d_Cuisine,$R$4,d_Pay,$S$4,d_Type,$T$4),"#,##0")</f>
        <v>Orders in view: 1,200</v>
      </c>
      <c r="M4" s="30"/>
      <c r="P4" s="0" t="str">
        <f aca="false">IF(C4="All","&gt;0",C4)</f>
        <v>&gt;0</v>
      </c>
      <c r="Q4" s="0" t="str">
        <f aca="false">IF(E4="All","*",E4)</f>
        <v>*</v>
      </c>
      <c r="R4" s="0" t="str">
        <f aca="false">IF(G4="All","*",G4)</f>
        <v>*</v>
      </c>
      <c r="S4" s="0" t="str">
        <f aca="false">IF(I4="All","*",I4)</f>
        <v>*</v>
      </c>
      <c r="T4" s="0" t="str">
        <f aca="false">IF(K4="All","*",K4)</f>
        <v>*</v>
      </c>
    </row>
    <row r="5" customFormat="false" ht="25.5" hidden="false" customHeight="true" outlineLevel="0" collapsed="false">
      <c r="B5" s="90" t="s">
        <v>330</v>
      </c>
      <c r="C5" s="91" t="s">
        <v>99</v>
      </c>
      <c r="D5" s="91"/>
      <c r="E5" s="90" t="s">
        <v>331</v>
      </c>
      <c r="F5" s="91" t="s">
        <v>64</v>
      </c>
      <c r="G5" s="91"/>
      <c r="H5" s="92" t="s">
        <v>332</v>
      </c>
      <c r="I5" s="92"/>
      <c r="J5" s="92"/>
      <c r="K5" s="92"/>
      <c r="L5" s="92"/>
      <c r="M5" s="92"/>
      <c r="P5" s="93" t="n">
        <f aca="false">MATCH(C5,Lists!$G$1:$L$1,0)</f>
        <v>1</v>
      </c>
      <c r="Q5" s="93" t="n">
        <f aca="false">MATCH(F5,Lists!$N$2:$N$7,0)</f>
        <v>1</v>
      </c>
    </row>
    <row r="6" customFormat="false" ht="24" hidden="false" customHeight="true" outlineLevel="0" collapsed="false">
      <c r="B6" s="94" t="str">
        <f aca="false">F5&amp;" by "&amp;C5&amp;"  (filtered view)"</f>
        <v>Orders by City  (filtered view)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</row>
    <row r="30" customFormat="false" ht="15" hidden="false" customHeight="false" outlineLevel="0" collapsed="false">
      <c r="B30" s="35" t="s">
        <v>333</v>
      </c>
    </row>
    <row r="31" customFormat="false" ht="30" hidden="false" customHeight="true" outlineLevel="0" collapsed="false">
      <c r="B31" s="36" t="s">
        <v>334</v>
      </c>
      <c r="C31" s="37" t="s">
        <v>335</v>
      </c>
    </row>
    <row r="32" customFormat="false" ht="15" hidden="false" customHeight="false" outlineLevel="0" collapsed="false">
      <c r="B32" s="38" t="str">
        <f aca="false">INDEX(CHOOSE($P$5,Lists!$G$2:$G$14,Lists!$H$2:$H$14,Lists!$I$2:$I$14,Lists!$J$2:$J$14,Lists!$K$2:$K$14,Lists!$L$2:$L$14),1)&amp;""</f>
        <v>Delhi</v>
      </c>
      <c r="C32" s="95" t="n">
        <f aca="false">IF($B32="","",CHOOSE($Q$5,COUNTIFS(CHOOSE($P$5,d_City,d_Cuisine,d_Rest,d_Pay,d_Type,d_Gender),$B32,d_Year,$P$4,d_City,$Q$4,d_Cuisine,$R$4,d_Pay,$S$4,d_Type,$T$4),SUMIFS(d_Net,CHOOSE($P$5,d_City,d_Cuisine,d_Rest,d_Pay,d_Type,d_Gender),$B32,d_Status,"Delivered",d_Year,$P$4,d_City,$Q$4,d_Cuisine,$R$4,d_Pay,$S$4,d_Type,$T$4),IFERROR(AVERAGEIFS(d_OV,CHOOSE($P$5,d_City,d_Cuisine,d_Rest,d_Pay,d_Type,d_Gender),$B32,d_Year,$P$4,d_City,$Q$4,d_Cuisine,$R$4,d_Pay,$S$4,d_Type,$T$4),0),IFERROR(COUNTIFS(CHOOSE($P$5,d_City,d_Cuisine,d_Rest,d_Pay,d_Type,d_Gender),$B32,d_Status,"Cancelled",d_Year,$P$4,d_City,$Q$4,d_Cuisine,$R$4,d_Pay,$S$4,d_Type,$T$4)/COUNTIFS(CHOOSE($P$5,d_City,d_Cuisine,d_Rest,d_Pay,d_Type,d_Gender),$B32,d_Year,$P$4,d_City,$Q$4,d_Cuisine,$R$4,d_Pay,$S$4,d_Type,$T$4),0),IFERROR(AVERAGEIFS(d_Time,CHOOSE($P$5,d_City,d_Cuisine,d_Rest,d_Pay,d_Type,d_Gender),$B32,d_Status,"Delivered",d_Year,$P$4,d_City,$Q$4,d_Cuisine,$R$4,d_Pay,$S$4,d_Type,$T$4),0),IFERROR(AVERAGEIFS(d_CRating,CHOOSE($P$5,d_City,d_Cuisine,d_Rest,d_Pay,d_Type,d_Gender),$B32,d_Year,$P$4,d_City,$Q$4,d_Cuisine,$R$4,d_Pay,$S$4,d_Type,$T$4),0)))</f>
        <v>119</v>
      </c>
    </row>
    <row r="33" customFormat="false" ht="15" hidden="false" customHeight="false" outlineLevel="0" collapsed="false">
      <c r="B33" s="42" t="str">
        <f aca="false">INDEX(CHOOSE($P$5,Lists!$G$2:$G$14,Lists!$H$2:$H$14,Lists!$I$2:$I$14,Lists!$J$2:$J$14,Lists!$K$2:$K$14,Lists!$L$2:$L$14),2)&amp;""</f>
        <v>Ahmedabad</v>
      </c>
      <c r="C33" s="96" t="n">
        <f aca="false">IF($B33="","",CHOOSE($Q$5,COUNTIFS(CHOOSE($P$5,d_City,d_Cuisine,d_Rest,d_Pay,d_Type,d_Gender),$B33,d_Year,$P$4,d_City,$Q$4,d_Cuisine,$R$4,d_Pay,$S$4,d_Type,$T$4),SUMIFS(d_Net,CHOOSE($P$5,d_City,d_Cuisine,d_Rest,d_Pay,d_Type,d_Gender),$B33,d_Status,"Delivered",d_Year,$P$4,d_City,$Q$4,d_Cuisine,$R$4,d_Pay,$S$4,d_Type,$T$4),IFERROR(AVERAGEIFS(d_OV,CHOOSE($P$5,d_City,d_Cuisine,d_Rest,d_Pay,d_Type,d_Gender),$B33,d_Year,$P$4,d_City,$Q$4,d_Cuisine,$R$4,d_Pay,$S$4,d_Type,$T$4),0),IFERROR(COUNTIFS(CHOOSE($P$5,d_City,d_Cuisine,d_Rest,d_Pay,d_Type,d_Gender),$B33,d_Status,"Cancelled",d_Year,$P$4,d_City,$Q$4,d_Cuisine,$R$4,d_Pay,$S$4,d_Type,$T$4)/COUNTIFS(CHOOSE($P$5,d_City,d_Cuisine,d_Rest,d_Pay,d_Type,d_Gender),$B33,d_Year,$P$4,d_City,$Q$4,d_Cuisine,$R$4,d_Pay,$S$4,d_Type,$T$4),0),IFERROR(AVERAGEIFS(d_Time,CHOOSE($P$5,d_City,d_Cuisine,d_Rest,d_Pay,d_Type,d_Gender),$B33,d_Status,"Delivered",d_Year,$P$4,d_City,$Q$4,d_Cuisine,$R$4,d_Pay,$S$4,d_Type,$T$4),0),IFERROR(AVERAGEIFS(d_CRating,CHOOSE($P$5,d_City,d_Cuisine,d_Rest,d_Pay,d_Type,d_Gender),$B33,d_Year,$P$4,d_City,$Q$4,d_Cuisine,$R$4,d_Pay,$S$4,d_Type,$T$4),0)))</f>
        <v>114</v>
      </c>
    </row>
    <row r="34" customFormat="false" ht="15" hidden="false" customHeight="false" outlineLevel="0" collapsed="false">
      <c r="B34" s="38" t="str">
        <f aca="false">INDEX(CHOOSE($P$5,Lists!$G$2:$G$14,Lists!$H$2:$H$14,Lists!$I$2:$I$14,Lists!$J$2:$J$14,Lists!$K$2:$K$14,Lists!$L$2:$L$14),3)&amp;""</f>
        <v>Bengaluru</v>
      </c>
      <c r="C34" s="95" t="n">
        <f aca="false">IF($B34="","",CHOOSE($Q$5,COUNTIFS(CHOOSE($P$5,d_City,d_Cuisine,d_Rest,d_Pay,d_Type,d_Gender),$B34,d_Year,$P$4,d_City,$Q$4,d_Cuisine,$R$4,d_Pay,$S$4,d_Type,$T$4),SUMIFS(d_Net,CHOOSE($P$5,d_City,d_Cuisine,d_Rest,d_Pay,d_Type,d_Gender),$B34,d_Status,"Delivered",d_Year,$P$4,d_City,$Q$4,d_Cuisine,$R$4,d_Pay,$S$4,d_Type,$T$4),IFERROR(AVERAGEIFS(d_OV,CHOOSE($P$5,d_City,d_Cuisine,d_Rest,d_Pay,d_Type,d_Gender),$B34,d_Year,$P$4,d_City,$Q$4,d_Cuisine,$R$4,d_Pay,$S$4,d_Type,$T$4),0),IFERROR(COUNTIFS(CHOOSE($P$5,d_City,d_Cuisine,d_Rest,d_Pay,d_Type,d_Gender),$B34,d_Status,"Cancelled",d_Year,$P$4,d_City,$Q$4,d_Cuisine,$R$4,d_Pay,$S$4,d_Type,$T$4)/COUNTIFS(CHOOSE($P$5,d_City,d_Cuisine,d_Rest,d_Pay,d_Type,d_Gender),$B34,d_Year,$P$4,d_City,$Q$4,d_Cuisine,$R$4,d_Pay,$S$4,d_Type,$T$4),0),IFERROR(AVERAGEIFS(d_Time,CHOOSE($P$5,d_City,d_Cuisine,d_Rest,d_Pay,d_Type,d_Gender),$B34,d_Status,"Delivered",d_Year,$P$4,d_City,$Q$4,d_Cuisine,$R$4,d_Pay,$S$4,d_Type,$T$4),0),IFERROR(AVERAGEIFS(d_CRating,CHOOSE($P$5,d_City,d_Cuisine,d_Rest,d_Pay,d_Type,d_Gender),$B34,d_Year,$P$4,d_City,$Q$4,d_Cuisine,$R$4,d_Pay,$S$4,d_Type,$T$4),0)))</f>
        <v>110</v>
      </c>
    </row>
    <row r="35" customFormat="false" ht="15" hidden="false" customHeight="false" outlineLevel="0" collapsed="false">
      <c r="B35" s="42" t="str">
        <f aca="false">INDEX(CHOOSE($P$5,Lists!$G$2:$G$14,Lists!$H$2:$H$14,Lists!$I$2:$I$14,Lists!$J$2:$J$14,Lists!$K$2:$K$14,Lists!$L$2:$L$14),4)&amp;""</f>
        <v>Chennai</v>
      </c>
      <c r="C35" s="96" t="n">
        <f aca="false">IF($B35="","",CHOOSE($Q$5,COUNTIFS(CHOOSE($P$5,d_City,d_Cuisine,d_Rest,d_Pay,d_Type,d_Gender),$B35,d_Year,$P$4,d_City,$Q$4,d_Cuisine,$R$4,d_Pay,$S$4,d_Type,$T$4),SUMIFS(d_Net,CHOOSE($P$5,d_City,d_Cuisine,d_Rest,d_Pay,d_Type,d_Gender),$B35,d_Status,"Delivered",d_Year,$P$4,d_City,$Q$4,d_Cuisine,$R$4,d_Pay,$S$4,d_Type,$T$4),IFERROR(AVERAGEIFS(d_OV,CHOOSE($P$5,d_City,d_Cuisine,d_Rest,d_Pay,d_Type,d_Gender),$B35,d_Year,$P$4,d_City,$Q$4,d_Cuisine,$R$4,d_Pay,$S$4,d_Type,$T$4),0),IFERROR(COUNTIFS(CHOOSE($P$5,d_City,d_Cuisine,d_Rest,d_Pay,d_Type,d_Gender),$B35,d_Status,"Cancelled",d_Year,$P$4,d_City,$Q$4,d_Cuisine,$R$4,d_Pay,$S$4,d_Type,$T$4)/COUNTIFS(CHOOSE($P$5,d_City,d_Cuisine,d_Rest,d_Pay,d_Type,d_Gender),$B35,d_Year,$P$4,d_City,$Q$4,d_Cuisine,$R$4,d_Pay,$S$4,d_Type,$T$4),0),IFERROR(AVERAGEIFS(d_Time,CHOOSE($P$5,d_City,d_Cuisine,d_Rest,d_Pay,d_Type,d_Gender),$B35,d_Status,"Delivered",d_Year,$P$4,d_City,$Q$4,d_Cuisine,$R$4,d_Pay,$S$4,d_Type,$T$4),0),IFERROR(AVERAGEIFS(d_CRating,CHOOSE($P$5,d_City,d_Cuisine,d_Rest,d_Pay,d_Type,d_Gender),$B35,d_Year,$P$4,d_City,$Q$4,d_Cuisine,$R$4,d_Pay,$S$4,d_Type,$T$4),0)))</f>
        <v>108</v>
      </c>
    </row>
    <row r="36" customFormat="false" ht="15" hidden="false" customHeight="false" outlineLevel="0" collapsed="false">
      <c r="B36" s="38" t="str">
        <f aca="false">INDEX(CHOOSE($P$5,Lists!$G$2:$G$14,Lists!$H$2:$H$14,Lists!$I$2:$I$14,Lists!$J$2:$J$14,Lists!$K$2:$K$14,Lists!$L$2:$L$14),5)&amp;""</f>
        <v>Noida</v>
      </c>
      <c r="C36" s="95" t="n">
        <f aca="false">IF($B36="","",CHOOSE($Q$5,COUNTIFS(CHOOSE($P$5,d_City,d_Cuisine,d_Rest,d_Pay,d_Type,d_Gender),$B36,d_Year,$P$4,d_City,$Q$4,d_Cuisine,$R$4,d_Pay,$S$4,d_Type,$T$4),SUMIFS(d_Net,CHOOSE($P$5,d_City,d_Cuisine,d_Rest,d_Pay,d_Type,d_Gender),$B36,d_Status,"Delivered",d_Year,$P$4,d_City,$Q$4,d_Cuisine,$R$4,d_Pay,$S$4,d_Type,$T$4),IFERROR(AVERAGEIFS(d_OV,CHOOSE($P$5,d_City,d_Cuisine,d_Rest,d_Pay,d_Type,d_Gender),$B36,d_Year,$P$4,d_City,$Q$4,d_Cuisine,$R$4,d_Pay,$S$4,d_Type,$T$4),0),IFERROR(COUNTIFS(CHOOSE($P$5,d_City,d_Cuisine,d_Rest,d_Pay,d_Type,d_Gender),$B36,d_Status,"Cancelled",d_Year,$P$4,d_City,$Q$4,d_Cuisine,$R$4,d_Pay,$S$4,d_Type,$T$4)/COUNTIFS(CHOOSE($P$5,d_City,d_Cuisine,d_Rest,d_Pay,d_Type,d_Gender),$B36,d_Year,$P$4,d_City,$Q$4,d_Cuisine,$R$4,d_Pay,$S$4,d_Type,$T$4),0),IFERROR(AVERAGEIFS(d_Time,CHOOSE($P$5,d_City,d_Cuisine,d_Rest,d_Pay,d_Type,d_Gender),$B36,d_Status,"Delivered",d_Year,$P$4,d_City,$Q$4,d_Cuisine,$R$4,d_Pay,$S$4,d_Type,$T$4),0),IFERROR(AVERAGEIFS(d_CRating,CHOOSE($P$5,d_City,d_Cuisine,d_Rest,d_Pay,d_Type,d_Gender),$B36,d_Year,$P$4,d_City,$Q$4,d_Cuisine,$R$4,d_Pay,$S$4,d_Type,$T$4),0)))</f>
        <v>107</v>
      </c>
    </row>
    <row r="37" customFormat="false" ht="15" hidden="false" customHeight="false" outlineLevel="0" collapsed="false">
      <c r="B37" s="42" t="str">
        <f aca="false">INDEX(CHOOSE($P$5,Lists!$G$2:$G$14,Lists!$H$2:$H$14,Lists!$I$2:$I$14,Lists!$J$2:$J$14,Lists!$K$2:$K$14,Lists!$L$2:$L$14),6)&amp;""</f>
        <v>Jaipur</v>
      </c>
      <c r="C37" s="96" t="n">
        <f aca="false">IF($B37="","",CHOOSE($Q$5,COUNTIFS(CHOOSE($P$5,d_City,d_Cuisine,d_Rest,d_Pay,d_Type,d_Gender),$B37,d_Year,$P$4,d_City,$Q$4,d_Cuisine,$R$4,d_Pay,$S$4,d_Type,$T$4),SUMIFS(d_Net,CHOOSE($P$5,d_City,d_Cuisine,d_Rest,d_Pay,d_Type,d_Gender),$B37,d_Status,"Delivered",d_Year,$P$4,d_City,$Q$4,d_Cuisine,$R$4,d_Pay,$S$4,d_Type,$T$4),IFERROR(AVERAGEIFS(d_OV,CHOOSE($P$5,d_City,d_Cuisine,d_Rest,d_Pay,d_Type,d_Gender),$B37,d_Year,$P$4,d_City,$Q$4,d_Cuisine,$R$4,d_Pay,$S$4,d_Type,$T$4),0),IFERROR(COUNTIFS(CHOOSE($P$5,d_City,d_Cuisine,d_Rest,d_Pay,d_Type,d_Gender),$B37,d_Status,"Cancelled",d_Year,$P$4,d_City,$Q$4,d_Cuisine,$R$4,d_Pay,$S$4,d_Type,$T$4)/COUNTIFS(CHOOSE($P$5,d_City,d_Cuisine,d_Rest,d_Pay,d_Type,d_Gender),$B37,d_Year,$P$4,d_City,$Q$4,d_Cuisine,$R$4,d_Pay,$S$4,d_Type,$T$4),0),IFERROR(AVERAGEIFS(d_Time,CHOOSE($P$5,d_City,d_Cuisine,d_Rest,d_Pay,d_Type,d_Gender),$B37,d_Status,"Delivered",d_Year,$P$4,d_City,$Q$4,d_Cuisine,$R$4,d_Pay,$S$4,d_Type,$T$4),0),IFERROR(AVERAGEIFS(d_CRating,CHOOSE($P$5,d_City,d_Cuisine,d_Rest,d_Pay,d_Type,d_Gender),$B37,d_Year,$P$4,d_City,$Q$4,d_Cuisine,$R$4,d_Pay,$S$4,d_Type,$T$4),0)))</f>
        <v>102</v>
      </c>
    </row>
    <row r="38" customFormat="false" ht="15" hidden="false" customHeight="false" outlineLevel="0" collapsed="false">
      <c r="B38" s="38" t="str">
        <f aca="false">INDEX(CHOOSE($P$5,Lists!$G$2:$G$14,Lists!$H$2:$H$14,Lists!$I$2:$I$14,Lists!$J$2:$J$14,Lists!$K$2:$K$14,Lists!$L$2:$L$14),7)&amp;""</f>
        <v>Hyderabad</v>
      </c>
      <c r="C38" s="95" t="n">
        <f aca="false">IF($B38="","",CHOOSE($Q$5,COUNTIFS(CHOOSE($P$5,d_City,d_Cuisine,d_Rest,d_Pay,d_Type,d_Gender),$B38,d_Year,$P$4,d_City,$Q$4,d_Cuisine,$R$4,d_Pay,$S$4,d_Type,$T$4),SUMIFS(d_Net,CHOOSE($P$5,d_City,d_Cuisine,d_Rest,d_Pay,d_Type,d_Gender),$B38,d_Status,"Delivered",d_Year,$P$4,d_City,$Q$4,d_Cuisine,$R$4,d_Pay,$S$4,d_Type,$T$4),IFERROR(AVERAGEIFS(d_OV,CHOOSE($P$5,d_City,d_Cuisine,d_Rest,d_Pay,d_Type,d_Gender),$B38,d_Year,$P$4,d_City,$Q$4,d_Cuisine,$R$4,d_Pay,$S$4,d_Type,$T$4),0),IFERROR(COUNTIFS(CHOOSE($P$5,d_City,d_Cuisine,d_Rest,d_Pay,d_Type,d_Gender),$B38,d_Status,"Cancelled",d_Year,$P$4,d_City,$Q$4,d_Cuisine,$R$4,d_Pay,$S$4,d_Type,$T$4)/COUNTIFS(CHOOSE($P$5,d_City,d_Cuisine,d_Rest,d_Pay,d_Type,d_Gender),$B38,d_Year,$P$4,d_City,$Q$4,d_Cuisine,$R$4,d_Pay,$S$4,d_Type,$T$4),0),IFERROR(AVERAGEIFS(d_Time,CHOOSE($P$5,d_City,d_Cuisine,d_Rest,d_Pay,d_Type,d_Gender),$B38,d_Status,"Delivered",d_Year,$P$4,d_City,$Q$4,d_Cuisine,$R$4,d_Pay,$S$4,d_Type,$T$4),0),IFERROR(AVERAGEIFS(d_CRating,CHOOSE($P$5,d_City,d_Cuisine,d_Rest,d_Pay,d_Type,d_Gender),$B38,d_Year,$P$4,d_City,$Q$4,d_Cuisine,$R$4,d_Pay,$S$4,d_Type,$T$4),0)))</f>
        <v>96</v>
      </c>
    </row>
    <row r="39" customFormat="false" ht="15" hidden="false" customHeight="false" outlineLevel="0" collapsed="false">
      <c r="B39" s="42" t="str">
        <f aca="false">INDEX(CHOOSE($P$5,Lists!$G$2:$G$14,Lists!$H$2:$H$14,Lists!$I$2:$I$14,Lists!$J$2:$J$14,Lists!$K$2:$K$14,Lists!$L$2:$L$14),8)&amp;""</f>
        <v>Pune</v>
      </c>
      <c r="C39" s="96" t="n">
        <f aca="false">IF($B39="","",CHOOSE($Q$5,COUNTIFS(CHOOSE($P$5,d_City,d_Cuisine,d_Rest,d_Pay,d_Type,d_Gender),$B39,d_Year,$P$4,d_City,$Q$4,d_Cuisine,$R$4,d_Pay,$S$4,d_Type,$T$4),SUMIFS(d_Net,CHOOSE($P$5,d_City,d_Cuisine,d_Rest,d_Pay,d_Type,d_Gender),$B39,d_Status,"Delivered",d_Year,$P$4,d_City,$Q$4,d_Cuisine,$R$4,d_Pay,$S$4,d_Type,$T$4),IFERROR(AVERAGEIFS(d_OV,CHOOSE($P$5,d_City,d_Cuisine,d_Rest,d_Pay,d_Type,d_Gender),$B39,d_Year,$P$4,d_City,$Q$4,d_Cuisine,$R$4,d_Pay,$S$4,d_Type,$T$4),0),IFERROR(COUNTIFS(CHOOSE($P$5,d_City,d_Cuisine,d_Rest,d_Pay,d_Type,d_Gender),$B39,d_Status,"Cancelled",d_Year,$P$4,d_City,$Q$4,d_Cuisine,$R$4,d_Pay,$S$4,d_Type,$T$4)/COUNTIFS(CHOOSE($P$5,d_City,d_Cuisine,d_Rest,d_Pay,d_Type,d_Gender),$B39,d_Year,$P$4,d_City,$Q$4,d_Cuisine,$R$4,d_Pay,$S$4,d_Type,$T$4),0),IFERROR(AVERAGEIFS(d_Time,CHOOSE($P$5,d_City,d_Cuisine,d_Rest,d_Pay,d_Type,d_Gender),$B39,d_Status,"Delivered",d_Year,$P$4,d_City,$Q$4,d_Cuisine,$R$4,d_Pay,$S$4,d_Type,$T$4),0),IFERROR(AVERAGEIFS(d_CRating,CHOOSE($P$5,d_City,d_Cuisine,d_Rest,d_Pay,d_Type,d_Gender),$B39,d_Year,$P$4,d_City,$Q$4,d_Cuisine,$R$4,d_Pay,$S$4,d_Type,$T$4),0)))</f>
        <v>96</v>
      </c>
    </row>
    <row r="40" customFormat="false" ht="15" hidden="false" customHeight="false" outlineLevel="0" collapsed="false">
      <c r="B40" s="38" t="str">
        <f aca="false">INDEX(CHOOSE($P$5,Lists!$G$2:$G$14,Lists!$H$2:$H$14,Lists!$I$2:$I$14,Lists!$J$2:$J$14,Lists!$K$2:$K$14,Lists!$L$2:$L$14),9)&amp;""</f>
        <v>Kolkata</v>
      </c>
      <c r="C40" s="95" t="n">
        <f aca="false">IF($B40="","",CHOOSE($Q$5,COUNTIFS(CHOOSE($P$5,d_City,d_Cuisine,d_Rest,d_Pay,d_Type,d_Gender),$B40,d_Year,$P$4,d_City,$Q$4,d_Cuisine,$R$4,d_Pay,$S$4,d_Type,$T$4),SUMIFS(d_Net,CHOOSE($P$5,d_City,d_Cuisine,d_Rest,d_Pay,d_Type,d_Gender),$B40,d_Status,"Delivered",d_Year,$P$4,d_City,$Q$4,d_Cuisine,$R$4,d_Pay,$S$4,d_Type,$T$4),IFERROR(AVERAGEIFS(d_OV,CHOOSE($P$5,d_City,d_Cuisine,d_Rest,d_Pay,d_Type,d_Gender),$B40,d_Year,$P$4,d_City,$Q$4,d_Cuisine,$R$4,d_Pay,$S$4,d_Type,$T$4),0),IFERROR(COUNTIFS(CHOOSE($P$5,d_City,d_Cuisine,d_Rest,d_Pay,d_Type,d_Gender),$B40,d_Status,"Cancelled",d_Year,$P$4,d_City,$Q$4,d_Cuisine,$R$4,d_Pay,$S$4,d_Type,$T$4)/COUNTIFS(CHOOSE($P$5,d_City,d_Cuisine,d_Rest,d_Pay,d_Type,d_Gender),$B40,d_Year,$P$4,d_City,$Q$4,d_Cuisine,$R$4,d_Pay,$S$4,d_Type,$T$4),0),IFERROR(AVERAGEIFS(d_Time,CHOOSE($P$5,d_City,d_Cuisine,d_Rest,d_Pay,d_Type,d_Gender),$B40,d_Status,"Delivered",d_Year,$P$4,d_City,$Q$4,d_Cuisine,$R$4,d_Pay,$S$4,d_Type,$T$4),0),IFERROR(AVERAGEIFS(d_CRating,CHOOSE($P$5,d_City,d_Cuisine,d_Rest,d_Pay,d_Type,d_Gender),$B40,d_Year,$P$4,d_City,$Q$4,d_Cuisine,$R$4,d_Pay,$S$4,d_Type,$T$4),0)))</f>
        <v>94</v>
      </c>
    </row>
    <row r="41" customFormat="false" ht="15" hidden="false" customHeight="false" outlineLevel="0" collapsed="false">
      <c r="B41" s="42" t="str">
        <f aca="false">INDEX(CHOOSE($P$5,Lists!$G$2:$G$14,Lists!$H$2:$H$14,Lists!$I$2:$I$14,Lists!$J$2:$J$14,Lists!$K$2:$K$14,Lists!$L$2:$L$14),10)&amp;""</f>
        <v>Lucknow</v>
      </c>
      <c r="C41" s="96" t="n">
        <f aca="false">IF($B41="","",CHOOSE($Q$5,COUNTIFS(CHOOSE($P$5,d_City,d_Cuisine,d_Rest,d_Pay,d_Type,d_Gender),$B41,d_Year,$P$4,d_City,$Q$4,d_Cuisine,$R$4,d_Pay,$S$4,d_Type,$T$4),SUMIFS(d_Net,CHOOSE($P$5,d_City,d_Cuisine,d_Rest,d_Pay,d_Type,d_Gender),$B41,d_Status,"Delivered",d_Year,$P$4,d_City,$Q$4,d_Cuisine,$R$4,d_Pay,$S$4,d_Type,$T$4),IFERROR(AVERAGEIFS(d_OV,CHOOSE($P$5,d_City,d_Cuisine,d_Rest,d_Pay,d_Type,d_Gender),$B41,d_Year,$P$4,d_City,$Q$4,d_Cuisine,$R$4,d_Pay,$S$4,d_Type,$T$4),0),IFERROR(COUNTIFS(CHOOSE($P$5,d_City,d_Cuisine,d_Rest,d_Pay,d_Type,d_Gender),$B41,d_Status,"Cancelled",d_Year,$P$4,d_City,$Q$4,d_Cuisine,$R$4,d_Pay,$S$4,d_Type,$T$4)/COUNTIFS(CHOOSE($P$5,d_City,d_Cuisine,d_Rest,d_Pay,d_Type,d_Gender),$B41,d_Year,$P$4,d_City,$Q$4,d_Cuisine,$R$4,d_Pay,$S$4,d_Type,$T$4),0),IFERROR(AVERAGEIFS(d_Time,CHOOSE($P$5,d_City,d_Cuisine,d_Rest,d_Pay,d_Type,d_Gender),$B41,d_Status,"Delivered",d_Year,$P$4,d_City,$Q$4,d_Cuisine,$R$4,d_Pay,$S$4,d_Type,$T$4),0),IFERROR(AVERAGEIFS(d_CRating,CHOOSE($P$5,d_City,d_Cuisine,d_Rest,d_Pay,d_Type,d_Gender),$B41,d_Year,$P$4,d_City,$Q$4,d_Cuisine,$R$4,d_Pay,$S$4,d_Type,$T$4),0)))</f>
        <v>91</v>
      </c>
    </row>
    <row r="42" customFormat="false" ht="15" hidden="false" customHeight="false" outlineLevel="0" collapsed="false">
      <c r="B42" s="38" t="str">
        <f aca="false">INDEX(CHOOSE($P$5,Lists!$G$2:$G$14,Lists!$H$2:$H$14,Lists!$I$2:$I$14,Lists!$J$2:$J$14,Lists!$K$2:$K$14,Lists!$L$2:$L$14),11)&amp;""</f>
        <v>Mumbai</v>
      </c>
      <c r="C42" s="95" t="n">
        <f aca="false">IF($B42="","",CHOOSE($Q$5,COUNTIFS(CHOOSE($P$5,d_City,d_Cuisine,d_Rest,d_Pay,d_Type,d_Gender),$B42,d_Year,$P$4,d_City,$Q$4,d_Cuisine,$R$4,d_Pay,$S$4,d_Type,$T$4),SUMIFS(d_Net,CHOOSE($P$5,d_City,d_Cuisine,d_Rest,d_Pay,d_Type,d_Gender),$B42,d_Status,"Delivered",d_Year,$P$4,d_City,$Q$4,d_Cuisine,$R$4,d_Pay,$S$4,d_Type,$T$4),IFERROR(AVERAGEIFS(d_OV,CHOOSE($P$5,d_City,d_Cuisine,d_Rest,d_Pay,d_Type,d_Gender),$B42,d_Year,$P$4,d_City,$Q$4,d_Cuisine,$R$4,d_Pay,$S$4,d_Type,$T$4),0),IFERROR(COUNTIFS(CHOOSE($P$5,d_City,d_Cuisine,d_Rest,d_Pay,d_Type,d_Gender),$B42,d_Status,"Cancelled",d_Year,$P$4,d_City,$Q$4,d_Cuisine,$R$4,d_Pay,$S$4,d_Type,$T$4)/COUNTIFS(CHOOSE($P$5,d_City,d_Cuisine,d_Rest,d_Pay,d_Type,d_Gender),$B42,d_Year,$P$4,d_City,$Q$4,d_Cuisine,$R$4,d_Pay,$S$4,d_Type,$T$4),0),IFERROR(AVERAGEIFS(d_Time,CHOOSE($P$5,d_City,d_Cuisine,d_Rest,d_Pay,d_Type,d_Gender),$B42,d_Status,"Delivered",d_Year,$P$4,d_City,$Q$4,d_Cuisine,$R$4,d_Pay,$S$4,d_Type,$T$4),0),IFERROR(AVERAGEIFS(d_CRating,CHOOSE($P$5,d_City,d_Cuisine,d_Rest,d_Pay,d_Type,d_Gender),$B42,d_Year,$P$4,d_City,$Q$4,d_Cuisine,$R$4,d_Pay,$S$4,d_Type,$T$4),0)))</f>
        <v>83</v>
      </c>
    </row>
    <row r="43" customFormat="false" ht="15" hidden="false" customHeight="false" outlineLevel="0" collapsed="false">
      <c r="B43" s="42" t="str">
        <f aca="false">INDEX(CHOOSE($P$5,Lists!$G$2:$G$14,Lists!$H$2:$H$14,Lists!$I$2:$I$14,Lists!$J$2:$J$14,Lists!$K$2:$K$14,Lists!$L$2:$L$14),12)&amp;""</f>
        <v>Gurugram</v>
      </c>
      <c r="C43" s="96" t="n">
        <f aca="false">IF($B43="","",CHOOSE($Q$5,COUNTIFS(CHOOSE($P$5,d_City,d_Cuisine,d_Rest,d_Pay,d_Type,d_Gender),$B43,d_Year,$P$4,d_City,$Q$4,d_Cuisine,$R$4,d_Pay,$S$4,d_Type,$T$4),SUMIFS(d_Net,CHOOSE($P$5,d_City,d_Cuisine,d_Rest,d_Pay,d_Type,d_Gender),$B43,d_Status,"Delivered",d_Year,$P$4,d_City,$Q$4,d_Cuisine,$R$4,d_Pay,$S$4,d_Type,$T$4),IFERROR(AVERAGEIFS(d_OV,CHOOSE($P$5,d_City,d_Cuisine,d_Rest,d_Pay,d_Type,d_Gender),$B43,d_Year,$P$4,d_City,$Q$4,d_Cuisine,$R$4,d_Pay,$S$4,d_Type,$T$4),0),IFERROR(COUNTIFS(CHOOSE($P$5,d_City,d_Cuisine,d_Rest,d_Pay,d_Type,d_Gender),$B43,d_Status,"Cancelled",d_Year,$P$4,d_City,$Q$4,d_Cuisine,$R$4,d_Pay,$S$4,d_Type,$T$4)/COUNTIFS(CHOOSE($P$5,d_City,d_Cuisine,d_Rest,d_Pay,d_Type,d_Gender),$B43,d_Year,$P$4,d_City,$Q$4,d_Cuisine,$R$4,d_Pay,$S$4,d_Type,$T$4),0),IFERROR(AVERAGEIFS(d_Time,CHOOSE($P$5,d_City,d_Cuisine,d_Rest,d_Pay,d_Type,d_Gender),$B43,d_Status,"Delivered",d_Year,$P$4,d_City,$Q$4,d_Cuisine,$R$4,d_Pay,$S$4,d_Type,$T$4),0),IFERROR(AVERAGEIFS(d_CRating,CHOOSE($P$5,d_City,d_Cuisine,d_Rest,d_Pay,d_Type,d_Gender),$B43,d_Year,$P$4,d_City,$Q$4,d_Cuisine,$R$4,d_Pay,$S$4,d_Type,$T$4),0)))</f>
        <v>80</v>
      </c>
    </row>
  </sheetData>
  <mergeCells count="8">
    <mergeCell ref="B2:M2"/>
    <mergeCell ref="B3:K3"/>
    <mergeCell ref="L3:M3"/>
    <mergeCell ref="L4:M4"/>
    <mergeCell ref="C5:D5"/>
    <mergeCell ref="F5:G5"/>
    <mergeCell ref="H5:M5"/>
    <mergeCell ref="B6:M6"/>
  </mergeCells>
  <dataValidations count="7">
    <dataValidation allowBlank="false" error="Please choose a value from the dropdown." errorStyle="stop" errorTitle="Pick from list" operator="between" showDropDown="false" showErrorMessage="true" showInputMessage="false" sqref="C4" type="list">
      <formula1>Lists!$A$2:$A$3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E4" type="list">
      <formula1>Lists!$B$2:$B$13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G4" type="list">
      <formula1>Lists!$C$2:$C$11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I4" type="list">
      <formula1>Lists!$D$2:$D$6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K4" type="list">
      <formula1>Lists!$E$2:$E$4</formula1>
      <formula2>0</formula2>
    </dataValidation>
    <dataValidation allowBlank="false" errorStyle="stop" operator="between" showDropDown="false" showErrorMessage="true" showInputMessage="false" sqref="C5" type="list">
      <formula1>Lists!$G$1:$L$1</formula1>
      <formula2>0</formula2>
    </dataValidation>
    <dataValidation allowBlank="false" errorStyle="stop" operator="between" showDropDown="false" showErrorMessage="true" showInputMessage="false" sqref="F5" type="list">
      <formula1>Lists!$N$2:$N$7</formula1>
      <formula2>0</formula2>
    </dataValidation>
  </dataValidations>
  <hyperlinks>
    <hyperlink ref="L3" location="'Home'!A1" display="← Back to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G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97" t="s">
        <v>336</v>
      </c>
      <c r="B1" s="97" t="s">
        <v>64</v>
      </c>
      <c r="C1" s="97" t="s">
        <v>9</v>
      </c>
      <c r="D1" s="97" t="s">
        <v>337</v>
      </c>
      <c r="E1" s="97" t="s">
        <v>161</v>
      </c>
      <c r="F1" s="97" t="s">
        <v>338</v>
      </c>
      <c r="G1" s="97" t="s">
        <v>339</v>
      </c>
    </row>
    <row r="2" customFormat="false" ht="15" hidden="false" customHeight="false" outlineLevel="0" collapsed="false">
      <c r="A2" s="98" t="s">
        <v>340</v>
      </c>
      <c r="B2" s="98" t="n">
        <f aca="false">COUNTIFS(d_Cust,A2,d_Year,'Customer Analytics'!$P$4,d_City,'Customer Analytics'!$Q$4,d_Cuisine,'Customer Analytics'!$R$4,d_Pay,'Customer Analytics'!$S$4,d_Type,'Customer Analytics'!$T$4)</f>
        <v>4</v>
      </c>
      <c r="C2" s="98" t="n">
        <f aca="false">COUNTIFS(d_Cust,A2,d_Status,"Delivered",d_Year,'Customer Analytics'!$P$4,d_City,'Customer Analytics'!$Q$4,d_Cuisine,'Customer Analytics'!$R$4,d_Pay,'Customer Analytics'!$S$4,d_Type,'Customer Analytics'!$T$4)</f>
        <v>3</v>
      </c>
      <c r="D2" s="99" t="n">
        <f aca="false">SUMIFS(d_Net,d_Cust,A2,d_Status,"Delivered",d_Year,'Customer Analytics'!$P$4,d_City,'Customer Analytics'!$Q$4,d_Cuisine,'Customer Analytics'!$R$4,d_Pay,'Customer Analytics'!$S$4,d_Type,'Customer Analytics'!$T$4)</f>
        <v>3273</v>
      </c>
      <c r="E2" s="100" t="n">
        <f aca="false">IFERROR(AVERAGEIFS(d_CRating,d_Cust,A2,d_Year,'Customer Analytics'!$P$4,d_City,'Customer Analytics'!$Q$4,d_Cuisine,'Customer Analytics'!$R$4,d_Pay,'Customer Analytics'!$S$4,d_Type,'Customer Analytics'!$T$4),0)</f>
        <v>3.75</v>
      </c>
      <c r="F2" s="98" t="n">
        <f aca="false">D2+ROW()/1000000</f>
        <v>3273.000002</v>
      </c>
      <c r="G2" s="98" t="n">
        <f aca="false">RANK(F2,$F$2:$F$351)</f>
        <v>42</v>
      </c>
    </row>
    <row r="3" customFormat="false" ht="15" hidden="false" customHeight="false" outlineLevel="0" collapsed="false">
      <c r="A3" s="98" t="s">
        <v>341</v>
      </c>
      <c r="B3" s="98" t="n">
        <f aca="false">COUNTIFS(d_Cust,A3,d_Year,'Customer Analytics'!$P$4,d_City,'Customer Analytics'!$Q$4,d_Cuisine,'Customer Analytics'!$R$4,d_Pay,'Customer Analytics'!$S$4,d_Type,'Customer Analytics'!$T$4)</f>
        <v>4</v>
      </c>
      <c r="C3" s="98" t="n">
        <f aca="false">COUNTIFS(d_Cust,A3,d_Status,"Delivered",d_Year,'Customer Analytics'!$P$4,d_City,'Customer Analytics'!$Q$4,d_Cuisine,'Customer Analytics'!$R$4,d_Pay,'Customer Analytics'!$S$4,d_Type,'Customer Analytics'!$T$4)</f>
        <v>3</v>
      </c>
      <c r="D3" s="99" t="n">
        <f aca="false">SUMIFS(d_Net,d_Cust,A3,d_Status,"Delivered",d_Year,'Customer Analytics'!$P$4,d_City,'Customer Analytics'!$Q$4,d_Cuisine,'Customer Analytics'!$R$4,d_Pay,'Customer Analytics'!$S$4,d_Type,'Customer Analytics'!$T$4)</f>
        <v>1148</v>
      </c>
      <c r="E3" s="100" t="n">
        <f aca="false">IFERROR(AVERAGEIFS(d_CRating,d_Cust,A3,d_Year,'Customer Analytics'!$P$4,d_City,'Customer Analytics'!$Q$4,d_Cuisine,'Customer Analytics'!$R$4,d_Pay,'Customer Analytics'!$S$4,d_Type,'Customer Analytics'!$T$4),0)</f>
        <v>3.75</v>
      </c>
      <c r="F3" s="98" t="n">
        <f aca="false">D3+ROW()/1000000</f>
        <v>1148.000003</v>
      </c>
      <c r="G3" s="98" t="n">
        <f aca="false">RANK(F3,$F$2:$F$351)</f>
        <v>274</v>
      </c>
    </row>
    <row r="4" customFormat="false" ht="15" hidden="false" customHeight="false" outlineLevel="0" collapsed="false">
      <c r="A4" s="98" t="s">
        <v>342</v>
      </c>
      <c r="B4" s="98" t="n">
        <f aca="false">COUNTIFS(d_Cust,A4,d_Year,'Customer Analytics'!$P$4,d_City,'Customer Analytics'!$Q$4,d_Cuisine,'Customer Analytics'!$R$4,d_Pay,'Customer Analytics'!$S$4,d_Type,'Customer Analytics'!$T$4)</f>
        <v>4</v>
      </c>
      <c r="C4" s="98" t="n">
        <f aca="false">COUNTIFS(d_Cust,A4,d_Status,"Delivered",d_Year,'Customer Analytics'!$P$4,d_City,'Customer Analytics'!$Q$4,d_Cuisine,'Customer Analytics'!$R$4,d_Pay,'Customer Analytics'!$S$4,d_Type,'Customer Analytics'!$T$4)</f>
        <v>2</v>
      </c>
      <c r="D4" s="99" t="n">
        <f aca="false">SUMIFS(d_Net,d_Cust,A4,d_Status,"Delivered",d_Year,'Customer Analytics'!$P$4,d_City,'Customer Analytics'!$Q$4,d_Cuisine,'Customer Analytics'!$R$4,d_Pay,'Customer Analytics'!$S$4,d_Type,'Customer Analytics'!$T$4)</f>
        <v>1429</v>
      </c>
      <c r="E4" s="100" t="n">
        <f aca="false">IFERROR(AVERAGEIFS(d_CRating,d_Cust,A4,d_Year,'Customer Analytics'!$P$4,d_City,'Customer Analytics'!$Q$4,d_Cuisine,'Customer Analytics'!$R$4,d_Pay,'Customer Analytics'!$S$4,d_Type,'Customer Analytics'!$T$4),0)</f>
        <v>3.25</v>
      </c>
      <c r="F4" s="98" t="n">
        <f aca="false">D4+ROW()/1000000</f>
        <v>1429.000004</v>
      </c>
      <c r="G4" s="98" t="n">
        <f aca="false">RANK(F4,$F$2:$F$351)</f>
        <v>244</v>
      </c>
    </row>
    <row r="5" customFormat="false" ht="15" hidden="false" customHeight="false" outlineLevel="0" collapsed="false">
      <c r="A5" s="98" t="s">
        <v>343</v>
      </c>
      <c r="B5" s="98" t="n">
        <f aca="false">COUNTIFS(d_Cust,A5,d_Year,'Customer Analytics'!$P$4,d_City,'Customer Analytics'!$Q$4,d_Cuisine,'Customer Analytics'!$R$4,d_Pay,'Customer Analytics'!$S$4,d_Type,'Customer Analytics'!$T$4)</f>
        <v>4</v>
      </c>
      <c r="C5" s="98" t="n">
        <f aca="false">COUNTIFS(d_Cust,A5,d_Status,"Delivered",d_Year,'Customer Analytics'!$P$4,d_City,'Customer Analytics'!$Q$4,d_Cuisine,'Customer Analytics'!$R$4,d_Pay,'Customer Analytics'!$S$4,d_Type,'Customer Analytics'!$T$4)</f>
        <v>4</v>
      </c>
      <c r="D5" s="99" t="n">
        <f aca="false">SUMIFS(d_Net,d_Cust,A5,d_Status,"Delivered",d_Year,'Customer Analytics'!$P$4,d_City,'Customer Analytics'!$Q$4,d_Cuisine,'Customer Analytics'!$R$4,d_Pay,'Customer Analytics'!$S$4,d_Type,'Customer Analytics'!$T$4)</f>
        <v>3538</v>
      </c>
      <c r="E5" s="100" t="n">
        <f aca="false">IFERROR(AVERAGEIFS(d_CRating,d_Cust,A5,d_Year,'Customer Analytics'!$P$4,d_City,'Customer Analytics'!$Q$4,d_Cuisine,'Customer Analytics'!$R$4,d_Pay,'Customer Analytics'!$S$4,d_Type,'Customer Analytics'!$T$4),0)</f>
        <v>4</v>
      </c>
      <c r="F5" s="98" t="n">
        <f aca="false">D5+ROW()/1000000</f>
        <v>3538.000005</v>
      </c>
      <c r="G5" s="98" t="n">
        <f aca="false">RANK(F5,$F$2:$F$351)</f>
        <v>24</v>
      </c>
    </row>
    <row r="6" customFormat="false" ht="15" hidden="false" customHeight="false" outlineLevel="0" collapsed="false">
      <c r="A6" s="98" t="s">
        <v>344</v>
      </c>
      <c r="B6" s="98" t="n">
        <f aca="false">COUNTIFS(d_Cust,A6,d_Year,'Customer Analytics'!$P$4,d_City,'Customer Analytics'!$Q$4,d_Cuisine,'Customer Analytics'!$R$4,d_Pay,'Customer Analytics'!$S$4,d_Type,'Customer Analytics'!$T$4)</f>
        <v>4</v>
      </c>
      <c r="C6" s="98" t="n">
        <f aca="false">COUNTIFS(d_Cust,A6,d_Status,"Delivered",d_Year,'Customer Analytics'!$P$4,d_City,'Customer Analytics'!$Q$4,d_Cuisine,'Customer Analytics'!$R$4,d_Pay,'Customer Analytics'!$S$4,d_Type,'Customer Analytics'!$T$4)</f>
        <v>2</v>
      </c>
      <c r="D6" s="99" t="n">
        <f aca="false">SUMIFS(d_Net,d_Cust,A6,d_Status,"Delivered",d_Year,'Customer Analytics'!$P$4,d_City,'Customer Analytics'!$Q$4,d_Cuisine,'Customer Analytics'!$R$4,d_Pay,'Customer Analytics'!$S$4,d_Type,'Customer Analytics'!$T$4)</f>
        <v>1535</v>
      </c>
      <c r="E6" s="100" t="n">
        <f aca="false">IFERROR(AVERAGEIFS(d_CRating,d_Cust,A6,d_Year,'Customer Analytics'!$P$4,d_City,'Customer Analytics'!$Q$4,d_Cuisine,'Customer Analytics'!$R$4,d_Pay,'Customer Analytics'!$S$4,d_Type,'Customer Analytics'!$T$4),0)</f>
        <v>4.5</v>
      </c>
      <c r="F6" s="98" t="n">
        <f aca="false">D6+ROW()/1000000</f>
        <v>1535.000006</v>
      </c>
      <c r="G6" s="98" t="n">
        <f aca="false">RANK(F6,$F$2:$F$351)</f>
        <v>230</v>
      </c>
    </row>
    <row r="7" customFormat="false" ht="15" hidden="false" customHeight="false" outlineLevel="0" collapsed="false">
      <c r="A7" s="98" t="s">
        <v>345</v>
      </c>
      <c r="B7" s="98" t="n">
        <f aca="false">COUNTIFS(d_Cust,A7,d_Year,'Customer Analytics'!$P$4,d_City,'Customer Analytics'!$Q$4,d_Cuisine,'Customer Analytics'!$R$4,d_Pay,'Customer Analytics'!$S$4,d_Type,'Customer Analytics'!$T$4)</f>
        <v>4</v>
      </c>
      <c r="C7" s="98" t="n">
        <f aca="false">COUNTIFS(d_Cust,A7,d_Status,"Delivered",d_Year,'Customer Analytics'!$P$4,d_City,'Customer Analytics'!$Q$4,d_Cuisine,'Customer Analytics'!$R$4,d_Pay,'Customer Analytics'!$S$4,d_Type,'Customer Analytics'!$T$4)</f>
        <v>3</v>
      </c>
      <c r="D7" s="99" t="n">
        <f aca="false">SUMIFS(d_Net,d_Cust,A7,d_Status,"Delivered",d_Year,'Customer Analytics'!$P$4,d_City,'Customer Analytics'!$Q$4,d_Cuisine,'Customer Analytics'!$R$4,d_Pay,'Customer Analytics'!$S$4,d_Type,'Customer Analytics'!$T$4)</f>
        <v>2412</v>
      </c>
      <c r="E7" s="100" t="n">
        <f aca="false">IFERROR(AVERAGEIFS(d_CRating,d_Cust,A7,d_Year,'Customer Analytics'!$P$4,d_City,'Customer Analytics'!$Q$4,d_Cuisine,'Customer Analytics'!$R$4,d_Pay,'Customer Analytics'!$S$4,d_Type,'Customer Analytics'!$T$4),0)</f>
        <v>4.5</v>
      </c>
      <c r="F7" s="98" t="n">
        <f aca="false">D7+ROW()/1000000</f>
        <v>2412.000007</v>
      </c>
      <c r="G7" s="98" t="n">
        <f aca="false">RANK(F7,$F$2:$F$351)</f>
        <v>123</v>
      </c>
    </row>
    <row r="8" customFormat="false" ht="15" hidden="false" customHeight="false" outlineLevel="0" collapsed="false">
      <c r="A8" s="98" t="s">
        <v>346</v>
      </c>
      <c r="B8" s="98" t="n">
        <f aca="false">COUNTIFS(d_Cust,A8,d_Year,'Customer Analytics'!$P$4,d_City,'Customer Analytics'!$Q$4,d_Cuisine,'Customer Analytics'!$R$4,d_Pay,'Customer Analytics'!$S$4,d_Type,'Customer Analytics'!$T$4)</f>
        <v>4</v>
      </c>
      <c r="C8" s="98" t="n">
        <f aca="false">COUNTIFS(d_Cust,A8,d_Status,"Delivered",d_Year,'Customer Analytics'!$P$4,d_City,'Customer Analytics'!$Q$4,d_Cuisine,'Customer Analytics'!$R$4,d_Pay,'Customer Analytics'!$S$4,d_Type,'Customer Analytics'!$T$4)</f>
        <v>2</v>
      </c>
      <c r="D8" s="99" t="n">
        <f aca="false">SUMIFS(d_Net,d_Cust,A8,d_Status,"Delivered",d_Year,'Customer Analytics'!$P$4,d_City,'Customer Analytics'!$Q$4,d_Cuisine,'Customer Analytics'!$R$4,d_Pay,'Customer Analytics'!$S$4,d_Type,'Customer Analytics'!$T$4)</f>
        <v>3038</v>
      </c>
      <c r="E8" s="100" t="n">
        <f aca="false">IFERROR(AVERAGEIFS(d_CRating,d_Cust,A8,d_Year,'Customer Analytics'!$P$4,d_City,'Customer Analytics'!$Q$4,d_Cuisine,'Customer Analytics'!$R$4,d_Pay,'Customer Analytics'!$S$4,d_Type,'Customer Analytics'!$T$4),0)</f>
        <v>4.25</v>
      </c>
      <c r="F8" s="98" t="n">
        <f aca="false">D8+ROW()/1000000</f>
        <v>3038.000008</v>
      </c>
      <c r="G8" s="98" t="n">
        <f aca="false">RANK(F8,$F$2:$F$351)</f>
        <v>60</v>
      </c>
    </row>
    <row r="9" customFormat="false" ht="15" hidden="false" customHeight="false" outlineLevel="0" collapsed="false">
      <c r="A9" s="98" t="s">
        <v>347</v>
      </c>
      <c r="B9" s="98" t="n">
        <f aca="false">COUNTIFS(d_Cust,A9,d_Year,'Customer Analytics'!$P$4,d_City,'Customer Analytics'!$Q$4,d_Cuisine,'Customer Analytics'!$R$4,d_Pay,'Customer Analytics'!$S$4,d_Type,'Customer Analytics'!$T$4)</f>
        <v>4</v>
      </c>
      <c r="C9" s="98" t="n">
        <f aca="false">COUNTIFS(d_Cust,A9,d_Status,"Delivered",d_Year,'Customer Analytics'!$P$4,d_City,'Customer Analytics'!$Q$4,d_Cuisine,'Customer Analytics'!$R$4,d_Pay,'Customer Analytics'!$S$4,d_Type,'Customer Analytics'!$T$4)</f>
        <v>3</v>
      </c>
      <c r="D9" s="99" t="n">
        <f aca="false">SUMIFS(d_Net,d_Cust,A9,d_Status,"Delivered",d_Year,'Customer Analytics'!$P$4,d_City,'Customer Analytics'!$Q$4,d_Cuisine,'Customer Analytics'!$R$4,d_Pay,'Customer Analytics'!$S$4,d_Type,'Customer Analytics'!$T$4)</f>
        <v>3510</v>
      </c>
      <c r="E9" s="100" t="n">
        <f aca="false">IFERROR(AVERAGEIFS(d_CRating,d_Cust,A9,d_Year,'Customer Analytics'!$P$4,d_City,'Customer Analytics'!$Q$4,d_Cuisine,'Customer Analytics'!$R$4,d_Pay,'Customer Analytics'!$S$4,d_Type,'Customer Analytics'!$T$4),0)</f>
        <v>3.75</v>
      </c>
      <c r="F9" s="98" t="n">
        <f aca="false">D9+ROW()/1000000</f>
        <v>3510.000009</v>
      </c>
      <c r="G9" s="98" t="n">
        <f aca="false">RANK(F9,$F$2:$F$351)</f>
        <v>26</v>
      </c>
    </row>
    <row r="10" customFormat="false" ht="15" hidden="false" customHeight="false" outlineLevel="0" collapsed="false">
      <c r="A10" s="98" t="s">
        <v>348</v>
      </c>
      <c r="B10" s="98" t="n">
        <f aca="false">COUNTIFS(d_Cust,A10,d_Year,'Customer Analytics'!$P$4,d_City,'Customer Analytics'!$Q$4,d_Cuisine,'Customer Analytics'!$R$4,d_Pay,'Customer Analytics'!$S$4,d_Type,'Customer Analytics'!$T$4)</f>
        <v>4</v>
      </c>
      <c r="C10" s="98" t="n">
        <f aca="false">COUNTIFS(d_Cust,A10,d_Status,"Delivered",d_Year,'Customer Analytics'!$P$4,d_City,'Customer Analytics'!$Q$4,d_Cuisine,'Customer Analytics'!$R$4,d_Pay,'Customer Analytics'!$S$4,d_Type,'Customer Analytics'!$T$4)</f>
        <v>2</v>
      </c>
      <c r="D10" s="99" t="n">
        <f aca="false">SUMIFS(d_Net,d_Cust,A10,d_Status,"Delivered",d_Year,'Customer Analytics'!$P$4,d_City,'Customer Analytics'!$Q$4,d_Cuisine,'Customer Analytics'!$R$4,d_Pay,'Customer Analytics'!$S$4,d_Type,'Customer Analytics'!$T$4)</f>
        <v>1372</v>
      </c>
      <c r="E10" s="100" t="n">
        <f aca="false">IFERROR(AVERAGEIFS(d_CRating,d_Cust,A10,d_Year,'Customer Analytics'!$P$4,d_City,'Customer Analytics'!$Q$4,d_Cuisine,'Customer Analytics'!$R$4,d_Pay,'Customer Analytics'!$S$4,d_Type,'Customer Analytics'!$T$4),0)</f>
        <v>4.25</v>
      </c>
      <c r="F10" s="98" t="n">
        <f aca="false">D10+ROW()/1000000</f>
        <v>1372.00001</v>
      </c>
      <c r="G10" s="98" t="n">
        <f aca="false">RANK(F10,$F$2:$F$351)</f>
        <v>251</v>
      </c>
    </row>
    <row r="11" customFormat="false" ht="15" hidden="false" customHeight="false" outlineLevel="0" collapsed="false">
      <c r="A11" s="98" t="s">
        <v>349</v>
      </c>
      <c r="B11" s="98" t="n">
        <f aca="false">COUNTIFS(d_Cust,A11,d_Year,'Customer Analytics'!$P$4,d_City,'Customer Analytics'!$Q$4,d_Cuisine,'Customer Analytics'!$R$4,d_Pay,'Customer Analytics'!$S$4,d_Type,'Customer Analytics'!$T$4)</f>
        <v>4</v>
      </c>
      <c r="C11" s="98" t="n">
        <f aca="false">COUNTIFS(d_Cust,A11,d_Status,"Delivered",d_Year,'Customer Analytics'!$P$4,d_City,'Customer Analytics'!$Q$4,d_Cuisine,'Customer Analytics'!$R$4,d_Pay,'Customer Analytics'!$S$4,d_Type,'Customer Analytics'!$T$4)</f>
        <v>4</v>
      </c>
      <c r="D11" s="99" t="n">
        <f aca="false">SUMIFS(d_Net,d_Cust,A11,d_Status,"Delivered",d_Year,'Customer Analytics'!$P$4,d_City,'Customer Analytics'!$Q$4,d_Cuisine,'Customer Analytics'!$R$4,d_Pay,'Customer Analytics'!$S$4,d_Type,'Customer Analytics'!$T$4)</f>
        <v>3814</v>
      </c>
      <c r="E11" s="100" t="n">
        <f aca="false">IFERROR(AVERAGEIFS(d_CRating,d_Cust,A11,d_Year,'Customer Analytics'!$P$4,d_City,'Customer Analytics'!$Q$4,d_Cuisine,'Customer Analytics'!$R$4,d_Pay,'Customer Analytics'!$S$4,d_Type,'Customer Analytics'!$T$4),0)</f>
        <v>3.75</v>
      </c>
      <c r="F11" s="98" t="n">
        <f aca="false">D11+ROW()/1000000</f>
        <v>3814.000011</v>
      </c>
      <c r="G11" s="98" t="n">
        <f aca="false">RANK(F11,$F$2:$F$351)</f>
        <v>12</v>
      </c>
    </row>
    <row r="12" customFormat="false" ht="15" hidden="false" customHeight="false" outlineLevel="0" collapsed="false">
      <c r="A12" s="98" t="s">
        <v>350</v>
      </c>
      <c r="B12" s="98" t="n">
        <f aca="false">COUNTIFS(d_Cust,A12,d_Year,'Customer Analytics'!$P$4,d_City,'Customer Analytics'!$Q$4,d_Cuisine,'Customer Analytics'!$R$4,d_Pay,'Customer Analytics'!$S$4,d_Type,'Customer Analytics'!$T$4)</f>
        <v>4</v>
      </c>
      <c r="C12" s="98" t="n">
        <f aca="false">COUNTIFS(d_Cust,A12,d_Status,"Delivered",d_Year,'Customer Analytics'!$P$4,d_City,'Customer Analytics'!$Q$4,d_Cuisine,'Customer Analytics'!$R$4,d_Pay,'Customer Analytics'!$S$4,d_Type,'Customer Analytics'!$T$4)</f>
        <v>3</v>
      </c>
      <c r="D12" s="99" t="n">
        <f aca="false">SUMIFS(d_Net,d_Cust,A12,d_Status,"Delivered",d_Year,'Customer Analytics'!$P$4,d_City,'Customer Analytics'!$Q$4,d_Cuisine,'Customer Analytics'!$R$4,d_Pay,'Customer Analytics'!$S$4,d_Type,'Customer Analytics'!$T$4)</f>
        <v>1812</v>
      </c>
      <c r="E12" s="100" t="n">
        <f aca="false">IFERROR(AVERAGEIFS(d_CRating,d_Cust,A12,d_Year,'Customer Analytics'!$P$4,d_City,'Customer Analytics'!$Q$4,d_Cuisine,'Customer Analytics'!$R$4,d_Pay,'Customer Analytics'!$S$4,d_Type,'Customer Analytics'!$T$4),0)</f>
        <v>4.75</v>
      </c>
      <c r="F12" s="98" t="n">
        <f aca="false">D12+ROW()/1000000</f>
        <v>1812.000012</v>
      </c>
      <c r="G12" s="98" t="n">
        <f aca="false">RANK(F12,$F$2:$F$351)</f>
        <v>186</v>
      </c>
    </row>
    <row r="13" customFormat="false" ht="15" hidden="false" customHeight="false" outlineLevel="0" collapsed="false">
      <c r="A13" s="98" t="s">
        <v>351</v>
      </c>
      <c r="B13" s="98" t="n">
        <f aca="false">COUNTIFS(d_Cust,A13,d_Year,'Customer Analytics'!$P$4,d_City,'Customer Analytics'!$Q$4,d_Cuisine,'Customer Analytics'!$R$4,d_Pay,'Customer Analytics'!$S$4,d_Type,'Customer Analytics'!$T$4)</f>
        <v>4</v>
      </c>
      <c r="C13" s="98" t="n">
        <f aca="false">COUNTIFS(d_Cust,A13,d_Status,"Delivered",d_Year,'Customer Analytics'!$P$4,d_City,'Customer Analytics'!$Q$4,d_Cuisine,'Customer Analytics'!$R$4,d_Pay,'Customer Analytics'!$S$4,d_Type,'Customer Analytics'!$T$4)</f>
        <v>4</v>
      </c>
      <c r="D13" s="99" t="n">
        <f aca="false">SUMIFS(d_Net,d_Cust,A13,d_Status,"Delivered",d_Year,'Customer Analytics'!$P$4,d_City,'Customer Analytics'!$Q$4,d_Cuisine,'Customer Analytics'!$R$4,d_Pay,'Customer Analytics'!$S$4,d_Type,'Customer Analytics'!$T$4)</f>
        <v>3793</v>
      </c>
      <c r="E13" s="100" t="n">
        <f aca="false">IFERROR(AVERAGEIFS(d_CRating,d_Cust,A13,d_Year,'Customer Analytics'!$P$4,d_City,'Customer Analytics'!$Q$4,d_Cuisine,'Customer Analytics'!$R$4,d_Pay,'Customer Analytics'!$S$4,d_Type,'Customer Analytics'!$T$4),0)</f>
        <v>3.75</v>
      </c>
      <c r="F13" s="98" t="n">
        <f aca="false">D13+ROW()/1000000</f>
        <v>3793.000013</v>
      </c>
      <c r="G13" s="98" t="n">
        <f aca="false">RANK(F13,$F$2:$F$351)</f>
        <v>13</v>
      </c>
    </row>
    <row r="14" customFormat="false" ht="15" hidden="false" customHeight="false" outlineLevel="0" collapsed="false">
      <c r="A14" s="98" t="s">
        <v>352</v>
      </c>
      <c r="B14" s="98" t="n">
        <f aca="false">COUNTIFS(d_Cust,A14,d_Year,'Customer Analytics'!$P$4,d_City,'Customer Analytics'!$Q$4,d_Cuisine,'Customer Analytics'!$R$4,d_Pay,'Customer Analytics'!$S$4,d_Type,'Customer Analytics'!$T$4)</f>
        <v>4</v>
      </c>
      <c r="C14" s="98" t="n">
        <f aca="false">COUNTIFS(d_Cust,A14,d_Status,"Delivered",d_Year,'Customer Analytics'!$P$4,d_City,'Customer Analytics'!$Q$4,d_Cuisine,'Customer Analytics'!$R$4,d_Pay,'Customer Analytics'!$S$4,d_Type,'Customer Analytics'!$T$4)</f>
        <v>1</v>
      </c>
      <c r="D14" s="99" t="n">
        <f aca="false">SUMIFS(d_Net,d_Cust,A14,d_Status,"Delivered",d_Year,'Customer Analytics'!$P$4,d_City,'Customer Analytics'!$Q$4,d_Cuisine,'Customer Analytics'!$R$4,d_Pay,'Customer Analytics'!$S$4,d_Type,'Customer Analytics'!$T$4)</f>
        <v>1215</v>
      </c>
      <c r="E14" s="100" t="n">
        <f aca="false">IFERROR(AVERAGEIFS(d_CRating,d_Cust,A14,d_Year,'Customer Analytics'!$P$4,d_City,'Customer Analytics'!$Q$4,d_Cuisine,'Customer Analytics'!$R$4,d_Pay,'Customer Analytics'!$S$4,d_Type,'Customer Analytics'!$T$4),0)</f>
        <v>3.5</v>
      </c>
      <c r="F14" s="98" t="n">
        <f aca="false">D14+ROW()/1000000</f>
        <v>1215.000014</v>
      </c>
      <c r="G14" s="98" t="n">
        <f aca="false">RANK(F14,$F$2:$F$351)</f>
        <v>269</v>
      </c>
    </row>
    <row r="15" customFormat="false" ht="15" hidden="false" customHeight="false" outlineLevel="0" collapsed="false">
      <c r="A15" s="98" t="s">
        <v>353</v>
      </c>
      <c r="B15" s="98" t="n">
        <f aca="false">COUNTIFS(d_Cust,A15,d_Year,'Customer Analytics'!$P$4,d_City,'Customer Analytics'!$Q$4,d_Cuisine,'Customer Analytics'!$R$4,d_Pay,'Customer Analytics'!$S$4,d_Type,'Customer Analytics'!$T$4)</f>
        <v>4</v>
      </c>
      <c r="C15" s="98" t="n">
        <f aca="false">COUNTIFS(d_Cust,A15,d_Status,"Delivered",d_Year,'Customer Analytics'!$P$4,d_City,'Customer Analytics'!$Q$4,d_Cuisine,'Customer Analytics'!$R$4,d_Pay,'Customer Analytics'!$S$4,d_Type,'Customer Analytics'!$T$4)</f>
        <v>4</v>
      </c>
      <c r="D15" s="99" t="n">
        <f aca="false">SUMIFS(d_Net,d_Cust,A15,d_Status,"Delivered",d_Year,'Customer Analytics'!$P$4,d_City,'Customer Analytics'!$Q$4,d_Cuisine,'Customer Analytics'!$R$4,d_Pay,'Customer Analytics'!$S$4,d_Type,'Customer Analytics'!$T$4)</f>
        <v>1781</v>
      </c>
      <c r="E15" s="100" t="n">
        <f aca="false">IFERROR(AVERAGEIFS(d_CRating,d_Cust,A15,d_Year,'Customer Analytics'!$P$4,d_City,'Customer Analytics'!$Q$4,d_Cuisine,'Customer Analytics'!$R$4,d_Pay,'Customer Analytics'!$S$4,d_Type,'Customer Analytics'!$T$4),0)</f>
        <v>3.75</v>
      </c>
      <c r="F15" s="98" t="n">
        <f aca="false">D15+ROW()/1000000</f>
        <v>1781.000015</v>
      </c>
      <c r="G15" s="98" t="n">
        <f aca="false">RANK(F15,$F$2:$F$351)</f>
        <v>189</v>
      </c>
    </row>
    <row r="16" customFormat="false" ht="15" hidden="false" customHeight="false" outlineLevel="0" collapsed="false">
      <c r="A16" s="98" t="s">
        <v>354</v>
      </c>
      <c r="B16" s="98" t="n">
        <f aca="false">COUNTIFS(d_Cust,A16,d_Year,'Customer Analytics'!$P$4,d_City,'Customer Analytics'!$Q$4,d_Cuisine,'Customer Analytics'!$R$4,d_Pay,'Customer Analytics'!$S$4,d_Type,'Customer Analytics'!$T$4)</f>
        <v>4</v>
      </c>
      <c r="C16" s="98" t="n">
        <f aca="false">COUNTIFS(d_Cust,A16,d_Status,"Delivered",d_Year,'Customer Analytics'!$P$4,d_City,'Customer Analytics'!$Q$4,d_Cuisine,'Customer Analytics'!$R$4,d_Pay,'Customer Analytics'!$S$4,d_Type,'Customer Analytics'!$T$4)</f>
        <v>2</v>
      </c>
      <c r="D16" s="99" t="n">
        <f aca="false">SUMIFS(d_Net,d_Cust,A16,d_Status,"Delivered",d_Year,'Customer Analytics'!$P$4,d_City,'Customer Analytics'!$Q$4,d_Cuisine,'Customer Analytics'!$R$4,d_Pay,'Customer Analytics'!$S$4,d_Type,'Customer Analytics'!$T$4)</f>
        <v>1578</v>
      </c>
      <c r="E16" s="100" t="n">
        <f aca="false">IFERROR(AVERAGEIFS(d_CRating,d_Cust,A16,d_Year,'Customer Analytics'!$P$4,d_City,'Customer Analytics'!$Q$4,d_Cuisine,'Customer Analytics'!$R$4,d_Pay,'Customer Analytics'!$S$4,d_Type,'Customer Analytics'!$T$4),0)</f>
        <v>4</v>
      </c>
      <c r="F16" s="98" t="n">
        <f aca="false">D16+ROW()/1000000</f>
        <v>1578.000016</v>
      </c>
      <c r="G16" s="98" t="n">
        <f aca="false">RANK(F16,$F$2:$F$351)</f>
        <v>223</v>
      </c>
    </row>
    <row r="17" customFormat="false" ht="15" hidden="false" customHeight="false" outlineLevel="0" collapsed="false">
      <c r="A17" s="98" t="s">
        <v>355</v>
      </c>
      <c r="B17" s="98" t="n">
        <f aca="false">COUNTIFS(d_Cust,A17,d_Year,'Customer Analytics'!$P$4,d_City,'Customer Analytics'!$Q$4,d_Cuisine,'Customer Analytics'!$R$4,d_Pay,'Customer Analytics'!$S$4,d_Type,'Customer Analytics'!$T$4)</f>
        <v>4</v>
      </c>
      <c r="C17" s="98" t="n">
        <f aca="false">COUNTIFS(d_Cust,A17,d_Status,"Delivered",d_Year,'Customer Analytics'!$P$4,d_City,'Customer Analytics'!$Q$4,d_Cuisine,'Customer Analytics'!$R$4,d_Pay,'Customer Analytics'!$S$4,d_Type,'Customer Analytics'!$T$4)</f>
        <v>2</v>
      </c>
      <c r="D17" s="99" t="n">
        <f aca="false">SUMIFS(d_Net,d_Cust,A17,d_Status,"Delivered",d_Year,'Customer Analytics'!$P$4,d_City,'Customer Analytics'!$Q$4,d_Cuisine,'Customer Analytics'!$R$4,d_Pay,'Customer Analytics'!$S$4,d_Type,'Customer Analytics'!$T$4)</f>
        <v>1654</v>
      </c>
      <c r="E17" s="100" t="n">
        <f aca="false">IFERROR(AVERAGEIFS(d_CRating,d_Cust,A17,d_Year,'Customer Analytics'!$P$4,d_City,'Customer Analytics'!$Q$4,d_Cuisine,'Customer Analytics'!$R$4,d_Pay,'Customer Analytics'!$S$4,d_Type,'Customer Analytics'!$T$4),0)</f>
        <v>4.75</v>
      </c>
      <c r="F17" s="98" t="n">
        <f aca="false">D17+ROW()/1000000</f>
        <v>1654.000017</v>
      </c>
      <c r="G17" s="98" t="n">
        <f aca="false">RANK(F17,$F$2:$F$351)</f>
        <v>211</v>
      </c>
    </row>
    <row r="18" customFormat="false" ht="15" hidden="false" customHeight="false" outlineLevel="0" collapsed="false">
      <c r="A18" s="98" t="s">
        <v>356</v>
      </c>
      <c r="B18" s="98" t="n">
        <f aca="false">COUNTIFS(d_Cust,A18,d_Year,'Customer Analytics'!$P$4,d_City,'Customer Analytics'!$Q$4,d_Cuisine,'Customer Analytics'!$R$4,d_Pay,'Customer Analytics'!$S$4,d_Type,'Customer Analytics'!$T$4)</f>
        <v>4</v>
      </c>
      <c r="C18" s="98" t="n">
        <f aca="false">COUNTIFS(d_Cust,A18,d_Status,"Delivered",d_Year,'Customer Analytics'!$P$4,d_City,'Customer Analytics'!$Q$4,d_Cuisine,'Customer Analytics'!$R$4,d_Pay,'Customer Analytics'!$S$4,d_Type,'Customer Analytics'!$T$4)</f>
        <v>2</v>
      </c>
      <c r="D18" s="99" t="n">
        <f aca="false">SUMIFS(d_Net,d_Cust,A18,d_Status,"Delivered",d_Year,'Customer Analytics'!$P$4,d_City,'Customer Analytics'!$Q$4,d_Cuisine,'Customer Analytics'!$R$4,d_Pay,'Customer Analytics'!$S$4,d_Type,'Customer Analytics'!$T$4)</f>
        <v>2828</v>
      </c>
      <c r="E18" s="100" t="n">
        <f aca="false">IFERROR(AVERAGEIFS(d_CRating,d_Cust,A18,d_Year,'Customer Analytics'!$P$4,d_City,'Customer Analytics'!$Q$4,d_Cuisine,'Customer Analytics'!$R$4,d_Pay,'Customer Analytics'!$S$4,d_Type,'Customer Analytics'!$T$4),0)</f>
        <v>3.75</v>
      </c>
      <c r="F18" s="98" t="n">
        <f aca="false">D18+ROW()/1000000</f>
        <v>2828.000018</v>
      </c>
      <c r="G18" s="98" t="n">
        <f aca="false">RANK(F18,$F$2:$F$351)</f>
        <v>79</v>
      </c>
    </row>
    <row r="19" customFormat="false" ht="15" hidden="false" customHeight="false" outlineLevel="0" collapsed="false">
      <c r="A19" s="98" t="s">
        <v>357</v>
      </c>
      <c r="B19" s="98" t="n">
        <f aca="false">COUNTIFS(d_Cust,A19,d_Year,'Customer Analytics'!$P$4,d_City,'Customer Analytics'!$Q$4,d_Cuisine,'Customer Analytics'!$R$4,d_Pay,'Customer Analytics'!$S$4,d_Type,'Customer Analytics'!$T$4)</f>
        <v>4</v>
      </c>
      <c r="C19" s="98" t="n">
        <f aca="false">COUNTIFS(d_Cust,A19,d_Status,"Delivered",d_Year,'Customer Analytics'!$P$4,d_City,'Customer Analytics'!$Q$4,d_Cuisine,'Customer Analytics'!$R$4,d_Pay,'Customer Analytics'!$S$4,d_Type,'Customer Analytics'!$T$4)</f>
        <v>3</v>
      </c>
      <c r="D19" s="99" t="n">
        <f aca="false">SUMIFS(d_Net,d_Cust,A19,d_Status,"Delivered",d_Year,'Customer Analytics'!$P$4,d_City,'Customer Analytics'!$Q$4,d_Cuisine,'Customer Analytics'!$R$4,d_Pay,'Customer Analytics'!$S$4,d_Type,'Customer Analytics'!$T$4)</f>
        <v>2698</v>
      </c>
      <c r="E19" s="100" t="n">
        <f aca="false">IFERROR(AVERAGEIFS(d_CRating,d_Cust,A19,d_Year,'Customer Analytics'!$P$4,d_City,'Customer Analytics'!$Q$4,d_Cuisine,'Customer Analytics'!$R$4,d_Pay,'Customer Analytics'!$S$4,d_Type,'Customer Analytics'!$T$4),0)</f>
        <v>3.5</v>
      </c>
      <c r="F19" s="98" t="n">
        <f aca="false">D19+ROW()/1000000</f>
        <v>2698.000019</v>
      </c>
      <c r="G19" s="98" t="n">
        <f aca="false">RANK(F19,$F$2:$F$351)</f>
        <v>89</v>
      </c>
    </row>
    <row r="20" customFormat="false" ht="15" hidden="false" customHeight="false" outlineLevel="0" collapsed="false">
      <c r="A20" s="98" t="s">
        <v>358</v>
      </c>
      <c r="B20" s="98" t="n">
        <f aca="false">COUNTIFS(d_Cust,A20,d_Year,'Customer Analytics'!$P$4,d_City,'Customer Analytics'!$Q$4,d_Cuisine,'Customer Analytics'!$R$4,d_Pay,'Customer Analytics'!$S$4,d_Type,'Customer Analytics'!$T$4)</f>
        <v>4</v>
      </c>
      <c r="C20" s="98" t="n">
        <f aca="false">COUNTIFS(d_Cust,A20,d_Status,"Delivered",d_Year,'Customer Analytics'!$P$4,d_City,'Customer Analytics'!$Q$4,d_Cuisine,'Customer Analytics'!$R$4,d_Pay,'Customer Analytics'!$S$4,d_Type,'Customer Analytics'!$T$4)</f>
        <v>2</v>
      </c>
      <c r="D20" s="99" t="n">
        <f aca="false">SUMIFS(d_Net,d_Cust,A20,d_Status,"Delivered",d_Year,'Customer Analytics'!$P$4,d_City,'Customer Analytics'!$Q$4,d_Cuisine,'Customer Analytics'!$R$4,d_Pay,'Customer Analytics'!$S$4,d_Type,'Customer Analytics'!$T$4)</f>
        <v>1710</v>
      </c>
      <c r="E20" s="100" t="n">
        <f aca="false">IFERROR(AVERAGEIFS(d_CRating,d_Cust,A20,d_Year,'Customer Analytics'!$P$4,d_City,'Customer Analytics'!$Q$4,d_Cuisine,'Customer Analytics'!$R$4,d_Pay,'Customer Analytics'!$S$4,d_Type,'Customer Analytics'!$T$4),0)</f>
        <v>3.25</v>
      </c>
      <c r="F20" s="98" t="n">
        <f aca="false">D20+ROW()/1000000</f>
        <v>1710.00002</v>
      </c>
      <c r="G20" s="98" t="n">
        <f aca="false">RANK(F20,$F$2:$F$351)</f>
        <v>201</v>
      </c>
    </row>
    <row r="21" customFormat="false" ht="15" hidden="false" customHeight="false" outlineLevel="0" collapsed="false">
      <c r="A21" s="98" t="s">
        <v>359</v>
      </c>
      <c r="B21" s="98" t="n">
        <f aca="false">COUNTIFS(d_Cust,A21,d_Year,'Customer Analytics'!$P$4,d_City,'Customer Analytics'!$Q$4,d_Cuisine,'Customer Analytics'!$R$4,d_Pay,'Customer Analytics'!$S$4,d_Type,'Customer Analytics'!$T$4)</f>
        <v>4</v>
      </c>
      <c r="C21" s="98" t="n">
        <f aca="false">COUNTIFS(d_Cust,A21,d_Status,"Delivered",d_Year,'Customer Analytics'!$P$4,d_City,'Customer Analytics'!$Q$4,d_Cuisine,'Customer Analytics'!$R$4,d_Pay,'Customer Analytics'!$S$4,d_Type,'Customer Analytics'!$T$4)</f>
        <v>2</v>
      </c>
      <c r="D21" s="99" t="n">
        <f aca="false">SUMIFS(d_Net,d_Cust,A21,d_Status,"Delivered",d_Year,'Customer Analytics'!$P$4,d_City,'Customer Analytics'!$Q$4,d_Cuisine,'Customer Analytics'!$R$4,d_Pay,'Customer Analytics'!$S$4,d_Type,'Customer Analytics'!$T$4)</f>
        <v>2843</v>
      </c>
      <c r="E21" s="100" t="n">
        <f aca="false">IFERROR(AVERAGEIFS(d_CRating,d_Cust,A21,d_Year,'Customer Analytics'!$P$4,d_City,'Customer Analytics'!$Q$4,d_Cuisine,'Customer Analytics'!$R$4,d_Pay,'Customer Analytics'!$S$4,d_Type,'Customer Analytics'!$T$4),0)</f>
        <v>4.5</v>
      </c>
      <c r="F21" s="98" t="n">
        <f aca="false">D21+ROW()/1000000</f>
        <v>2843.000021</v>
      </c>
      <c r="G21" s="98" t="n">
        <f aca="false">RANK(F21,$F$2:$F$351)</f>
        <v>76</v>
      </c>
    </row>
    <row r="22" customFormat="false" ht="15" hidden="false" customHeight="false" outlineLevel="0" collapsed="false">
      <c r="A22" s="98" t="s">
        <v>360</v>
      </c>
      <c r="B22" s="98" t="n">
        <f aca="false">COUNTIFS(d_Cust,A22,d_Year,'Customer Analytics'!$P$4,d_City,'Customer Analytics'!$Q$4,d_Cuisine,'Customer Analytics'!$R$4,d_Pay,'Customer Analytics'!$S$4,d_Type,'Customer Analytics'!$T$4)</f>
        <v>4</v>
      </c>
      <c r="C22" s="98" t="n">
        <f aca="false">COUNTIFS(d_Cust,A22,d_Status,"Delivered",d_Year,'Customer Analytics'!$P$4,d_City,'Customer Analytics'!$Q$4,d_Cuisine,'Customer Analytics'!$R$4,d_Pay,'Customer Analytics'!$S$4,d_Type,'Customer Analytics'!$T$4)</f>
        <v>4</v>
      </c>
      <c r="D22" s="99" t="n">
        <f aca="false">SUMIFS(d_Net,d_Cust,A22,d_Status,"Delivered",d_Year,'Customer Analytics'!$P$4,d_City,'Customer Analytics'!$Q$4,d_Cuisine,'Customer Analytics'!$R$4,d_Pay,'Customer Analytics'!$S$4,d_Type,'Customer Analytics'!$T$4)</f>
        <v>2234</v>
      </c>
      <c r="E22" s="100" t="n">
        <f aca="false">IFERROR(AVERAGEIFS(d_CRating,d_Cust,A22,d_Year,'Customer Analytics'!$P$4,d_City,'Customer Analytics'!$Q$4,d_Cuisine,'Customer Analytics'!$R$4,d_Pay,'Customer Analytics'!$S$4,d_Type,'Customer Analytics'!$T$4),0)</f>
        <v>4.5</v>
      </c>
      <c r="F22" s="98" t="n">
        <f aca="false">D22+ROW()/1000000</f>
        <v>2234.000022</v>
      </c>
      <c r="G22" s="98" t="n">
        <f aca="false">RANK(F22,$F$2:$F$351)</f>
        <v>140</v>
      </c>
    </row>
    <row r="23" customFormat="false" ht="15" hidden="false" customHeight="false" outlineLevel="0" collapsed="false">
      <c r="A23" s="98" t="s">
        <v>361</v>
      </c>
      <c r="B23" s="98" t="n">
        <f aca="false">COUNTIFS(d_Cust,A23,d_Year,'Customer Analytics'!$P$4,d_City,'Customer Analytics'!$Q$4,d_Cuisine,'Customer Analytics'!$R$4,d_Pay,'Customer Analytics'!$S$4,d_Type,'Customer Analytics'!$T$4)</f>
        <v>4</v>
      </c>
      <c r="C23" s="98" t="n">
        <f aca="false">COUNTIFS(d_Cust,A23,d_Status,"Delivered",d_Year,'Customer Analytics'!$P$4,d_City,'Customer Analytics'!$Q$4,d_Cuisine,'Customer Analytics'!$R$4,d_Pay,'Customer Analytics'!$S$4,d_Type,'Customer Analytics'!$T$4)</f>
        <v>3</v>
      </c>
      <c r="D23" s="99" t="n">
        <f aca="false">SUMIFS(d_Net,d_Cust,A23,d_Status,"Delivered",d_Year,'Customer Analytics'!$P$4,d_City,'Customer Analytics'!$Q$4,d_Cuisine,'Customer Analytics'!$R$4,d_Pay,'Customer Analytics'!$S$4,d_Type,'Customer Analytics'!$T$4)</f>
        <v>2842</v>
      </c>
      <c r="E23" s="100" t="n">
        <f aca="false">IFERROR(AVERAGEIFS(d_CRating,d_Cust,A23,d_Year,'Customer Analytics'!$P$4,d_City,'Customer Analytics'!$Q$4,d_Cuisine,'Customer Analytics'!$R$4,d_Pay,'Customer Analytics'!$S$4,d_Type,'Customer Analytics'!$T$4),0)</f>
        <v>4</v>
      </c>
      <c r="F23" s="98" t="n">
        <f aca="false">D23+ROW()/1000000</f>
        <v>2842.000023</v>
      </c>
      <c r="G23" s="98" t="n">
        <f aca="false">RANK(F23,$F$2:$F$351)</f>
        <v>77</v>
      </c>
    </row>
    <row r="24" customFormat="false" ht="15" hidden="false" customHeight="false" outlineLevel="0" collapsed="false">
      <c r="A24" s="98" t="s">
        <v>362</v>
      </c>
      <c r="B24" s="98" t="n">
        <f aca="false">COUNTIFS(d_Cust,A24,d_Year,'Customer Analytics'!$P$4,d_City,'Customer Analytics'!$Q$4,d_Cuisine,'Customer Analytics'!$R$4,d_Pay,'Customer Analytics'!$S$4,d_Type,'Customer Analytics'!$T$4)</f>
        <v>4</v>
      </c>
      <c r="C24" s="98" t="n">
        <f aca="false">COUNTIFS(d_Cust,A24,d_Status,"Delivered",d_Year,'Customer Analytics'!$P$4,d_City,'Customer Analytics'!$Q$4,d_Cuisine,'Customer Analytics'!$R$4,d_Pay,'Customer Analytics'!$S$4,d_Type,'Customer Analytics'!$T$4)</f>
        <v>2</v>
      </c>
      <c r="D24" s="99" t="n">
        <f aca="false">SUMIFS(d_Net,d_Cust,A24,d_Status,"Delivered",d_Year,'Customer Analytics'!$P$4,d_City,'Customer Analytics'!$Q$4,d_Cuisine,'Customer Analytics'!$R$4,d_Pay,'Customer Analytics'!$S$4,d_Type,'Customer Analytics'!$T$4)</f>
        <v>2723</v>
      </c>
      <c r="E24" s="100" t="n">
        <f aca="false">IFERROR(AVERAGEIFS(d_CRating,d_Cust,A24,d_Year,'Customer Analytics'!$P$4,d_City,'Customer Analytics'!$Q$4,d_Cuisine,'Customer Analytics'!$R$4,d_Pay,'Customer Analytics'!$S$4,d_Type,'Customer Analytics'!$T$4),0)</f>
        <v>5</v>
      </c>
      <c r="F24" s="98" t="n">
        <f aca="false">D24+ROW()/1000000</f>
        <v>2723.000024</v>
      </c>
      <c r="G24" s="98" t="n">
        <f aca="false">RANK(F24,$F$2:$F$351)</f>
        <v>87</v>
      </c>
    </row>
    <row r="25" customFormat="false" ht="15" hidden="false" customHeight="false" outlineLevel="0" collapsed="false">
      <c r="A25" s="98" t="s">
        <v>363</v>
      </c>
      <c r="B25" s="98" t="n">
        <f aca="false">COUNTIFS(d_Cust,A25,d_Year,'Customer Analytics'!$P$4,d_City,'Customer Analytics'!$Q$4,d_Cuisine,'Customer Analytics'!$R$4,d_Pay,'Customer Analytics'!$S$4,d_Type,'Customer Analytics'!$T$4)</f>
        <v>4</v>
      </c>
      <c r="C25" s="98" t="n">
        <f aca="false">COUNTIFS(d_Cust,A25,d_Status,"Delivered",d_Year,'Customer Analytics'!$P$4,d_City,'Customer Analytics'!$Q$4,d_Cuisine,'Customer Analytics'!$R$4,d_Pay,'Customer Analytics'!$S$4,d_Type,'Customer Analytics'!$T$4)</f>
        <v>1</v>
      </c>
      <c r="D25" s="99" t="n">
        <f aca="false">SUMIFS(d_Net,d_Cust,A25,d_Status,"Delivered",d_Year,'Customer Analytics'!$P$4,d_City,'Customer Analytics'!$Q$4,d_Cuisine,'Customer Analytics'!$R$4,d_Pay,'Customer Analytics'!$S$4,d_Type,'Customer Analytics'!$T$4)</f>
        <v>1230</v>
      </c>
      <c r="E25" s="100" t="n">
        <f aca="false">IFERROR(AVERAGEIFS(d_CRating,d_Cust,A25,d_Year,'Customer Analytics'!$P$4,d_City,'Customer Analytics'!$Q$4,d_Cuisine,'Customer Analytics'!$R$4,d_Pay,'Customer Analytics'!$S$4,d_Type,'Customer Analytics'!$T$4),0)</f>
        <v>3.75</v>
      </c>
      <c r="F25" s="98" t="n">
        <f aca="false">D25+ROW()/1000000</f>
        <v>1230.000025</v>
      </c>
      <c r="G25" s="98" t="n">
        <f aca="false">RANK(F25,$F$2:$F$351)</f>
        <v>266</v>
      </c>
    </row>
    <row r="26" customFormat="false" ht="15" hidden="false" customHeight="false" outlineLevel="0" collapsed="false">
      <c r="A26" s="98" t="s">
        <v>364</v>
      </c>
      <c r="B26" s="98" t="n">
        <f aca="false">COUNTIFS(d_Cust,A26,d_Year,'Customer Analytics'!$P$4,d_City,'Customer Analytics'!$Q$4,d_Cuisine,'Customer Analytics'!$R$4,d_Pay,'Customer Analytics'!$S$4,d_Type,'Customer Analytics'!$T$4)</f>
        <v>4</v>
      </c>
      <c r="C26" s="98" t="n">
        <f aca="false">COUNTIFS(d_Cust,A26,d_Status,"Delivered",d_Year,'Customer Analytics'!$P$4,d_City,'Customer Analytics'!$Q$4,d_Cuisine,'Customer Analytics'!$R$4,d_Pay,'Customer Analytics'!$S$4,d_Type,'Customer Analytics'!$T$4)</f>
        <v>4</v>
      </c>
      <c r="D26" s="99" t="n">
        <f aca="false">SUMIFS(d_Net,d_Cust,A26,d_Status,"Delivered",d_Year,'Customer Analytics'!$P$4,d_City,'Customer Analytics'!$Q$4,d_Cuisine,'Customer Analytics'!$R$4,d_Pay,'Customer Analytics'!$S$4,d_Type,'Customer Analytics'!$T$4)</f>
        <v>4768</v>
      </c>
      <c r="E26" s="100" t="n">
        <f aca="false">IFERROR(AVERAGEIFS(d_CRating,d_Cust,A26,d_Year,'Customer Analytics'!$P$4,d_City,'Customer Analytics'!$Q$4,d_Cuisine,'Customer Analytics'!$R$4,d_Pay,'Customer Analytics'!$S$4,d_Type,'Customer Analytics'!$T$4),0)</f>
        <v>4</v>
      </c>
      <c r="F26" s="98" t="n">
        <f aca="false">D26+ROW()/1000000</f>
        <v>4768.000026</v>
      </c>
      <c r="G26" s="98" t="n">
        <f aca="false">RANK(F26,$F$2:$F$351)</f>
        <v>4</v>
      </c>
    </row>
    <row r="27" customFormat="false" ht="15" hidden="false" customHeight="false" outlineLevel="0" collapsed="false">
      <c r="A27" s="98" t="s">
        <v>365</v>
      </c>
      <c r="B27" s="98" t="n">
        <f aca="false">COUNTIFS(d_Cust,A27,d_Year,'Customer Analytics'!$P$4,d_City,'Customer Analytics'!$Q$4,d_Cuisine,'Customer Analytics'!$R$4,d_Pay,'Customer Analytics'!$S$4,d_Type,'Customer Analytics'!$T$4)</f>
        <v>4</v>
      </c>
      <c r="C27" s="98" t="n">
        <f aca="false">COUNTIFS(d_Cust,A27,d_Status,"Delivered",d_Year,'Customer Analytics'!$P$4,d_City,'Customer Analytics'!$Q$4,d_Cuisine,'Customer Analytics'!$R$4,d_Pay,'Customer Analytics'!$S$4,d_Type,'Customer Analytics'!$T$4)</f>
        <v>2</v>
      </c>
      <c r="D27" s="99" t="n">
        <f aca="false">SUMIFS(d_Net,d_Cust,A27,d_Status,"Delivered",d_Year,'Customer Analytics'!$P$4,d_City,'Customer Analytics'!$Q$4,d_Cuisine,'Customer Analytics'!$R$4,d_Pay,'Customer Analytics'!$S$4,d_Type,'Customer Analytics'!$T$4)</f>
        <v>561</v>
      </c>
      <c r="E27" s="100" t="n">
        <f aca="false">IFERROR(AVERAGEIFS(d_CRating,d_Cust,A27,d_Year,'Customer Analytics'!$P$4,d_City,'Customer Analytics'!$Q$4,d_Cuisine,'Customer Analytics'!$R$4,d_Pay,'Customer Analytics'!$S$4,d_Type,'Customer Analytics'!$T$4),0)</f>
        <v>3.75</v>
      </c>
      <c r="F27" s="98" t="n">
        <f aca="false">D27+ROW()/1000000</f>
        <v>561.000027</v>
      </c>
      <c r="G27" s="98" t="n">
        <f aca="false">RANK(F27,$F$2:$F$351)</f>
        <v>323</v>
      </c>
    </row>
    <row r="28" customFormat="false" ht="15" hidden="false" customHeight="false" outlineLevel="0" collapsed="false">
      <c r="A28" s="98" t="s">
        <v>366</v>
      </c>
      <c r="B28" s="98" t="n">
        <f aca="false">COUNTIFS(d_Cust,A28,d_Year,'Customer Analytics'!$P$4,d_City,'Customer Analytics'!$Q$4,d_Cuisine,'Customer Analytics'!$R$4,d_Pay,'Customer Analytics'!$S$4,d_Type,'Customer Analytics'!$T$4)</f>
        <v>4</v>
      </c>
      <c r="C28" s="98" t="n">
        <f aca="false">COUNTIFS(d_Cust,A28,d_Status,"Delivered",d_Year,'Customer Analytics'!$P$4,d_City,'Customer Analytics'!$Q$4,d_Cuisine,'Customer Analytics'!$R$4,d_Pay,'Customer Analytics'!$S$4,d_Type,'Customer Analytics'!$T$4)</f>
        <v>4</v>
      </c>
      <c r="D28" s="99" t="n">
        <f aca="false">SUMIFS(d_Net,d_Cust,A28,d_Status,"Delivered",d_Year,'Customer Analytics'!$P$4,d_City,'Customer Analytics'!$Q$4,d_Cuisine,'Customer Analytics'!$R$4,d_Pay,'Customer Analytics'!$S$4,d_Type,'Customer Analytics'!$T$4)</f>
        <v>2054</v>
      </c>
      <c r="E28" s="100" t="n">
        <f aca="false">IFERROR(AVERAGEIFS(d_CRating,d_Cust,A28,d_Year,'Customer Analytics'!$P$4,d_City,'Customer Analytics'!$Q$4,d_Cuisine,'Customer Analytics'!$R$4,d_Pay,'Customer Analytics'!$S$4,d_Type,'Customer Analytics'!$T$4),0)</f>
        <v>4.5</v>
      </c>
      <c r="F28" s="98" t="n">
        <f aca="false">D28+ROW()/1000000</f>
        <v>2054.000028</v>
      </c>
      <c r="G28" s="98" t="n">
        <f aca="false">RANK(F28,$F$2:$F$351)</f>
        <v>160</v>
      </c>
    </row>
    <row r="29" customFormat="false" ht="15" hidden="false" customHeight="false" outlineLevel="0" collapsed="false">
      <c r="A29" s="98" t="s">
        <v>367</v>
      </c>
      <c r="B29" s="98" t="n">
        <f aca="false">COUNTIFS(d_Cust,A29,d_Year,'Customer Analytics'!$P$4,d_City,'Customer Analytics'!$Q$4,d_Cuisine,'Customer Analytics'!$R$4,d_Pay,'Customer Analytics'!$S$4,d_Type,'Customer Analytics'!$T$4)</f>
        <v>4</v>
      </c>
      <c r="C29" s="98" t="n">
        <f aca="false">COUNTIFS(d_Cust,A29,d_Status,"Delivered",d_Year,'Customer Analytics'!$P$4,d_City,'Customer Analytics'!$Q$4,d_Cuisine,'Customer Analytics'!$R$4,d_Pay,'Customer Analytics'!$S$4,d_Type,'Customer Analytics'!$T$4)</f>
        <v>2</v>
      </c>
      <c r="D29" s="99" t="n">
        <f aca="false">SUMIFS(d_Net,d_Cust,A29,d_Status,"Delivered",d_Year,'Customer Analytics'!$P$4,d_City,'Customer Analytics'!$Q$4,d_Cuisine,'Customer Analytics'!$R$4,d_Pay,'Customer Analytics'!$S$4,d_Type,'Customer Analytics'!$T$4)</f>
        <v>1663</v>
      </c>
      <c r="E29" s="100" t="n">
        <f aca="false">IFERROR(AVERAGEIFS(d_CRating,d_Cust,A29,d_Year,'Customer Analytics'!$P$4,d_City,'Customer Analytics'!$Q$4,d_Cuisine,'Customer Analytics'!$R$4,d_Pay,'Customer Analytics'!$S$4,d_Type,'Customer Analytics'!$T$4),0)</f>
        <v>3</v>
      </c>
      <c r="F29" s="98" t="n">
        <f aca="false">D29+ROW()/1000000</f>
        <v>1663.000029</v>
      </c>
      <c r="G29" s="98" t="n">
        <f aca="false">RANK(F29,$F$2:$F$351)</f>
        <v>210</v>
      </c>
    </row>
    <row r="30" customFormat="false" ht="15" hidden="false" customHeight="false" outlineLevel="0" collapsed="false">
      <c r="A30" s="98" t="s">
        <v>368</v>
      </c>
      <c r="B30" s="98" t="n">
        <f aca="false">COUNTIFS(d_Cust,A30,d_Year,'Customer Analytics'!$P$4,d_City,'Customer Analytics'!$Q$4,d_Cuisine,'Customer Analytics'!$R$4,d_Pay,'Customer Analytics'!$S$4,d_Type,'Customer Analytics'!$T$4)</f>
        <v>4</v>
      </c>
      <c r="C30" s="98" t="n">
        <f aca="false">COUNTIFS(d_Cust,A30,d_Status,"Delivered",d_Year,'Customer Analytics'!$P$4,d_City,'Customer Analytics'!$Q$4,d_Cuisine,'Customer Analytics'!$R$4,d_Pay,'Customer Analytics'!$S$4,d_Type,'Customer Analytics'!$T$4)</f>
        <v>2</v>
      </c>
      <c r="D30" s="99" t="n">
        <f aca="false">SUMIFS(d_Net,d_Cust,A30,d_Status,"Delivered",d_Year,'Customer Analytics'!$P$4,d_City,'Customer Analytics'!$Q$4,d_Cuisine,'Customer Analytics'!$R$4,d_Pay,'Customer Analytics'!$S$4,d_Type,'Customer Analytics'!$T$4)</f>
        <v>1978</v>
      </c>
      <c r="E30" s="100" t="n">
        <f aca="false">IFERROR(AVERAGEIFS(d_CRating,d_Cust,A30,d_Year,'Customer Analytics'!$P$4,d_City,'Customer Analytics'!$Q$4,d_Cuisine,'Customer Analytics'!$R$4,d_Pay,'Customer Analytics'!$S$4,d_Type,'Customer Analytics'!$T$4),0)</f>
        <v>4</v>
      </c>
      <c r="F30" s="98" t="n">
        <f aca="false">D30+ROW()/1000000</f>
        <v>1978.00003</v>
      </c>
      <c r="G30" s="98" t="n">
        <f aca="false">RANK(F30,$F$2:$F$351)</f>
        <v>168</v>
      </c>
    </row>
    <row r="31" customFormat="false" ht="15" hidden="false" customHeight="false" outlineLevel="0" collapsed="false">
      <c r="A31" s="98" t="s">
        <v>369</v>
      </c>
      <c r="B31" s="98" t="n">
        <f aca="false">COUNTIFS(d_Cust,A31,d_Year,'Customer Analytics'!$P$4,d_City,'Customer Analytics'!$Q$4,d_Cuisine,'Customer Analytics'!$R$4,d_Pay,'Customer Analytics'!$S$4,d_Type,'Customer Analytics'!$T$4)</f>
        <v>4</v>
      </c>
      <c r="C31" s="98" t="n">
        <f aca="false">COUNTIFS(d_Cust,A31,d_Status,"Delivered",d_Year,'Customer Analytics'!$P$4,d_City,'Customer Analytics'!$Q$4,d_Cuisine,'Customer Analytics'!$R$4,d_Pay,'Customer Analytics'!$S$4,d_Type,'Customer Analytics'!$T$4)</f>
        <v>4</v>
      </c>
      <c r="D31" s="99" t="n">
        <f aca="false">SUMIFS(d_Net,d_Cust,A31,d_Status,"Delivered",d_Year,'Customer Analytics'!$P$4,d_City,'Customer Analytics'!$Q$4,d_Cuisine,'Customer Analytics'!$R$4,d_Pay,'Customer Analytics'!$S$4,d_Type,'Customer Analytics'!$T$4)</f>
        <v>3152</v>
      </c>
      <c r="E31" s="100" t="n">
        <f aca="false">IFERROR(AVERAGEIFS(d_CRating,d_Cust,A31,d_Year,'Customer Analytics'!$P$4,d_City,'Customer Analytics'!$Q$4,d_Cuisine,'Customer Analytics'!$R$4,d_Pay,'Customer Analytics'!$S$4,d_Type,'Customer Analytics'!$T$4),0)</f>
        <v>4</v>
      </c>
      <c r="F31" s="98" t="n">
        <f aca="false">D31+ROW()/1000000</f>
        <v>3152.000031</v>
      </c>
      <c r="G31" s="98" t="n">
        <f aca="false">RANK(F31,$F$2:$F$351)</f>
        <v>50</v>
      </c>
    </row>
    <row r="32" customFormat="false" ht="15" hidden="false" customHeight="false" outlineLevel="0" collapsed="false">
      <c r="A32" s="98" t="s">
        <v>370</v>
      </c>
      <c r="B32" s="98" t="n">
        <f aca="false">COUNTIFS(d_Cust,A32,d_Year,'Customer Analytics'!$P$4,d_City,'Customer Analytics'!$Q$4,d_Cuisine,'Customer Analytics'!$R$4,d_Pay,'Customer Analytics'!$S$4,d_Type,'Customer Analytics'!$T$4)</f>
        <v>4</v>
      </c>
      <c r="C32" s="98" t="n">
        <f aca="false">COUNTIFS(d_Cust,A32,d_Status,"Delivered",d_Year,'Customer Analytics'!$P$4,d_City,'Customer Analytics'!$Q$4,d_Cuisine,'Customer Analytics'!$R$4,d_Pay,'Customer Analytics'!$S$4,d_Type,'Customer Analytics'!$T$4)</f>
        <v>4</v>
      </c>
      <c r="D32" s="99" t="n">
        <f aca="false">SUMIFS(d_Net,d_Cust,A32,d_Status,"Delivered",d_Year,'Customer Analytics'!$P$4,d_City,'Customer Analytics'!$Q$4,d_Cuisine,'Customer Analytics'!$R$4,d_Pay,'Customer Analytics'!$S$4,d_Type,'Customer Analytics'!$T$4)</f>
        <v>3322</v>
      </c>
      <c r="E32" s="100" t="n">
        <f aca="false">IFERROR(AVERAGEIFS(d_CRating,d_Cust,A32,d_Year,'Customer Analytics'!$P$4,d_City,'Customer Analytics'!$Q$4,d_Cuisine,'Customer Analytics'!$R$4,d_Pay,'Customer Analytics'!$S$4,d_Type,'Customer Analytics'!$T$4),0)</f>
        <v>4.5</v>
      </c>
      <c r="F32" s="98" t="n">
        <f aca="false">D32+ROW()/1000000</f>
        <v>3322.000032</v>
      </c>
      <c r="G32" s="98" t="n">
        <f aca="false">RANK(F32,$F$2:$F$351)</f>
        <v>40</v>
      </c>
    </row>
    <row r="33" customFormat="false" ht="15" hidden="false" customHeight="false" outlineLevel="0" collapsed="false">
      <c r="A33" s="98" t="s">
        <v>371</v>
      </c>
      <c r="B33" s="98" t="n">
        <f aca="false">COUNTIFS(d_Cust,A33,d_Year,'Customer Analytics'!$P$4,d_City,'Customer Analytics'!$Q$4,d_Cuisine,'Customer Analytics'!$R$4,d_Pay,'Customer Analytics'!$S$4,d_Type,'Customer Analytics'!$T$4)</f>
        <v>4</v>
      </c>
      <c r="C33" s="98" t="n">
        <f aca="false">COUNTIFS(d_Cust,A33,d_Status,"Delivered",d_Year,'Customer Analytics'!$P$4,d_City,'Customer Analytics'!$Q$4,d_Cuisine,'Customer Analytics'!$R$4,d_Pay,'Customer Analytics'!$S$4,d_Type,'Customer Analytics'!$T$4)</f>
        <v>3</v>
      </c>
      <c r="D33" s="99" t="n">
        <f aca="false">SUMIFS(d_Net,d_Cust,A33,d_Status,"Delivered",d_Year,'Customer Analytics'!$P$4,d_City,'Customer Analytics'!$Q$4,d_Cuisine,'Customer Analytics'!$R$4,d_Pay,'Customer Analytics'!$S$4,d_Type,'Customer Analytics'!$T$4)</f>
        <v>3938</v>
      </c>
      <c r="E33" s="100" t="n">
        <f aca="false">IFERROR(AVERAGEIFS(d_CRating,d_Cust,A33,d_Year,'Customer Analytics'!$P$4,d_City,'Customer Analytics'!$Q$4,d_Cuisine,'Customer Analytics'!$R$4,d_Pay,'Customer Analytics'!$S$4,d_Type,'Customer Analytics'!$T$4),0)</f>
        <v>3.75</v>
      </c>
      <c r="F33" s="98" t="n">
        <f aca="false">D33+ROW()/1000000</f>
        <v>3938.000033</v>
      </c>
      <c r="G33" s="98" t="n">
        <f aca="false">RANK(F33,$F$2:$F$351)</f>
        <v>9</v>
      </c>
    </row>
    <row r="34" customFormat="false" ht="15" hidden="false" customHeight="false" outlineLevel="0" collapsed="false">
      <c r="A34" s="98" t="s">
        <v>372</v>
      </c>
      <c r="B34" s="98" t="n">
        <f aca="false">COUNTIFS(d_Cust,A34,d_Year,'Customer Analytics'!$P$4,d_City,'Customer Analytics'!$Q$4,d_Cuisine,'Customer Analytics'!$R$4,d_Pay,'Customer Analytics'!$S$4,d_Type,'Customer Analytics'!$T$4)</f>
        <v>4</v>
      </c>
      <c r="C34" s="98" t="n">
        <f aca="false">COUNTIFS(d_Cust,A34,d_Status,"Delivered",d_Year,'Customer Analytics'!$P$4,d_City,'Customer Analytics'!$Q$4,d_Cuisine,'Customer Analytics'!$R$4,d_Pay,'Customer Analytics'!$S$4,d_Type,'Customer Analytics'!$T$4)</f>
        <v>3</v>
      </c>
      <c r="D34" s="99" t="n">
        <f aca="false">SUMIFS(d_Net,d_Cust,A34,d_Status,"Delivered",d_Year,'Customer Analytics'!$P$4,d_City,'Customer Analytics'!$Q$4,d_Cuisine,'Customer Analytics'!$R$4,d_Pay,'Customer Analytics'!$S$4,d_Type,'Customer Analytics'!$T$4)</f>
        <v>2569</v>
      </c>
      <c r="E34" s="100" t="n">
        <f aca="false">IFERROR(AVERAGEIFS(d_CRating,d_Cust,A34,d_Year,'Customer Analytics'!$P$4,d_City,'Customer Analytics'!$Q$4,d_Cuisine,'Customer Analytics'!$R$4,d_Pay,'Customer Analytics'!$S$4,d_Type,'Customer Analytics'!$T$4),0)</f>
        <v>4.25</v>
      </c>
      <c r="F34" s="98" t="n">
        <f aca="false">D34+ROW()/1000000</f>
        <v>2569.000034</v>
      </c>
      <c r="G34" s="98" t="n">
        <f aca="false">RANK(F34,$F$2:$F$351)</f>
        <v>105</v>
      </c>
    </row>
    <row r="35" customFormat="false" ht="15" hidden="false" customHeight="false" outlineLevel="0" collapsed="false">
      <c r="A35" s="98" t="s">
        <v>373</v>
      </c>
      <c r="B35" s="98" t="n">
        <f aca="false">COUNTIFS(d_Cust,A35,d_Year,'Customer Analytics'!$P$4,d_City,'Customer Analytics'!$Q$4,d_Cuisine,'Customer Analytics'!$R$4,d_Pay,'Customer Analytics'!$S$4,d_Type,'Customer Analytics'!$T$4)</f>
        <v>4</v>
      </c>
      <c r="C35" s="98" t="n">
        <f aca="false">COUNTIFS(d_Cust,A35,d_Status,"Delivered",d_Year,'Customer Analytics'!$P$4,d_City,'Customer Analytics'!$Q$4,d_Cuisine,'Customer Analytics'!$R$4,d_Pay,'Customer Analytics'!$S$4,d_Type,'Customer Analytics'!$T$4)</f>
        <v>3</v>
      </c>
      <c r="D35" s="99" t="n">
        <f aca="false">SUMIFS(d_Net,d_Cust,A35,d_Status,"Delivered",d_Year,'Customer Analytics'!$P$4,d_City,'Customer Analytics'!$Q$4,d_Cuisine,'Customer Analytics'!$R$4,d_Pay,'Customer Analytics'!$S$4,d_Type,'Customer Analytics'!$T$4)</f>
        <v>2253</v>
      </c>
      <c r="E35" s="100" t="n">
        <f aca="false">IFERROR(AVERAGEIFS(d_CRating,d_Cust,A35,d_Year,'Customer Analytics'!$P$4,d_City,'Customer Analytics'!$Q$4,d_Cuisine,'Customer Analytics'!$R$4,d_Pay,'Customer Analytics'!$S$4,d_Type,'Customer Analytics'!$T$4),0)</f>
        <v>3.75</v>
      </c>
      <c r="F35" s="98" t="n">
        <f aca="false">D35+ROW()/1000000</f>
        <v>2253.000035</v>
      </c>
      <c r="G35" s="98" t="n">
        <f aca="false">RANK(F35,$F$2:$F$351)</f>
        <v>139</v>
      </c>
    </row>
    <row r="36" customFormat="false" ht="15" hidden="false" customHeight="false" outlineLevel="0" collapsed="false">
      <c r="A36" s="98" t="s">
        <v>374</v>
      </c>
      <c r="B36" s="98" t="n">
        <f aca="false">COUNTIFS(d_Cust,A36,d_Year,'Customer Analytics'!$P$4,d_City,'Customer Analytics'!$Q$4,d_Cuisine,'Customer Analytics'!$R$4,d_Pay,'Customer Analytics'!$S$4,d_Type,'Customer Analytics'!$T$4)</f>
        <v>4</v>
      </c>
      <c r="C36" s="98" t="n">
        <f aca="false">COUNTIFS(d_Cust,A36,d_Status,"Delivered",d_Year,'Customer Analytics'!$P$4,d_City,'Customer Analytics'!$Q$4,d_Cuisine,'Customer Analytics'!$R$4,d_Pay,'Customer Analytics'!$S$4,d_Type,'Customer Analytics'!$T$4)</f>
        <v>3</v>
      </c>
      <c r="D36" s="99" t="n">
        <f aca="false">SUMIFS(d_Net,d_Cust,A36,d_Status,"Delivered",d_Year,'Customer Analytics'!$P$4,d_City,'Customer Analytics'!$Q$4,d_Cuisine,'Customer Analytics'!$R$4,d_Pay,'Customer Analytics'!$S$4,d_Type,'Customer Analytics'!$T$4)</f>
        <v>3781</v>
      </c>
      <c r="E36" s="100" t="n">
        <f aca="false">IFERROR(AVERAGEIFS(d_CRating,d_Cust,A36,d_Year,'Customer Analytics'!$P$4,d_City,'Customer Analytics'!$Q$4,d_Cuisine,'Customer Analytics'!$R$4,d_Pay,'Customer Analytics'!$S$4,d_Type,'Customer Analytics'!$T$4),0)</f>
        <v>4</v>
      </c>
      <c r="F36" s="98" t="n">
        <f aca="false">D36+ROW()/1000000</f>
        <v>3781.000036</v>
      </c>
      <c r="G36" s="98" t="n">
        <f aca="false">RANK(F36,$F$2:$F$351)</f>
        <v>14</v>
      </c>
    </row>
    <row r="37" customFormat="false" ht="15" hidden="false" customHeight="false" outlineLevel="0" collapsed="false">
      <c r="A37" s="98" t="s">
        <v>375</v>
      </c>
      <c r="B37" s="98" t="n">
        <f aca="false">COUNTIFS(d_Cust,A37,d_Year,'Customer Analytics'!$P$4,d_City,'Customer Analytics'!$Q$4,d_Cuisine,'Customer Analytics'!$R$4,d_Pay,'Customer Analytics'!$S$4,d_Type,'Customer Analytics'!$T$4)</f>
        <v>4</v>
      </c>
      <c r="C37" s="98" t="n">
        <f aca="false">COUNTIFS(d_Cust,A37,d_Status,"Delivered",d_Year,'Customer Analytics'!$P$4,d_City,'Customer Analytics'!$Q$4,d_Cuisine,'Customer Analytics'!$R$4,d_Pay,'Customer Analytics'!$S$4,d_Type,'Customer Analytics'!$T$4)</f>
        <v>3</v>
      </c>
      <c r="D37" s="99" t="n">
        <f aca="false">SUMIFS(d_Net,d_Cust,A37,d_Status,"Delivered",d_Year,'Customer Analytics'!$P$4,d_City,'Customer Analytics'!$Q$4,d_Cuisine,'Customer Analytics'!$R$4,d_Pay,'Customer Analytics'!$S$4,d_Type,'Customer Analytics'!$T$4)</f>
        <v>3455</v>
      </c>
      <c r="E37" s="100" t="n">
        <f aca="false">IFERROR(AVERAGEIFS(d_CRating,d_Cust,A37,d_Year,'Customer Analytics'!$P$4,d_City,'Customer Analytics'!$Q$4,d_Cuisine,'Customer Analytics'!$R$4,d_Pay,'Customer Analytics'!$S$4,d_Type,'Customer Analytics'!$T$4),0)</f>
        <v>3.5</v>
      </c>
      <c r="F37" s="98" t="n">
        <f aca="false">D37+ROW()/1000000</f>
        <v>3455.000037</v>
      </c>
      <c r="G37" s="98" t="n">
        <f aca="false">RANK(F37,$F$2:$F$351)</f>
        <v>33</v>
      </c>
    </row>
    <row r="38" customFormat="false" ht="15" hidden="false" customHeight="false" outlineLevel="0" collapsed="false">
      <c r="A38" s="98" t="s">
        <v>376</v>
      </c>
      <c r="B38" s="98" t="n">
        <f aca="false">COUNTIFS(d_Cust,A38,d_Year,'Customer Analytics'!$P$4,d_City,'Customer Analytics'!$Q$4,d_Cuisine,'Customer Analytics'!$R$4,d_Pay,'Customer Analytics'!$S$4,d_Type,'Customer Analytics'!$T$4)</f>
        <v>4</v>
      </c>
      <c r="C38" s="98" t="n">
        <f aca="false">COUNTIFS(d_Cust,A38,d_Status,"Delivered",d_Year,'Customer Analytics'!$P$4,d_City,'Customer Analytics'!$Q$4,d_Cuisine,'Customer Analytics'!$R$4,d_Pay,'Customer Analytics'!$S$4,d_Type,'Customer Analytics'!$T$4)</f>
        <v>3</v>
      </c>
      <c r="D38" s="99" t="n">
        <f aca="false">SUMIFS(d_Net,d_Cust,A38,d_Status,"Delivered",d_Year,'Customer Analytics'!$P$4,d_City,'Customer Analytics'!$Q$4,d_Cuisine,'Customer Analytics'!$R$4,d_Pay,'Customer Analytics'!$S$4,d_Type,'Customer Analytics'!$T$4)</f>
        <v>839</v>
      </c>
      <c r="E38" s="100" t="n">
        <f aca="false">IFERROR(AVERAGEIFS(d_CRating,d_Cust,A38,d_Year,'Customer Analytics'!$P$4,d_City,'Customer Analytics'!$Q$4,d_Cuisine,'Customer Analytics'!$R$4,d_Pay,'Customer Analytics'!$S$4,d_Type,'Customer Analytics'!$T$4),0)</f>
        <v>4.75</v>
      </c>
      <c r="F38" s="98" t="n">
        <f aca="false">D38+ROW()/1000000</f>
        <v>839.000038</v>
      </c>
      <c r="G38" s="98" t="n">
        <f aca="false">RANK(F38,$F$2:$F$351)</f>
        <v>296</v>
      </c>
    </row>
    <row r="39" customFormat="false" ht="15" hidden="false" customHeight="false" outlineLevel="0" collapsed="false">
      <c r="A39" s="98" t="s">
        <v>377</v>
      </c>
      <c r="B39" s="98" t="n">
        <f aca="false">COUNTIFS(d_Cust,A39,d_Year,'Customer Analytics'!$P$4,d_City,'Customer Analytics'!$Q$4,d_Cuisine,'Customer Analytics'!$R$4,d_Pay,'Customer Analytics'!$S$4,d_Type,'Customer Analytics'!$T$4)</f>
        <v>4</v>
      </c>
      <c r="C39" s="98" t="n">
        <f aca="false">COUNTIFS(d_Cust,A39,d_Status,"Delivered",d_Year,'Customer Analytics'!$P$4,d_City,'Customer Analytics'!$Q$4,d_Cuisine,'Customer Analytics'!$R$4,d_Pay,'Customer Analytics'!$S$4,d_Type,'Customer Analytics'!$T$4)</f>
        <v>1</v>
      </c>
      <c r="D39" s="99" t="n">
        <f aca="false">SUMIFS(d_Net,d_Cust,A39,d_Status,"Delivered",d_Year,'Customer Analytics'!$P$4,d_City,'Customer Analytics'!$Q$4,d_Cuisine,'Customer Analytics'!$R$4,d_Pay,'Customer Analytics'!$S$4,d_Type,'Customer Analytics'!$T$4)</f>
        <v>1444</v>
      </c>
      <c r="E39" s="100" t="n">
        <f aca="false">IFERROR(AVERAGEIFS(d_CRating,d_Cust,A39,d_Year,'Customer Analytics'!$P$4,d_City,'Customer Analytics'!$Q$4,d_Cuisine,'Customer Analytics'!$R$4,d_Pay,'Customer Analytics'!$S$4,d_Type,'Customer Analytics'!$T$4),0)</f>
        <v>3.25</v>
      </c>
      <c r="F39" s="98" t="n">
        <f aca="false">D39+ROW()/1000000</f>
        <v>1444.000039</v>
      </c>
      <c r="G39" s="98" t="n">
        <f aca="false">RANK(F39,$F$2:$F$351)</f>
        <v>241</v>
      </c>
    </row>
    <row r="40" customFormat="false" ht="15" hidden="false" customHeight="false" outlineLevel="0" collapsed="false">
      <c r="A40" s="98" t="s">
        <v>378</v>
      </c>
      <c r="B40" s="98" t="n">
        <f aca="false">COUNTIFS(d_Cust,A40,d_Year,'Customer Analytics'!$P$4,d_City,'Customer Analytics'!$Q$4,d_Cuisine,'Customer Analytics'!$R$4,d_Pay,'Customer Analytics'!$S$4,d_Type,'Customer Analytics'!$T$4)</f>
        <v>4</v>
      </c>
      <c r="C40" s="98" t="n">
        <f aca="false">COUNTIFS(d_Cust,A40,d_Status,"Delivered",d_Year,'Customer Analytics'!$P$4,d_City,'Customer Analytics'!$Q$4,d_Cuisine,'Customer Analytics'!$R$4,d_Pay,'Customer Analytics'!$S$4,d_Type,'Customer Analytics'!$T$4)</f>
        <v>2</v>
      </c>
      <c r="D40" s="99" t="n">
        <f aca="false">SUMIFS(d_Net,d_Cust,A40,d_Status,"Delivered",d_Year,'Customer Analytics'!$P$4,d_City,'Customer Analytics'!$Q$4,d_Cuisine,'Customer Analytics'!$R$4,d_Pay,'Customer Analytics'!$S$4,d_Type,'Customer Analytics'!$T$4)</f>
        <v>2690</v>
      </c>
      <c r="E40" s="100" t="n">
        <f aca="false">IFERROR(AVERAGEIFS(d_CRating,d_Cust,A40,d_Year,'Customer Analytics'!$P$4,d_City,'Customer Analytics'!$Q$4,d_Cuisine,'Customer Analytics'!$R$4,d_Pay,'Customer Analytics'!$S$4,d_Type,'Customer Analytics'!$T$4),0)</f>
        <v>4.75</v>
      </c>
      <c r="F40" s="98" t="n">
        <f aca="false">D40+ROW()/1000000</f>
        <v>2690.00004</v>
      </c>
      <c r="G40" s="98" t="n">
        <f aca="false">RANK(F40,$F$2:$F$351)</f>
        <v>90</v>
      </c>
    </row>
    <row r="41" customFormat="false" ht="15" hidden="false" customHeight="false" outlineLevel="0" collapsed="false">
      <c r="A41" s="98" t="s">
        <v>379</v>
      </c>
      <c r="B41" s="98" t="n">
        <f aca="false">COUNTIFS(d_Cust,A41,d_Year,'Customer Analytics'!$P$4,d_City,'Customer Analytics'!$Q$4,d_Cuisine,'Customer Analytics'!$R$4,d_Pay,'Customer Analytics'!$S$4,d_Type,'Customer Analytics'!$T$4)</f>
        <v>4</v>
      </c>
      <c r="C41" s="98" t="n">
        <f aca="false">COUNTIFS(d_Cust,A41,d_Status,"Delivered",d_Year,'Customer Analytics'!$P$4,d_City,'Customer Analytics'!$Q$4,d_Cuisine,'Customer Analytics'!$R$4,d_Pay,'Customer Analytics'!$S$4,d_Type,'Customer Analytics'!$T$4)</f>
        <v>4</v>
      </c>
      <c r="D41" s="99" t="n">
        <f aca="false">SUMIFS(d_Net,d_Cust,A41,d_Status,"Delivered",d_Year,'Customer Analytics'!$P$4,d_City,'Customer Analytics'!$Q$4,d_Cuisine,'Customer Analytics'!$R$4,d_Pay,'Customer Analytics'!$S$4,d_Type,'Customer Analytics'!$T$4)</f>
        <v>2873</v>
      </c>
      <c r="E41" s="100" t="n">
        <f aca="false">IFERROR(AVERAGEIFS(d_CRating,d_Cust,A41,d_Year,'Customer Analytics'!$P$4,d_City,'Customer Analytics'!$Q$4,d_Cuisine,'Customer Analytics'!$R$4,d_Pay,'Customer Analytics'!$S$4,d_Type,'Customer Analytics'!$T$4),0)</f>
        <v>4.25</v>
      </c>
      <c r="F41" s="98" t="n">
        <f aca="false">D41+ROW()/1000000</f>
        <v>2873.000041</v>
      </c>
      <c r="G41" s="98" t="n">
        <f aca="false">RANK(F41,$F$2:$F$351)</f>
        <v>69</v>
      </c>
    </row>
    <row r="42" customFormat="false" ht="15" hidden="false" customHeight="false" outlineLevel="0" collapsed="false">
      <c r="A42" s="98" t="s">
        <v>380</v>
      </c>
      <c r="B42" s="98" t="n">
        <f aca="false">COUNTIFS(d_Cust,A42,d_Year,'Customer Analytics'!$P$4,d_City,'Customer Analytics'!$Q$4,d_Cuisine,'Customer Analytics'!$R$4,d_Pay,'Customer Analytics'!$S$4,d_Type,'Customer Analytics'!$T$4)</f>
        <v>4</v>
      </c>
      <c r="C42" s="98" t="n">
        <f aca="false">COUNTIFS(d_Cust,A42,d_Status,"Delivered",d_Year,'Customer Analytics'!$P$4,d_City,'Customer Analytics'!$Q$4,d_Cuisine,'Customer Analytics'!$R$4,d_Pay,'Customer Analytics'!$S$4,d_Type,'Customer Analytics'!$T$4)</f>
        <v>4</v>
      </c>
      <c r="D42" s="99" t="n">
        <f aca="false">SUMIFS(d_Net,d_Cust,A42,d_Status,"Delivered",d_Year,'Customer Analytics'!$P$4,d_City,'Customer Analytics'!$Q$4,d_Cuisine,'Customer Analytics'!$R$4,d_Pay,'Customer Analytics'!$S$4,d_Type,'Customer Analytics'!$T$4)</f>
        <v>2272</v>
      </c>
      <c r="E42" s="100" t="n">
        <f aca="false">IFERROR(AVERAGEIFS(d_CRating,d_Cust,A42,d_Year,'Customer Analytics'!$P$4,d_City,'Customer Analytics'!$Q$4,d_Cuisine,'Customer Analytics'!$R$4,d_Pay,'Customer Analytics'!$S$4,d_Type,'Customer Analytics'!$T$4),0)</f>
        <v>2.5</v>
      </c>
      <c r="F42" s="98" t="n">
        <f aca="false">D42+ROW()/1000000</f>
        <v>2272.000042</v>
      </c>
      <c r="G42" s="98" t="n">
        <f aca="false">RANK(F42,$F$2:$F$351)</f>
        <v>136</v>
      </c>
    </row>
    <row r="43" customFormat="false" ht="15" hidden="false" customHeight="false" outlineLevel="0" collapsed="false">
      <c r="A43" s="98" t="s">
        <v>381</v>
      </c>
      <c r="B43" s="98" t="n">
        <f aca="false">COUNTIFS(d_Cust,A43,d_Year,'Customer Analytics'!$P$4,d_City,'Customer Analytics'!$Q$4,d_Cuisine,'Customer Analytics'!$R$4,d_Pay,'Customer Analytics'!$S$4,d_Type,'Customer Analytics'!$T$4)</f>
        <v>4</v>
      </c>
      <c r="C43" s="98" t="n">
        <f aca="false">COUNTIFS(d_Cust,A43,d_Status,"Delivered",d_Year,'Customer Analytics'!$P$4,d_City,'Customer Analytics'!$Q$4,d_Cuisine,'Customer Analytics'!$R$4,d_Pay,'Customer Analytics'!$S$4,d_Type,'Customer Analytics'!$T$4)</f>
        <v>2</v>
      </c>
      <c r="D43" s="99" t="n">
        <f aca="false">SUMIFS(d_Net,d_Cust,A43,d_Status,"Delivered",d_Year,'Customer Analytics'!$P$4,d_City,'Customer Analytics'!$Q$4,d_Cuisine,'Customer Analytics'!$R$4,d_Pay,'Customer Analytics'!$S$4,d_Type,'Customer Analytics'!$T$4)</f>
        <v>2380</v>
      </c>
      <c r="E43" s="100" t="n">
        <f aca="false">IFERROR(AVERAGEIFS(d_CRating,d_Cust,A43,d_Year,'Customer Analytics'!$P$4,d_City,'Customer Analytics'!$Q$4,d_Cuisine,'Customer Analytics'!$R$4,d_Pay,'Customer Analytics'!$S$4,d_Type,'Customer Analytics'!$T$4),0)</f>
        <v>4</v>
      </c>
      <c r="F43" s="98" t="n">
        <f aca="false">D43+ROW()/1000000</f>
        <v>2380.000043</v>
      </c>
      <c r="G43" s="98" t="n">
        <f aca="false">RANK(F43,$F$2:$F$351)</f>
        <v>127</v>
      </c>
    </row>
    <row r="44" customFormat="false" ht="15" hidden="false" customHeight="false" outlineLevel="0" collapsed="false">
      <c r="A44" s="98" t="s">
        <v>382</v>
      </c>
      <c r="B44" s="98" t="n">
        <f aca="false">COUNTIFS(d_Cust,A44,d_Year,'Customer Analytics'!$P$4,d_City,'Customer Analytics'!$Q$4,d_Cuisine,'Customer Analytics'!$R$4,d_Pay,'Customer Analytics'!$S$4,d_Type,'Customer Analytics'!$T$4)</f>
        <v>4</v>
      </c>
      <c r="C44" s="98" t="n">
        <f aca="false">COUNTIFS(d_Cust,A44,d_Status,"Delivered",d_Year,'Customer Analytics'!$P$4,d_City,'Customer Analytics'!$Q$4,d_Cuisine,'Customer Analytics'!$R$4,d_Pay,'Customer Analytics'!$S$4,d_Type,'Customer Analytics'!$T$4)</f>
        <v>4</v>
      </c>
      <c r="D44" s="99" t="n">
        <f aca="false">SUMIFS(d_Net,d_Cust,A44,d_Status,"Delivered",d_Year,'Customer Analytics'!$P$4,d_City,'Customer Analytics'!$Q$4,d_Cuisine,'Customer Analytics'!$R$4,d_Pay,'Customer Analytics'!$S$4,d_Type,'Customer Analytics'!$T$4)</f>
        <v>3214</v>
      </c>
      <c r="E44" s="100" t="n">
        <f aca="false">IFERROR(AVERAGEIFS(d_CRating,d_Cust,A44,d_Year,'Customer Analytics'!$P$4,d_City,'Customer Analytics'!$Q$4,d_Cuisine,'Customer Analytics'!$R$4,d_Pay,'Customer Analytics'!$S$4,d_Type,'Customer Analytics'!$T$4),0)</f>
        <v>4</v>
      </c>
      <c r="F44" s="98" t="n">
        <f aca="false">D44+ROW()/1000000</f>
        <v>3214.000044</v>
      </c>
      <c r="G44" s="98" t="n">
        <f aca="false">RANK(F44,$F$2:$F$351)</f>
        <v>45</v>
      </c>
    </row>
    <row r="45" customFormat="false" ht="15" hidden="false" customHeight="false" outlineLevel="0" collapsed="false">
      <c r="A45" s="98" t="s">
        <v>383</v>
      </c>
      <c r="B45" s="98" t="n">
        <f aca="false">COUNTIFS(d_Cust,A45,d_Year,'Customer Analytics'!$P$4,d_City,'Customer Analytics'!$Q$4,d_Cuisine,'Customer Analytics'!$R$4,d_Pay,'Customer Analytics'!$S$4,d_Type,'Customer Analytics'!$T$4)</f>
        <v>4</v>
      </c>
      <c r="C45" s="98" t="n">
        <f aca="false">COUNTIFS(d_Cust,A45,d_Status,"Delivered",d_Year,'Customer Analytics'!$P$4,d_City,'Customer Analytics'!$Q$4,d_Cuisine,'Customer Analytics'!$R$4,d_Pay,'Customer Analytics'!$S$4,d_Type,'Customer Analytics'!$T$4)</f>
        <v>3</v>
      </c>
      <c r="D45" s="99" t="n">
        <f aca="false">SUMIFS(d_Net,d_Cust,A45,d_Status,"Delivered",d_Year,'Customer Analytics'!$P$4,d_City,'Customer Analytics'!$Q$4,d_Cuisine,'Customer Analytics'!$R$4,d_Pay,'Customer Analytics'!$S$4,d_Type,'Customer Analytics'!$T$4)</f>
        <v>3865</v>
      </c>
      <c r="E45" s="100" t="n">
        <f aca="false">IFERROR(AVERAGEIFS(d_CRating,d_Cust,A45,d_Year,'Customer Analytics'!$P$4,d_City,'Customer Analytics'!$Q$4,d_Cuisine,'Customer Analytics'!$R$4,d_Pay,'Customer Analytics'!$S$4,d_Type,'Customer Analytics'!$T$4),0)</f>
        <v>3.5</v>
      </c>
      <c r="F45" s="98" t="n">
        <f aca="false">D45+ROW()/1000000</f>
        <v>3865.000045</v>
      </c>
      <c r="G45" s="98" t="n">
        <f aca="false">RANK(F45,$F$2:$F$351)</f>
        <v>11</v>
      </c>
    </row>
    <row r="46" customFormat="false" ht="15" hidden="false" customHeight="false" outlineLevel="0" collapsed="false">
      <c r="A46" s="98" t="s">
        <v>384</v>
      </c>
      <c r="B46" s="98" t="n">
        <f aca="false">COUNTIFS(d_Cust,A46,d_Year,'Customer Analytics'!$P$4,d_City,'Customer Analytics'!$Q$4,d_Cuisine,'Customer Analytics'!$R$4,d_Pay,'Customer Analytics'!$S$4,d_Type,'Customer Analytics'!$T$4)</f>
        <v>4</v>
      </c>
      <c r="C46" s="98" t="n">
        <f aca="false">COUNTIFS(d_Cust,A46,d_Status,"Delivered",d_Year,'Customer Analytics'!$P$4,d_City,'Customer Analytics'!$Q$4,d_Cuisine,'Customer Analytics'!$R$4,d_Pay,'Customer Analytics'!$S$4,d_Type,'Customer Analytics'!$T$4)</f>
        <v>1</v>
      </c>
      <c r="D46" s="99" t="n">
        <f aca="false">SUMIFS(d_Net,d_Cust,A46,d_Status,"Delivered",d_Year,'Customer Analytics'!$P$4,d_City,'Customer Analytics'!$Q$4,d_Cuisine,'Customer Analytics'!$R$4,d_Pay,'Customer Analytics'!$S$4,d_Type,'Customer Analytics'!$T$4)</f>
        <v>433</v>
      </c>
      <c r="E46" s="100" t="n">
        <f aca="false">IFERROR(AVERAGEIFS(d_CRating,d_Cust,A46,d_Year,'Customer Analytics'!$P$4,d_City,'Customer Analytics'!$Q$4,d_Cuisine,'Customer Analytics'!$R$4,d_Pay,'Customer Analytics'!$S$4,d_Type,'Customer Analytics'!$T$4),0)</f>
        <v>4.25</v>
      </c>
      <c r="F46" s="98" t="n">
        <f aca="false">D46+ROW()/1000000</f>
        <v>433.000046</v>
      </c>
      <c r="G46" s="98" t="n">
        <f aca="false">RANK(F46,$F$2:$F$351)</f>
        <v>335</v>
      </c>
    </row>
    <row r="47" customFormat="false" ht="15" hidden="false" customHeight="false" outlineLevel="0" collapsed="false">
      <c r="A47" s="98" t="s">
        <v>385</v>
      </c>
      <c r="B47" s="98" t="n">
        <f aca="false">COUNTIFS(d_Cust,A47,d_Year,'Customer Analytics'!$P$4,d_City,'Customer Analytics'!$Q$4,d_Cuisine,'Customer Analytics'!$R$4,d_Pay,'Customer Analytics'!$S$4,d_Type,'Customer Analytics'!$T$4)</f>
        <v>4</v>
      </c>
      <c r="C47" s="98" t="n">
        <f aca="false">COUNTIFS(d_Cust,A47,d_Status,"Delivered",d_Year,'Customer Analytics'!$P$4,d_City,'Customer Analytics'!$Q$4,d_Cuisine,'Customer Analytics'!$R$4,d_Pay,'Customer Analytics'!$S$4,d_Type,'Customer Analytics'!$T$4)</f>
        <v>2</v>
      </c>
      <c r="D47" s="99" t="n">
        <f aca="false">SUMIFS(d_Net,d_Cust,A47,d_Status,"Delivered",d_Year,'Customer Analytics'!$P$4,d_City,'Customer Analytics'!$Q$4,d_Cuisine,'Customer Analytics'!$R$4,d_Pay,'Customer Analytics'!$S$4,d_Type,'Customer Analytics'!$T$4)</f>
        <v>2575</v>
      </c>
      <c r="E47" s="100" t="n">
        <f aca="false">IFERROR(AVERAGEIFS(d_CRating,d_Cust,A47,d_Year,'Customer Analytics'!$P$4,d_City,'Customer Analytics'!$Q$4,d_Cuisine,'Customer Analytics'!$R$4,d_Pay,'Customer Analytics'!$S$4,d_Type,'Customer Analytics'!$T$4),0)</f>
        <v>4.25</v>
      </c>
      <c r="F47" s="98" t="n">
        <f aca="false">D47+ROW()/1000000</f>
        <v>2575.000047</v>
      </c>
      <c r="G47" s="98" t="n">
        <f aca="false">RANK(F47,$F$2:$F$351)</f>
        <v>103</v>
      </c>
    </row>
    <row r="48" customFormat="false" ht="15" hidden="false" customHeight="false" outlineLevel="0" collapsed="false">
      <c r="A48" s="98" t="s">
        <v>386</v>
      </c>
      <c r="B48" s="98" t="n">
        <f aca="false">COUNTIFS(d_Cust,A48,d_Year,'Customer Analytics'!$P$4,d_City,'Customer Analytics'!$Q$4,d_Cuisine,'Customer Analytics'!$R$4,d_Pay,'Customer Analytics'!$S$4,d_Type,'Customer Analytics'!$T$4)</f>
        <v>4</v>
      </c>
      <c r="C48" s="98" t="n">
        <f aca="false">COUNTIFS(d_Cust,A48,d_Status,"Delivered",d_Year,'Customer Analytics'!$P$4,d_City,'Customer Analytics'!$Q$4,d_Cuisine,'Customer Analytics'!$R$4,d_Pay,'Customer Analytics'!$S$4,d_Type,'Customer Analytics'!$T$4)</f>
        <v>3</v>
      </c>
      <c r="D48" s="99" t="n">
        <f aca="false">SUMIFS(d_Net,d_Cust,A48,d_Status,"Delivered",d_Year,'Customer Analytics'!$P$4,d_City,'Customer Analytics'!$Q$4,d_Cuisine,'Customer Analytics'!$R$4,d_Pay,'Customer Analytics'!$S$4,d_Type,'Customer Analytics'!$T$4)</f>
        <v>2199</v>
      </c>
      <c r="E48" s="100" t="n">
        <f aca="false">IFERROR(AVERAGEIFS(d_CRating,d_Cust,A48,d_Year,'Customer Analytics'!$P$4,d_City,'Customer Analytics'!$Q$4,d_Cuisine,'Customer Analytics'!$R$4,d_Pay,'Customer Analytics'!$S$4,d_Type,'Customer Analytics'!$T$4),0)</f>
        <v>4.25</v>
      </c>
      <c r="F48" s="98" t="n">
        <f aca="false">D48+ROW()/1000000</f>
        <v>2199.000048</v>
      </c>
      <c r="G48" s="98" t="n">
        <f aca="false">RANK(F48,$F$2:$F$351)</f>
        <v>143</v>
      </c>
    </row>
    <row r="49" customFormat="false" ht="15" hidden="false" customHeight="false" outlineLevel="0" collapsed="false">
      <c r="A49" s="98" t="s">
        <v>387</v>
      </c>
      <c r="B49" s="98" t="n">
        <f aca="false">COUNTIFS(d_Cust,A49,d_Year,'Customer Analytics'!$P$4,d_City,'Customer Analytics'!$Q$4,d_Cuisine,'Customer Analytics'!$R$4,d_Pay,'Customer Analytics'!$S$4,d_Type,'Customer Analytics'!$T$4)</f>
        <v>4</v>
      </c>
      <c r="C49" s="98" t="n">
        <f aca="false">COUNTIFS(d_Cust,A49,d_Status,"Delivered",d_Year,'Customer Analytics'!$P$4,d_City,'Customer Analytics'!$Q$4,d_Cuisine,'Customer Analytics'!$R$4,d_Pay,'Customer Analytics'!$S$4,d_Type,'Customer Analytics'!$T$4)</f>
        <v>3</v>
      </c>
      <c r="D49" s="99" t="n">
        <f aca="false">SUMIFS(d_Net,d_Cust,A49,d_Status,"Delivered",d_Year,'Customer Analytics'!$P$4,d_City,'Customer Analytics'!$Q$4,d_Cuisine,'Customer Analytics'!$R$4,d_Pay,'Customer Analytics'!$S$4,d_Type,'Customer Analytics'!$T$4)</f>
        <v>2827</v>
      </c>
      <c r="E49" s="100" t="n">
        <f aca="false">IFERROR(AVERAGEIFS(d_CRating,d_Cust,A49,d_Year,'Customer Analytics'!$P$4,d_City,'Customer Analytics'!$Q$4,d_Cuisine,'Customer Analytics'!$R$4,d_Pay,'Customer Analytics'!$S$4,d_Type,'Customer Analytics'!$T$4),0)</f>
        <v>4.25</v>
      </c>
      <c r="F49" s="98" t="n">
        <f aca="false">D49+ROW()/1000000</f>
        <v>2827.000049</v>
      </c>
      <c r="G49" s="98" t="n">
        <f aca="false">RANK(F49,$F$2:$F$351)</f>
        <v>80</v>
      </c>
    </row>
    <row r="50" customFormat="false" ht="15" hidden="false" customHeight="false" outlineLevel="0" collapsed="false">
      <c r="A50" s="98" t="s">
        <v>388</v>
      </c>
      <c r="B50" s="98" t="n">
        <f aca="false">COUNTIFS(d_Cust,A50,d_Year,'Customer Analytics'!$P$4,d_City,'Customer Analytics'!$Q$4,d_Cuisine,'Customer Analytics'!$R$4,d_Pay,'Customer Analytics'!$S$4,d_Type,'Customer Analytics'!$T$4)</f>
        <v>4</v>
      </c>
      <c r="C50" s="98" t="n">
        <f aca="false">COUNTIFS(d_Cust,A50,d_Status,"Delivered",d_Year,'Customer Analytics'!$P$4,d_City,'Customer Analytics'!$Q$4,d_Cuisine,'Customer Analytics'!$R$4,d_Pay,'Customer Analytics'!$S$4,d_Type,'Customer Analytics'!$T$4)</f>
        <v>4</v>
      </c>
      <c r="D50" s="99" t="n">
        <f aca="false">SUMIFS(d_Net,d_Cust,A50,d_Status,"Delivered",d_Year,'Customer Analytics'!$P$4,d_City,'Customer Analytics'!$Q$4,d_Cuisine,'Customer Analytics'!$R$4,d_Pay,'Customer Analytics'!$S$4,d_Type,'Customer Analytics'!$T$4)</f>
        <v>3067</v>
      </c>
      <c r="E50" s="100" t="n">
        <f aca="false">IFERROR(AVERAGEIFS(d_CRating,d_Cust,A50,d_Year,'Customer Analytics'!$P$4,d_City,'Customer Analytics'!$Q$4,d_Cuisine,'Customer Analytics'!$R$4,d_Pay,'Customer Analytics'!$S$4,d_Type,'Customer Analytics'!$T$4),0)</f>
        <v>4.75</v>
      </c>
      <c r="F50" s="98" t="n">
        <f aca="false">D50+ROW()/1000000</f>
        <v>3067.00005</v>
      </c>
      <c r="G50" s="98" t="n">
        <f aca="false">RANK(F50,$F$2:$F$351)</f>
        <v>57</v>
      </c>
    </row>
    <row r="51" customFormat="false" ht="15" hidden="false" customHeight="false" outlineLevel="0" collapsed="false">
      <c r="A51" s="98" t="s">
        <v>389</v>
      </c>
      <c r="B51" s="98" t="n">
        <f aca="false">COUNTIFS(d_Cust,A51,d_Year,'Customer Analytics'!$P$4,d_City,'Customer Analytics'!$Q$4,d_Cuisine,'Customer Analytics'!$R$4,d_Pay,'Customer Analytics'!$S$4,d_Type,'Customer Analytics'!$T$4)</f>
        <v>4</v>
      </c>
      <c r="C51" s="98" t="n">
        <f aca="false">COUNTIFS(d_Cust,A51,d_Status,"Delivered",d_Year,'Customer Analytics'!$P$4,d_City,'Customer Analytics'!$Q$4,d_Cuisine,'Customer Analytics'!$R$4,d_Pay,'Customer Analytics'!$S$4,d_Type,'Customer Analytics'!$T$4)</f>
        <v>3</v>
      </c>
      <c r="D51" s="99" t="n">
        <f aca="false">SUMIFS(d_Net,d_Cust,A51,d_Status,"Delivered",d_Year,'Customer Analytics'!$P$4,d_City,'Customer Analytics'!$Q$4,d_Cuisine,'Customer Analytics'!$R$4,d_Pay,'Customer Analytics'!$S$4,d_Type,'Customer Analytics'!$T$4)</f>
        <v>1694</v>
      </c>
      <c r="E51" s="100" t="n">
        <f aca="false">IFERROR(AVERAGEIFS(d_CRating,d_Cust,A51,d_Year,'Customer Analytics'!$P$4,d_City,'Customer Analytics'!$Q$4,d_Cuisine,'Customer Analytics'!$R$4,d_Pay,'Customer Analytics'!$S$4,d_Type,'Customer Analytics'!$T$4),0)</f>
        <v>3.75</v>
      </c>
      <c r="F51" s="98" t="n">
        <f aca="false">D51+ROW()/1000000</f>
        <v>1694.000051</v>
      </c>
      <c r="G51" s="98" t="n">
        <f aca="false">RANK(F51,$F$2:$F$351)</f>
        <v>206</v>
      </c>
    </row>
    <row r="52" customFormat="false" ht="15" hidden="false" customHeight="false" outlineLevel="0" collapsed="false">
      <c r="A52" s="98" t="s">
        <v>390</v>
      </c>
      <c r="B52" s="98" t="n">
        <f aca="false">COUNTIFS(d_Cust,A52,d_Year,'Customer Analytics'!$P$4,d_City,'Customer Analytics'!$Q$4,d_Cuisine,'Customer Analytics'!$R$4,d_Pay,'Customer Analytics'!$S$4,d_Type,'Customer Analytics'!$T$4)</f>
        <v>4</v>
      </c>
      <c r="C52" s="98" t="n">
        <f aca="false">COUNTIFS(d_Cust,A52,d_Status,"Delivered",d_Year,'Customer Analytics'!$P$4,d_City,'Customer Analytics'!$Q$4,d_Cuisine,'Customer Analytics'!$R$4,d_Pay,'Customer Analytics'!$S$4,d_Type,'Customer Analytics'!$T$4)</f>
        <v>2</v>
      </c>
      <c r="D52" s="99" t="n">
        <f aca="false">SUMIFS(d_Net,d_Cust,A52,d_Status,"Delivered",d_Year,'Customer Analytics'!$P$4,d_City,'Customer Analytics'!$Q$4,d_Cuisine,'Customer Analytics'!$R$4,d_Pay,'Customer Analytics'!$S$4,d_Type,'Customer Analytics'!$T$4)</f>
        <v>2657</v>
      </c>
      <c r="E52" s="100" t="n">
        <f aca="false">IFERROR(AVERAGEIFS(d_CRating,d_Cust,A52,d_Year,'Customer Analytics'!$P$4,d_City,'Customer Analytics'!$Q$4,d_Cuisine,'Customer Analytics'!$R$4,d_Pay,'Customer Analytics'!$S$4,d_Type,'Customer Analytics'!$T$4),0)</f>
        <v>4</v>
      </c>
      <c r="F52" s="98" t="n">
        <f aca="false">D52+ROW()/1000000</f>
        <v>2657.000052</v>
      </c>
      <c r="G52" s="98" t="n">
        <f aca="false">RANK(F52,$F$2:$F$351)</f>
        <v>95</v>
      </c>
    </row>
    <row r="53" customFormat="false" ht="15" hidden="false" customHeight="false" outlineLevel="0" collapsed="false">
      <c r="A53" s="98" t="s">
        <v>391</v>
      </c>
      <c r="B53" s="98" t="n">
        <f aca="false">COUNTIFS(d_Cust,A53,d_Year,'Customer Analytics'!$P$4,d_City,'Customer Analytics'!$Q$4,d_Cuisine,'Customer Analytics'!$R$4,d_Pay,'Customer Analytics'!$S$4,d_Type,'Customer Analytics'!$T$4)</f>
        <v>4</v>
      </c>
      <c r="C53" s="98" t="n">
        <f aca="false">COUNTIFS(d_Cust,A53,d_Status,"Delivered",d_Year,'Customer Analytics'!$P$4,d_City,'Customer Analytics'!$Q$4,d_Cuisine,'Customer Analytics'!$R$4,d_Pay,'Customer Analytics'!$S$4,d_Type,'Customer Analytics'!$T$4)</f>
        <v>4</v>
      </c>
      <c r="D53" s="99" t="n">
        <f aca="false">SUMIFS(d_Net,d_Cust,A53,d_Status,"Delivered",d_Year,'Customer Analytics'!$P$4,d_City,'Customer Analytics'!$Q$4,d_Cuisine,'Customer Analytics'!$R$4,d_Pay,'Customer Analytics'!$S$4,d_Type,'Customer Analytics'!$T$4)</f>
        <v>5485</v>
      </c>
      <c r="E53" s="100" t="n">
        <f aca="false">IFERROR(AVERAGEIFS(d_CRating,d_Cust,A53,d_Year,'Customer Analytics'!$P$4,d_City,'Customer Analytics'!$Q$4,d_Cuisine,'Customer Analytics'!$R$4,d_Pay,'Customer Analytics'!$S$4,d_Type,'Customer Analytics'!$T$4),0)</f>
        <v>4.25</v>
      </c>
      <c r="F53" s="98" t="n">
        <f aca="false">D53+ROW()/1000000</f>
        <v>5485.000053</v>
      </c>
      <c r="G53" s="98" t="n">
        <f aca="false">RANK(F53,$F$2:$F$351)</f>
        <v>1</v>
      </c>
    </row>
    <row r="54" customFormat="false" ht="15" hidden="false" customHeight="false" outlineLevel="0" collapsed="false">
      <c r="A54" s="98" t="s">
        <v>392</v>
      </c>
      <c r="B54" s="98" t="n">
        <f aca="false">COUNTIFS(d_Cust,A54,d_Year,'Customer Analytics'!$P$4,d_City,'Customer Analytics'!$Q$4,d_Cuisine,'Customer Analytics'!$R$4,d_Pay,'Customer Analytics'!$S$4,d_Type,'Customer Analytics'!$T$4)</f>
        <v>4</v>
      </c>
      <c r="C54" s="98" t="n">
        <f aca="false">COUNTIFS(d_Cust,A54,d_Status,"Delivered",d_Year,'Customer Analytics'!$P$4,d_City,'Customer Analytics'!$Q$4,d_Cuisine,'Customer Analytics'!$R$4,d_Pay,'Customer Analytics'!$S$4,d_Type,'Customer Analytics'!$T$4)</f>
        <v>4</v>
      </c>
      <c r="D54" s="99" t="n">
        <f aca="false">SUMIFS(d_Net,d_Cust,A54,d_Status,"Delivered",d_Year,'Customer Analytics'!$P$4,d_City,'Customer Analytics'!$Q$4,d_Cuisine,'Customer Analytics'!$R$4,d_Pay,'Customer Analytics'!$S$4,d_Type,'Customer Analytics'!$T$4)</f>
        <v>4682</v>
      </c>
      <c r="E54" s="100" t="n">
        <f aca="false">IFERROR(AVERAGEIFS(d_CRating,d_Cust,A54,d_Year,'Customer Analytics'!$P$4,d_City,'Customer Analytics'!$Q$4,d_Cuisine,'Customer Analytics'!$R$4,d_Pay,'Customer Analytics'!$S$4,d_Type,'Customer Analytics'!$T$4),0)</f>
        <v>4.5</v>
      </c>
      <c r="F54" s="98" t="n">
        <f aca="false">D54+ROW()/1000000</f>
        <v>4682.000054</v>
      </c>
      <c r="G54" s="98" t="n">
        <f aca="false">RANK(F54,$F$2:$F$351)</f>
        <v>5</v>
      </c>
    </row>
    <row r="55" customFormat="false" ht="15" hidden="false" customHeight="false" outlineLevel="0" collapsed="false">
      <c r="A55" s="98" t="s">
        <v>393</v>
      </c>
      <c r="B55" s="98" t="n">
        <f aca="false">COUNTIFS(d_Cust,A55,d_Year,'Customer Analytics'!$P$4,d_City,'Customer Analytics'!$Q$4,d_Cuisine,'Customer Analytics'!$R$4,d_Pay,'Customer Analytics'!$S$4,d_Type,'Customer Analytics'!$T$4)</f>
        <v>4</v>
      </c>
      <c r="C55" s="98" t="n">
        <f aca="false">COUNTIFS(d_Cust,A55,d_Status,"Delivered",d_Year,'Customer Analytics'!$P$4,d_City,'Customer Analytics'!$Q$4,d_Cuisine,'Customer Analytics'!$R$4,d_Pay,'Customer Analytics'!$S$4,d_Type,'Customer Analytics'!$T$4)</f>
        <v>1</v>
      </c>
      <c r="D55" s="99" t="n">
        <f aca="false">SUMIFS(d_Net,d_Cust,A55,d_Status,"Delivered",d_Year,'Customer Analytics'!$P$4,d_City,'Customer Analytics'!$Q$4,d_Cuisine,'Customer Analytics'!$R$4,d_Pay,'Customer Analytics'!$S$4,d_Type,'Customer Analytics'!$T$4)</f>
        <v>1019</v>
      </c>
      <c r="E55" s="100" t="n">
        <f aca="false">IFERROR(AVERAGEIFS(d_CRating,d_Cust,A55,d_Year,'Customer Analytics'!$P$4,d_City,'Customer Analytics'!$Q$4,d_Cuisine,'Customer Analytics'!$R$4,d_Pay,'Customer Analytics'!$S$4,d_Type,'Customer Analytics'!$T$4),0)</f>
        <v>4.75</v>
      </c>
      <c r="F55" s="98" t="n">
        <f aca="false">D55+ROW()/1000000</f>
        <v>1019.000055</v>
      </c>
      <c r="G55" s="98" t="n">
        <f aca="false">RANK(F55,$F$2:$F$351)</f>
        <v>281</v>
      </c>
    </row>
    <row r="56" customFormat="false" ht="15" hidden="false" customHeight="false" outlineLevel="0" collapsed="false">
      <c r="A56" s="98" t="s">
        <v>394</v>
      </c>
      <c r="B56" s="98" t="n">
        <f aca="false">COUNTIFS(d_Cust,A56,d_Year,'Customer Analytics'!$P$4,d_City,'Customer Analytics'!$Q$4,d_Cuisine,'Customer Analytics'!$R$4,d_Pay,'Customer Analytics'!$S$4,d_Type,'Customer Analytics'!$T$4)</f>
        <v>4</v>
      </c>
      <c r="C56" s="98" t="n">
        <f aca="false">COUNTIFS(d_Cust,A56,d_Status,"Delivered",d_Year,'Customer Analytics'!$P$4,d_City,'Customer Analytics'!$Q$4,d_Cuisine,'Customer Analytics'!$R$4,d_Pay,'Customer Analytics'!$S$4,d_Type,'Customer Analytics'!$T$4)</f>
        <v>3</v>
      </c>
      <c r="D56" s="99" t="n">
        <f aca="false">SUMIFS(d_Net,d_Cust,A56,d_Status,"Delivered",d_Year,'Customer Analytics'!$P$4,d_City,'Customer Analytics'!$Q$4,d_Cuisine,'Customer Analytics'!$R$4,d_Pay,'Customer Analytics'!$S$4,d_Type,'Customer Analytics'!$T$4)</f>
        <v>1411</v>
      </c>
      <c r="E56" s="100" t="n">
        <f aca="false">IFERROR(AVERAGEIFS(d_CRating,d_Cust,A56,d_Year,'Customer Analytics'!$P$4,d_City,'Customer Analytics'!$Q$4,d_Cuisine,'Customer Analytics'!$R$4,d_Pay,'Customer Analytics'!$S$4,d_Type,'Customer Analytics'!$T$4),0)</f>
        <v>4.25</v>
      </c>
      <c r="F56" s="98" t="n">
        <f aca="false">D56+ROW()/1000000</f>
        <v>1411.000056</v>
      </c>
      <c r="G56" s="98" t="n">
        <f aca="false">RANK(F56,$F$2:$F$351)</f>
        <v>249</v>
      </c>
    </row>
    <row r="57" customFormat="false" ht="15" hidden="false" customHeight="false" outlineLevel="0" collapsed="false">
      <c r="A57" s="98" t="s">
        <v>395</v>
      </c>
      <c r="B57" s="98" t="n">
        <f aca="false">COUNTIFS(d_Cust,A57,d_Year,'Customer Analytics'!$P$4,d_City,'Customer Analytics'!$Q$4,d_Cuisine,'Customer Analytics'!$R$4,d_Pay,'Customer Analytics'!$S$4,d_Type,'Customer Analytics'!$T$4)</f>
        <v>4</v>
      </c>
      <c r="C57" s="98" t="n">
        <f aca="false">COUNTIFS(d_Cust,A57,d_Status,"Delivered",d_Year,'Customer Analytics'!$P$4,d_City,'Customer Analytics'!$Q$4,d_Cuisine,'Customer Analytics'!$R$4,d_Pay,'Customer Analytics'!$S$4,d_Type,'Customer Analytics'!$T$4)</f>
        <v>2</v>
      </c>
      <c r="D57" s="99" t="n">
        <f aca="false">SUMIFS(d_Net,d_Cust,A57,d_Status,"Delivered",d_Year,'Customer Analytics'!$P$4,d_City,'Customer Analytics'!$Q$4,d_Cuisine,'Customer Analytics'!$R$4,d_Pay,'Customer Analytics'!$S$4,d_Type,'Customer Analytics'!$T$4)</f>
        <v>1894</v>
      </c>
      <c r="E57" s="100" t="n">
        <f aca="false">IFERROR(AVERAGEIFS(d_CRating,d_Cust,A57,d_Year,'Customer Analytics'!$P$4,d_City,'Customer Analytics'!$Q$4,d_Cuisine,'Customer Analytics'!$R$4,d_Pay,'Customer Analytics'!$S$4,d_Type,'Customer Analytics'!$T$4),0)</f>
        <v>3.25</v>
      </c>
      <c r="F57" s="98" t="n">
        <f aca="false">D57+ROW()/1000000</f>
        <v>1894.000057</v>
      </c>
      <c r="G57" s="98" t="n">
        <f aca="false">RANK(F57,$F$2:$F$351)</f>
        <v>179</v>
      </c>
    </row>
    <row r="58" customFormat="false" ht="15" hidden="false" customHeight="false" outlineLevel="0" collapsed="false">
      <c r="A58" s="98" t="s">
        <v>396</v>
      </c>
      <c r="B58" s="98" t="n">
        <f aca="false">COUNTIFS(d_Cust,A58,d_Year,'Customer Analytics'!$P$4,d_City,'Customer Analytics'!$Q$4,d_Cuisine,'Customer Analytics'!$R$4,d_Pay,'Customer Analytics'!$S$4,d_Type,'Customer Analytics'!$T$4)</f>
        <v>4</v>
      </c>
      <c r="C58" s="98" t="n">
        <f aca="false">COUNTIFS(d_Cust,A58,d_Status,"Delivered",d_Year,'Customer Analytics'!$P$4,d_City,'Customer Analytics'!$Q$4,d_Cuisine,'Customer Analytics'!$R$4,d_Pay,'Customer Analytics'!$S$4,d_Type,'Customer Analytics'!$T$4)</f>
        <v>1</v>
      </c>
      <c r="D58" s="99" t="n">
        <f aca="false">SUMIFS(d_Net,d_Cust,A58,d_Status,"Delivered",d_Year,'Customer Analytics'!$P$4,d_City,'Customer Analytics'!$Q$4,d_Cuisine,'Customer Analytics'!$R$4,d_Pay,'Customer Analytics'!$S$4,d_Type,'Customer Analytics'!$T$4)</f>
        <v>909</v>
      </c>
      <c r="E58" s="100" t="n">
        <f aca="false">IFERROR(AVERAGEIFS(d_CRating,d_Cust,A58,d_Year,'Customer Analytics'!$P$4,d_City,'Customer Analytics'!$Q$4,d_Cuisine,'Customer Analytics'!$R$4,d_Pay,'Customer Analytics'!$S$4,d_Type,'Customer Analytics'!$T$4),0)</f>
        <v>4</v>
      </c>
      <c r="F58" s="98" t="n">
        <f aca="false">D58+ROW()/1000000</f>
        <v>909.000058</v>
      </c>
      <c r="G58" s="98" t="n">
        <f aca="false">RANK(F58,$F$2:$F$351)</f>
        <v>289</v>
      </c>
    </row>
    <row r="59" customFormat="false" ht="15" hidden="false" customHeight="false" outlineLevel="0" collapsed="false">
      <c r="A59" s="98" t="s">
        <v>397</v>
      </c>
      <c r="B59" s="98" t="n">
        <f aca="false">COUNTIFS(d_Cust,A59,d_Year,'Customer Analytics'!$P$4,d_City,'Customer Analytics'!$Q$4,d_Cuisine,'Customer Analytics'!$R$4,d_Pay,'Customer Analytics'!$S$4,d_Type,'Customer Analytics'!$T$4)</f>
        <v>4</v>
      </c>
      <c r="C59" s="98" t="n">
        <f aca="false">COUNTIFS(d_Cust,A59,d_Status,"Delivered",d_Year,'Customer Analytics'!$P$4,d_City,'Customer Analytics'!$Q$4,d_Cuisine,'Customer Analytics'!$R$4,d_Pay,'Customer Analytics'!$S$4,d_Type,'Customer Analytics'!$T$4)</f>
        <v>1</v>
      </c>
      <c r="D59" s="99" t="n">
        <f aca="false">SUMIFS(d_Net,d_Cust,A59,d_Status,"Delivered",d_Year,'Customer Analytics'!$P$4,d_City,'Customer Analytics'!$Q$4,d_Cuisine,'Customer Analytics'!$R$4,d_Pay,'Customer Analytics'!$S$4,d_Type,'Customer Analytics'!$T$4)</f>
        <v>600</v>
      </c>
      <c r="E59" s="100" t="n">
        <f aca="false">IFERROR(AVERAGEIFS(d_CRating,d_Cust,A59,d_Year,'Customer Analytics'!$P$4,d_City,'Customer Analytics'!$Q$4,d_Cuisine,'Customer Analytics'!$R$4,d_Pay,'Customer Analytics'!$S$4,d_Type,'Customer Analytics'!$T$4),0)</f>
        <v>3.75</v>
      </c>
      <c r="F59" s="98" t="n">
        <f aca="false">D59+ROW()/1000000</f>
        <v>600.000059</v>
      </c>
      <c r="G59" s="98" t="n">
        <f aca="false">RANK(F59,$F$2:$F$351)</f>
        <v>321</v>
      </c>
    </row>
    <row r="60" customFormat="false" ht="15" hidden="false" customHeight="false" outlineLevel="0" collapsed="false">
      <c r="A60" s="98" t="s">
        <v>398</v>
      </c>
      <c r="B60" s="98" t="n">
        <f aca="false">COUNTIFS(d_Cust,A60,d_Year,'Customer Analytics'!$P$4,d_City,'Customer Analytics'!$Q$4,d_Cuisine,'Customer Analytics'!$R$4,d_Pay,'Customer Analytics'!$S$4,d_Type,'Customer Analytics'!$T$4)</f>
        <v>4</v>
      </c>
      <c r="C60" s="98" t="n">
        <f aca="false">COUNTIFS(d_Cust,A60,d_Status,"Delivered",d_Year,'Customer Analytics'!$P$4,d_City,'Customer Analytics'!$Q$4,d_Cuisine,'Customer Analytics'!$R$4,d_Pay,'Customer Analytics'!$S$4,d_Type,'Customer Analytics'!$T$4)</f>
        <v>1</v>
      </c>
      <c r="D60" s="99" t="n">
        <f aca="false">SUMIFS(d_Net,d_Cust,A60,d_Status,"Delivered",d_Year,'Customer Analytics'!$P$4,d_City,'Customer Analytics'!$Q$4,d_Cuisine,'Customer Analytics'!$R$4,d_Pay,'Customer Analytics'!$S$4,d_Type,'Customer Analytics'!$T$4)</f>
        <v>1125</v>
      </c>
      <c r="E60" s="100" t="n">
        <f aca="false">IFERROR(AVERAGEIFS(d_CRating,d_Cust,A60,d_Year,'Customer Analytics'!$P$4,d_City,'Customer Analytics'!$Q$4,d_Cuisine,'Customer Analytics'!$R$4,d_Pay,'Customer Analytics'!$S$4,d_Type,'Customer Analytics'!$T$4),0)</f>
        <v>3.5</v>
      </c>
      <c r="F60" s="98" t="n">
        <f aca="false">D60+ROW()/1000000</f>
        <v>1125.00006</v>
      </c>
      <c r="G60" s="98" t="n">
        <f aca="false">RANK(F60,$F$2:$F$351)</f>
        <v>276</v>
      </c>
    </row>
    <row r="61" customFormat="false" ht="15" hidden="false" customHeight="false" outlineLevel="0" collapsed="false">
      <c r="A61" s="98" t="s">
        <v>399</v>
      </c>
      <c r="B61" s="98" t="n">
        <f aca="false">COUNTIFS(d_Cust,A61,d_Year,'Customer Analytics'!$P$4,d_City,'Customer Analytics'!$Q$4,d_Cuisine,'Customer Analytics'!$R$4,d_Pay,'Customer Analytics'!$S$4,d_Type,'Customer Analytics'!$T$4)</f>
        <v>4</v>
      </c>
      <c r="C61" s="98" t="n">
        <f aca="false">COUNTIFS(d_Cust,A61,d_Status,"Delivered",d_Year,'Customer Analytics'!$P$4,d_City,'Customer Analytics'!$Q$4,d_Cuisine,'Customer Analytics'!$R$4,d_Pay,'Customer Analytics'!$S$4,d_Type,'Customer Analytics'!$T$4)</f>
        <v>2</v>
      </c>
      <c r="D61" s="99" t="n">
        <f aca="false">SUMIFS(d_Net,d_Cust,A61,d_Status,"Delivered",d_Year,'Customer Analytics'!$P$4,d_City,'Customer Analytics'!$Q$4,d_Cuisine,'Customer Analytics'!$R$4,d_Pay,'Customer Analytics'!$S$4,d_Type,'Customer Analytics'!$T$4)</f>
        <v>1071</v>
      </c>
      <c r="E61" s="100" t="n">
        <f aca="false">IFERROR(AVERAGEIFS(d_CRating,d_Cust,A61,d_Year,'Customer Analytics'!$P$4,d_City,'Customer Analytics'!$Q$4,d_Cuisine,'Customer Analytics'!$R$4,d_Pay,'Customer Analytics'!$S$4,d_Type,'Customer Analytics'!$T$4),0)</f>
        <v>3.75</v>
      </c>
      <c r="F61" s="98" t="n">
        <f aca="false">D61+ROW()/1000000</f>
        <v>1071.000061</v>
      </c>
      <c r="G61" s="98" t="n">
        <f aca="false">RANK(F61,$F$2:$F$351)</f>
        <v>279</v>
      </c>
    </row>
    <row r="62" customFormat="false" ht="15" hidden="false" customHeight="false" outlineLevel="0" collapsed="false">
      <c r="A62" s="98" t="s">
        <v>400</v>
      </c>
      <c r="B62" s="98" t="n">
        <f aca="false">COUNTIFS(d_Cust,A62,d_Year,'Customer Analytics'!$P$4,d_City,'Customer Analytics'!$Q$4,d_Cuisine,'Customer Analytics'!$R$4,d_Pay,'Customer Analytics'!$S$4,d_Type,'Customer Analytics'!$T$4)</f>
        <v>4</v>
      </c>
      <c r="C62" s="98" t="n">
        <f aca="false">COUNTIFS(d_Cust,A62,d_Status,"Delivered",d_Year,'Customer Analytics'!$P$4,d_City,'Customer Analytics'!$Q$4,d_Cuisine,'Customer Analytics'!$R$4,d_Pay,'Customer Analytics'!$S$4,d_Type,'Customer Analytics'!$T$4)</f>
        <v>3</v>
      </c>
      <c r="D62" s="99" t="n">
        <f aca="false">SUMIFS(d_Net,d_Cust,A62,d_Status,"Delivered",d_Year,'Customer Analytics'!$P$4,d_City,'Customer Analytics'!$Q$4,d_Cuisine,'Customer Analytics'!$R$4,d_Pay,'Customer Analytics'!$S$4,d_Type,'Customer Analytics'!$T$4)</f>
        <v>3243</v>
      </c>
      <c r="E62" s="100" t="n">
        <f aca="false">IFERROR(AVERAGEIFS(d_CRating,d_Cust,A62,d_Year,'Customer Analytics'!$P$4,d_City,'Customer Analytics'!$Q$4,d_Cuisine,'Customer Analytics'!$R$4,d_Pay,'Customer Analytics'!$S$4,d_Type,'Customer Analytics'!$T$4),0)</f>
        <v>4.25</v>
      </c>
      <c r="F62" s="98" t="n">
        <f aca="false">D62+ROW()/1000000</f>
        <v>3243.000062</v>
      </c>
      <c r="G62" s="98" t="n">
        <f aca="false">RANK(F62,$F$2:$F$351)</f>
        <v>43</v>
      </c>
    </row>
    <row r="63" customFormat="false" ht="15" hidden="false" customHeight="false" outlineLevel="0" collapsed="false">
      <c r="A63" s="98" t="s">
        <v>401</v>
      </c>
      <c r="B63" s="98" t="n">
        <f aca="false">COUNTIFS(d_Cust,A63,d_Year,'Customer Analytics'!$P$4,d_City,'Customer Analytics'!$Q$4,d_Cuisine,'Customer Analytics'!$R$4,d_Pay,'Customer Analytics'!$S$4,d_Type,'Customer Analytics'!$T$4)</f>
        <v>4</v>
      </c>
      <c r="C63" s="98" t="n">
        <f aca="false">COUNTIFS(d_Cust,A63,d_Status,"Delivered",d_Year,'Customer Analytics'!$P$4,d_City,'Customer Analytics'!$Q$4,d_Cuisine,'Customer Analytics'!$R$4,d_Pay,'Customer Analytics'!$S$4,d_Type,'Customer Analytics'!$T$4)</f>
        <v>4</v>
      </c>
      <c r="D63" s="99" t="n">
        <f aca="false">SUMIFS(d_Net,d_Cust,A63,d_Status,"Delivered",d_Year,'Customer Analytics'!$P$4,d_City,'Customer Analytics'!$Q$4,d_Cuisine,'Customer Analytics'!$R$4,d_Pay,'Customer Analytics'!$S$4,d_Type,'Customer Analytics'!$T$4)</f>
        <v>2477</v>
      </c>
      <c r="E63" s="100" t="n">
        <f aca="false">IFERROR(AVERAGEIFS(d_CRating,d_Cust,A63,d_Year,'Customer Analytics'!$P$4,d_City,'Customer Analytics'!$Q$4,d_Cuisine,'Customer Analytics'!$R$4,d_Pay,'Customer Analytics'!$S$4,d_Type,'Customer Analytics'!$T$4),0)</f>
        <v>4</v>
      </c>
      <c r="F63" s="98" t="n">
        <f aca="false">D63+ROW()/1000000</f>
        <v>2477.000063</v>
      </c>
      <c r="G63" s="98" t="n">
        <f aca="false">RANK(F63,$F$2:$F$351)</f>
        <v>117</v>
      </c>
    </row>
    <row r="64" customFormat="false" ht="15" hidden="false" customHeight="false" outlineLevel="0" collapsed="false">
      <c r="A64" s="98" t="s">
        <v>402</v>
      </c>
      <c r="B64" s="98" t="n">
        <f aca="false">COUNTIFS(d_Cust,A64,d_Year,'Customer Analytics'!$P$4,d_City,'Customer Analytics'!$Q$4,d_Cuisine,'Customer Analytics'!$R$4,d_Pay,'Customer Analytics'!$S$4,d_Type,'Customer Analytics'!$T$4)</f>
        <v>4</v>
      </c>
      <c r="C64" s="98" t="n">
        <f aca="false">COUNTIFS(d_Cust,A64,d_Status,"Delivered",d_Year,'Customer Analytics'!$P$4,d_City,'Customer Analytics'!$Q$4,d_Cuisine,'Customer Analytics'!$R$4,d_Pay,'Customer Analytics'!$S$4,d_Type,'Customer Analytics'!$T$4)</f>
        <v>3</v>
      </c>
      <c r="D64" s="99" t="n">
        <f aca="false">SUMIFS(d_Net,d_Cust,A64,d_Status,"Delivered",d_Year,'Customer Analytics'!$P$4,d_City,'Customer Analytics'!$Q$4,d_Cuisine,'Customer Analytics'!$R$4,d_Pay,'Customer Analytics'!$S$4,d_Type,'Customer Analytics'!$T$4)</f>
        <v>1627</v>
      </c>
      <c r="E64" s="100" t="n">
        <f aca="false">IFERROR(AVERAGEIFS(d_CRating,d_Cust,A64,d_Year,'Customer Analytics'!$P$4,d_City,'Customer Analytics'!$Q$4,d_Cuisine,'Customer Analytics'!$R$4,d_Pay,'Customer Analytics'!$S$4,d_Type,'Customer Analytics'!$T$4),0)</f>
        <v>4</v>
      </c>
      <c r="F64" s="98" t="n">
        <f aca="false">D64+ROW()/1000000</f>
        <v>1627.000064</v>
      </c>
      <c r="G64" s="98" t="n">
        <f aca="false">RANK(F64,$F$2:$F$351)</f>
        <v>218</v>
      </c>
    </row>
    <row r="65" customFormat="false" ht="15" hidden="false" customHeight="false" outlineLevel="0" collapsed="false">
      <c r="A65" s="98" t="s">
        <v>403</v>
      </c>
      <c r="B65" s="98" t="n">
        <f aca="false">COUNTIFS(d_Cust,A65,d_Year,'Customer Analytics'!$P$4,d_City,'Customer Analytics'!$Q$4,d_Cuisine,'Customer Analytics'!$R$4,d_Pay,'Customer Analytics'!$S$4,d_Type,'Customer Analytics'!$T$4)</f>
        <v>4</v>
      </c>
      <c r="C65" s="98" t="n">
        <f aca="false">COUNTIFS(d_Cust,A65,d_Status,"Delivered",d_Year,'Customer Analytics'!$P$4,d_City,'Customer Analytics'!$Q$4,d_Cuisine,'Customer Analytics'!$R$4,d_Pay,'Customer Analytics'!$S$4,d_Type,'Customer Analytics'!$T$4)</f>
        <v>4</v>
      </c>
      <c r="D65" s="99" t="n">
        <f aca="false">SUMIFS(d_Net,d_Cust,A65,d_Status,"Delivered",d_Year,'Customer Analytics'!$P$4,d_City,'Customer Analytics'!$Q$4,d_Cuisine,'Customer Analytics'!$R$4,d_Pay,'Customer Analytics'!$S$4,d_Type,'Customer Analytics'!$T$4)</f>
        <v>2548</v>
      </c>
      <c r="E65" s="100" t="n">
        <f aca="false">IFERROR(AVERAGEIFS(d_CRating,d_Cust,A65,d_Year,'Customer Analytics'!$P$4,d_City,'Customer Analytics'!$Q$4,d_Cuisine,'Customer Analytics'!$R$4,d_Pay,'Customer Analytics'!$S$4,d_Type,'Customer Analytics'!$T$4),0)</f>
        <v>4.5</v>
      </c>
      <c r="F65" s="98" t="n">
        <f aca="false">D65+ROW()/1000000</f>
        <v>2548.000065</v>
      </c>
      <c r="G65" s="98" t="n">
        <f aca="false">RANK(F65,$F$2:$F$351)</f>
        <v>110</v>
      </c>
    </row>
    <row r="66" customFormat="false" ht="15" hidden="false" customHeight="false" outlineLevel="0" collapsed="false">
      <c r="A66" s="98" t="s">
        <v>404</v>
      </c>
      <c r="B66" s="98" t="n">
        <f aca="false">COUNTIFS(d_Cust,A66,d_Year,'Customer Analytics'!$P$4,d_City,'Customer Analytics'!$Q$4,d_Cuisine,'Customer Analytics'!$R$4,d_Pay,'Customer Analytics'!$S$4,d_Type,'Customer Analytics'!$T$4)</f>
        <v>4</v>
      </c>
      <c r="C66" s="98" t="n">
        <f aca="false">COUNTIFS(d_Cust,A66,d_Status,"Delivered",d_Year,'Customer Analytics'!$P$4,d_City,'Customer Analytics'!$Q$4,d_Cuisine,'Customer Analytics'!$R$4,d_Pay,'Customer Analytics'!$S$4,d_Type,'Customer Analytics'!$T$4)</f>
        <v>3</v>
      </c>
      <c r="D66" s="99" t="n">
        <f aca="false">SUMIFS(d_Net,d_Cust,A66,d_Status,"Delivered",d_Year,'Customer Analytics'!$P$4,d_City,'Customer Analytics'!$Q$4,d_Cuisine,'Customer Analytics'!$R$4,d_Pay,'Customer Analytics'!$S$4,d_Type,'Customer Analytics'!$T$4)</f>
        <v>1235</v>
      </c>
      <c r="E66" s="100" t="n">
        <f aca="false">IFERROR(AVERAGEIFS(d_CRating,d_Cust,A66,d_Year,'Customer Analytics'!$P$4,d_City,'Customer Analytics'!$Q$4,d_Cuisine,'Customer Analytics'!$R$4,d_Pay,'Customer Analytics'!$S$4,d_Type,'Customer Analytics'!$T$4),0)</f>
        <v>4</v>
      </c>
      <c r="F66" s="98" t="n">
        <f aca="false">D66+ROW()/1000000</f>
        <v>1235.000066</v>
      </c>
      <c r="G66" s="98" t="n">
        <f aca="false">RANK(F66,$F$2:$F$351)</f>
        <v>264</v>
      </c>
    </row>
    <row r="67" customFormat="false" ht="15" hidden="false" customHeight="false" outlineLevel="0" collapsed="false">
      <c r="A67" s="98" t="s">
        <v>405</v>
      </c>
      <c r="B67" s="98" t="n">
        <f aca="false">COUNTIFS(d_Cust,A67,d_Year,'Customer Analytics'!$P$4,d_City,'Customer Analytics'!$Q$4,d_Cuisine,'Customer Analytics'!$R$4,d_Pay,'Customer Analytics'!$S$4,d_Type,'Customer Analytics'!$T$4)</f>
        <v>4</v>
      </c>
      <c r="C67" s="98" t="n">
        <f aca="false">COUNTIFS(d_Cust,A67,d_Status,"Delivered",d_Year,'Customer Analytics'!$P$4,d_City,'Customer Analytics'!$Q$4,d_Cuisine,'Customer Analytics'!$R$4,d_Pay,'Customer Analytics'!$S$4,d_Type,'Customer Analytics'!$T$4)</f>
        <v>2</v>
      </c>
      <c r="D67" s="99" t="n">
        <f aca="false">SUMIFS(d_Net,d_Cust,A67,d_Status,"Delivered",d_Year,'Customer Analytics'!$P$4,d_City,'Customer Analytics'!$Q$4,d_Cuisine,'Customer Analytics'!$R$4,d_Pay,'Customer Analytics'!$S$4,d_Type,'Customer Analytics'!$T$4)</f>
        <v>2075</v>
      </c>
      <c r="E67" s="100" t="n">
        <f aca="false">IFERROR(AVERAGEIFS(d_CRating,d_Cust,A67,d_Year,'Customer Analytics'!$P$4,d_City,'Customer Analytics'!$Q$4,d_Cuisine,'Customer Analytics'!$R$4,d_Pay,'Customer Analytics'!$S$4,d_Type,'Customer Analytics'!$T$4),0)</f>
        <v>3.75</v>
      </c>
      <c r="F67" s="98" t="n">
        <f aca="false">D67+ROW()/1000000</f>
        <v>2075.000067</v>
      </c>
      <c r="G67" s="98" t="n">
        <f aca="false">RANK(F67,$F$2:$F$351)</f>
        <v>158</v>
      </c>
    </row>
    <row r="68" customFormat="false" ht="15" hidden="false" customHeight="false" outlineLevel="0" collapsed="false">
      <c r="A68" s="98" t="s">
        <v>406</v>
      </c>
      <c r="B68" s="98" t="n">
        <f aca="false">COUNTIFS(d_Cust,A68,d_Year,'Customer Analytics'!$P$4,d_City,'Customer Analytics'!$Q$4,d_Cuisine,'Customer Analytics'!$R$4,d_Pay,'Customer Analytics'!$S$4,d_Type,'Customer Analytics'!$T$4)</f>
        <v>4</v>
      </c>
      <c r="C68" s="98" t="n">
        <f aca="false">COUNTIFS(d_Cust,A68,d_Status,"Delivered",d_Year,'Customer Analytics'!$P$4,d_City,'Customer Analytics'!$Q$4,d_Cuisine,'Customer Analytics'!$R$4,d_Pay,'Customer Analytics'!$S$4,d_Type,'Customer Analytics'!$T$4)</f>
        <v>2</v>
      </c>
      <c r="D68" s="99" t="n">
        <f aca="false">SUMIFS(d_Net,d_Cust,A68,d_Status,"Delivered",d_Year,'Customer Analytics'!$P$4,d_City,'Customer Analytics'!$Q$4,d_Cuisine,'Customer Analytics'!$R$4,d_Pay,'Customer Analytics'!$S$4,d_Type,'Customer Analytics'!$T$4)</f>
        <v>1882</v>
      </c>
      <c r="E68" s="100" t="n">
        <f aca="false">IFERROR(AVERAGEIFS(d_CRating,d_Cust,A68,d_Year,'Customer Analytics'!$P$4,d_City,'Customer Analytics'!$Q$4,d_Cuisine,'Customer Analytics'!$R$4,d_Pay,'Customer Analytics'!$S$4,d_Type,'Customer Analytics'!$T$4),0)</f>
        <v>3.75</v>
      </c>
      <c r="F68" s="98" t="n">
        <f aca="false">D68+ROW()/1000000</f>
        <v>1882.000068</v>
      </c>
      <c r="G68" s="98" t="n">
        <f aca="false">RANK(F68,$F$2:$F$351)</f>
        <v>180</v>
      </c>
    </row>
    <row r="69" customFormat="false" ht="15" hidden="false" customHeight="false" outlineLevel="0" collapsed="false">
      <c r="A69" s="98" t="s">
        <v>407</v>
      </c>
      <c r="B69" s="98" t="n">
        <f aca="false">COUNTIFS(d_Cust,A69,d_Year,'Customer Analytics'!$P$4,d_City,'Customer Analytics'!$Q$4,d_Cuisine,'Customer Analytics'!$R$4,d_Pay,'Customer Analytics'!$S$4,d_Type,'Customer Analytics'!$T$4)</f>
        <v>4</v>
      </c>
      <c r="C69" s="98" t="n">
        <f aca="false">COUNTIFS(d_Cust,A69,d_Status,"Delivered",d_Year,'Customer Analytics'!$P$4,d_City,'Customer Analytics'!$Q$4,d_Cuisine,'Customer Analytics'!$R$4,d_Pay,'Customer Analytics'!$S$4,d_Type,'Customer Analytics'!$T$4)</f>
        <v>3</v>
      </c>
      <c r="D69" s="99" t="n">
        <f aca="false">SUMIFS(d_Net,d_Cust,A69,d_Status,"Delivered",d_Year,'Customer Analytics'!$P$4,d_City,'Customer Analytics'!$Q$4,d_Cuisine,'Customer Analytics'!$R$4,d_Pay,'Customer Analytics'!$S$4,d_Type,'Customer Analytics'!$T$4)</f>
        <v>3414</v>
      </c>
      <c r="E69" s="100" t="n">
        <f aca="false">IFERROR(AVERAGEIFS(d_CRating,d_Cust,A69,d_Year,'Customer Analytics'!$P$4,d_City,'Customer Analytics'!$Q$4,d_Cuisine,'Customer Analytics'!$R$4,d_Pay,'Customer Analytics'!$S$4,d_Type,'Customer Analytics'!$T$4),0)</f>
        <v>4</v>
      </c>
      <c r="F69" s="98" t="n">
        <f aca="false">D69+ROW()/1000000</f>
        <v>3414.000069</v>
      </c>
      <c r="G69" s="98" t="n">
        <f aca="false">RANK(F69,$F$2:$F$351)</f>
        <v>38</v>
      </c>
    </row>
    <row r="70" customFormat="false" ht="15" hidden="false" customHeight="false" outlineLevel="0" collapsed="false">
      <c r="A70" s="98" t="s">
        <v>408</v>
      </c>
      <c r="B70" s="98" t="n">
        <f aca="false">COUNTIFS(d_Cust,A70,d_Year,'Customer Analytics'!$P$4,d_City,'Customer Analytics'!$Q$4,d_Cuisine,'Customer Analytics'!$R$4,d_Pay,'Customer Analytics'!$S$4,d_Type,'Customer Analytics'!$T$4)</f>
        <v>4</v>
      </c>
      <c r="C70" s="98" t="n">
        <f aca="false">COUNTIFS(d_Cust,A70,d_Status,"Delivered",d_Year,'Customer Analytics'!$P$4,d_City,'Customer Analytics'!$Q$4,d_Cuisine,'Customer Analytics'!$R$4,d_Pay,'Customer Analytics'!$S$4,d_Type,'Customer Analytics'!$T$4)</f>
        <v>3</v>
      </c>
      <c r="D70" s="99" t="n">
        <f aca="false">SUMIFS(d_Net,d_Cust,A70,d_Status,"Delivered",d_Year,'Customer Analytics'!$P$4,d_City,'Customer Analytics'!$Q$4,d_Cuisine,'Customer Analytics'!$R$4,d_Pay,'Customer Analytics'!$S$4,d_Type,'Customer Analytics'!$T$4)</f>
        <v>2026</v>
      </c>
      <c r="E70" s="100" t="n">
        <f aca="false">IFERROR(AVERAGEIFS(d_CRating,d_Cust,A70,d_Year,'Customer Analytics'!$P$4,d_City,'Customer Analytics'!$Q$4,d_Cuisine,'Customer Analytics'!$R$4,d_Pay,'Customer Analytics'!$S$4,d_Type,'Customer Analytics'!$T$4),0)</f>
        <v>4.5</v>
      </c>
      <c r="F70" s="98" t="n">
        <f aca="false">D70+ROW()/1000000</f>
        <v>2026.00007</v>
      </c>
      <c r="G70" s="98" t="n">
        <f aca="false">RANK(F70,$F$2:$F$351)</f>
        <v>163</v>
      </c>
    </row>
    <row r="71" customFormat="false" ht="15" hidden="false" customHeight="false" outlineLevel="0" collapsed="false">
      <c r="A71" s="98" t="s">
        <v>409</v>
      </c>
      <c r="B71" s="98" t="n">
        <f aca="false">COUNTIFS(d_Cust,A71,d_Year,'Customer Analytics'!$P$4,d_City,'Customer Analytics'!$Q$4,d_Cuisine,'Customer Analytics'!$R$4,d_Pay,'Customer Analytics'!$S$4,d_Type,'Customer Analytics'!$T$4)</f>
        <v>4</v>
      </c>
      <c r="C71" s="98" t="n">
        <f aca="false">COUNTIFS(d_Cust,A71,d_Status,"Delivered",d_Year,'Customer Analytics'!$P$4,d_City,'Customer Analytics'!$Q$4,d_Cuisine,'Customer Analytics'!$R$4,d_Pay,'Customer Analytics'!$S$4,d_Type,'Customer Analytics'!$T$4)</f>
        <v>1</v>
      </c>
      <c r="D71" s="99" t="n">
        <f aca="false">SUMIFS(d_Net,d_Cust,A71,d_Status,"Delivered",d_Year,'Customer Analytics'!$P$4,d_City,'Customer Analytics'!$Q$4,d_Cuisine,'Customer Analytics'!$R$4,d_Pay,'Customer Analytics'!$S$4,d_Type,'Customer Analytics'!$T$4)</f>
        <v>950</v>
      </c>
      <c r="E71" s="100" t="n">
        <f aca="false">IFERROR(AVERAGEIFS(d_CRating,d_Cust,A71,d_Year,'Customer Analytics'!$P$4,d_City,'Customer Analytics'!$Q$4,d_Cuisine,'Customer Analytics'!$R$4,d_Pay,'Customer Analytics'!$S$4,d_Type,'Customer Analytics'!$T$4),0)</f>
        <v>3.5</v>
      </c>
      <c r="F71" s="98" t="n">
        <f aca="false">D71+ROW()/1000000</f>
        <v>950.000071</v>
      </c>
      <c r="G71" s="98" t="n">
        <f aca="false">RANK(F71,$F$2:$F$351)</f>
        <v>285</v>
      </c>
    </row>
    <row r="72" customFormat="false" ht="15" hidden="false" customHeight="false" outlineLevel="0" collapsed="false">
      <c r="A72" s="98" t="s">
        <v>410</v>
      </c>
      <c r="B72" s="98" t="n">
        <f aca="false">COUNTIFS(d_Cust,A72,d_Year,'Customer Analytics'!$P$4,d_City,'Customer Analytics'!$Q$4,d_Cuisine,'Customer Analytics'!$R$4,d_Pay,'Customer Analytics'!$S$4,d_Type,'Customer Analytics'!$T$4)</f>
        <v>4</v>
      </c>
      <c r="C72" s="98" t="n">
        <f aca="false">COUNTIFS(d_Cust,A72,d_Status,"Delivered",d_Year,'Customer Analytics'!$P$4,d_City,'Customer Analytics'!$Q$4,d_Cuisine,'Customer Analytics'!$R$4,d_Pay,'Customer Analytics'!$S$4,d_Type,'Customer Analytics'!$T$4)</f>
        <v>2</v>
      </c>
      <c r="D72" s="99" t="n">
        <f aca="false">SUMIFS(d_Net,d_Cust,A72,d_Status,"Delivered",d_Year,'Customer Analytics'!$P$4,d_City,'Customer Analytics'!$Q$4,d_Cuisine,'Customer Analytics'!$R$4,d_Pay,'Customer Analytics'!$S$4,d_Type,'Customer Analytics'!$T$4)</f>
        <v>2178</v>
      </c>
      <c r="E72" s="100" t="n">
        <f aca="false">IFERROR(AVERAGEIFS(d_CRating,d_Cust,A72,d_Year,'Customer Analytics'!$P$4,d_City,'Customer Analytics'!$Q$4,d_Cuisine,'Customer Analytics'!$R$4,d_Pay,'Customer Analytics'!$S$4,d_Type,'Customer Analytics'!$T$4),0)</f>
        <v>3.75</v>
      </c>
      <c r="F72" s="98" t="n">
        <f aca="false">D72+ROW()/1000000</f>
        <v>2178.000072</v>
      </c>
      <c r="G72" s="98" t="n">
        <f aca="false">RANK(F72,$F$2:$F$351)</f>
        <v>147</v>
      </c>
    </row>
    <row r="73" customFormat="false" ht="15" hidden="false" customHeight="false" outlineLevel="0" collapsed="false">
      <c r="A73" s="98" t="s">
        <v>411</v>
      </c>
      <c r="B73" s="98" t="n">
        <f aca="false">COUNTIFS(d_Cust,A73,d_Year,'Customer Analytics'!$P$4,d_City,'Customer Analytics'!$Q$4,d_Cuisine,'Customer Analytics'!$R$4,d_Pay,'Customer Analytics'!$S$4,d_Type,'Customer Analytics'!$T$4)</f>
        <v>4</v>
      </c>
      <c r="C73" s="98" t="n">
        <f aca="false">COUNTIFS(d_Cust,A73,d_Status,"Delivered",d_Year,'Customer Analytics'!$P$4,d_City,'Customer Analytics'!$Q$4,d_Cuisine,'Customer Analytics'!$R$4,d_Pay,'Customer Analytics'!$S$4,d_Type,'Customer Analytics'!$T$4)</f>
        <v>3</v>
      </c>
      <c r="D73" s="99" t="n">
        <f aca="false">SUMIFS(d_Net,d_Cust,A73,d_Status,"Delivered",d_Year,'Customer Analytics'!$P$4,d_City,'Customer Analytics'!$Q$4,d_Cuisine,'Customer Analytics'!$R$4,d_Pay,'Customer Analytics'!$S$4,d_Type,'Customer Analytics'!$T$4)</f>
        <v>2225</v>
      </c>
      <c r="E73" s="100" t="n">
        <f aca="false">IFERROR(AVERAGEIFS(d_CRating,d_Cust,A73,d_Year,'Customer Analytics'!$P$4,d_City,'Customer Analytics'!$Q$4,d_Cuisine,'Customer Analytics'!$R$4,d_Pay,'Customer Analytics'!$S$4,d_Type,'Customer Analytics'!$T$4),0)</f>
        <v>4.25</v>
      </c>
      <c r="F73" s="98" t="n">
        <f aca="false">D73+ROW()/1000000</f>
        <v>2225.000073</v>
      </c>
      <c r="G73" s="98" t="n">
        <f aca="false">RANK(F73,$F$2:$F$351)</f>
        <v>141</v>
      </c>
    </row>
    <row r="74" customFormat="false" ht="15" hidden="false" customHeight="false" outlineLevel="0" collapsed="false">
      <c r="A74" s="98" t="s">
        <v>412</v>
      </c>
      <c r="B74" s="98" t="n">
        <f aca="false">COUNTIFS(d_Cust,A74,d_Year,'Customer Analytics'!$P$4,d_City,'Customer Analytics'!$Q$4,d_Cuisine,'Customer Analytics'!$R$4,d_Pay,'Customer Analytics'!$S$4,d_Type,'Customer Analytics'!$T$4)</f>
        <v>4</v>
      </c>
      <c r="C74" s="98" t="n">
        <f aca="false">COUNTIFS(d_Cust,A74,d_Status,"Delivered",d_Year,'Customer Analytics'!$P$4,d_City,'Customer Analytics'!$Q$4,d_Cuisine,'Customer Analytics'!$R$4,d_Pay,'Customer Analytics'!$S$4,d_Type,'Customer Analytics'!$T$4)</f>
        <v>2</v>
      </c>
      <c r="D74" s="99" t="n">
        <f aca="false">SUMIFS(d_Net,d_Cust,A74,d_Status,"Delivered",d_Year,'Customer Analytics'!$P$4,d_City,'Customer Analytics'!$Q$4,d_Cuisine,'Customer Analytics'!$R$4,d_Pay,'Customer Analytics'!$S$4,d_Type,'Customer Analytics'!$T$4)</f>
        <v>1296</v>
      </c>
      <c r="E74" s="100" t="n">
        <f aca="false">IFERROR(AVERAGEIFS(d_CRating,d_Cust,A74,d_Year,'Customer Analytics'!$P$4,d_City,'Customer Analytics'!$Q$4,d_Cuisine,'Customer Analytics'!$R$4,d_Pay,'Customer Analytics'!$S$4,d_Type,'Customer Analytics'!$T$4),0)</f>
        <v>4.75</v>
      </c>
      <c r="F74" s="98" t="n">
        <f aca="false">D74+ROW()/1000000</f>
        <v>1296.000074</v>
      </c>
      <c r="G74" s="98" t="n">
        <f aca="false">RANK(F74,$F$2:$F$351)</f>
        <v>258</v>
      </c>
    </row>
    <row r="75" customFormat="false" ht="15" hidden="false" customHeight="false" outlineLevel="0" collapsed="false">
      <c r="A75" s="98" t="s">
        <v>413</v>
      </c>
      <c r="B75" s="98" t="n">
        <f aca="false">COUNTIFS(d_Cust,A75,d_Year,'Customer Analytics'!$P$4,d_City,'Customer Analytics'!$Q$4,d_Cuisine,'Customer Analytics'!$R$4,d_Pay,'Customer Analytics'!$S$4,d_Type,'Customer Analytics'!$T$4)</f>
        <v>4</v>
      </c>
      <c r="C75" s="98" t="n">
        <f aca="false">COUNTIFS(d_Cust,A75,d_Status,"Delivered",d_Year,'Customer Analytics'!$P$4,d_City,'Customer Analytics'!$Q$4,d_Cuisine,'Customer Analytics'!$R$4,d_Pay,'Customer Analytics'!$S$4,d_Type,'Customer Analytics'!$T$4)</f>
        <v>3</v>
      </c>
      <c r="D75" s="99" t="n">
        <f aca="false">SUMIFS(d_Net,d_Cust,A75,d_Status,"Delivered",d_Year,'Customer Analytics'!$P$4,d_City,'Customer Analytics'!$Q$4,d_Cuisine,'Customer Analytics'!$R$4,d_Pay,'Customer Analytics'!$S$4,d_Type,'Customer Analytics'!$T$4)</f>
        <v>2594</v>
      </c>
      <c r="E75" s="100" t="n">
        <f aca="false">IFERROR(AVERAGEIFS(d_CRating,d_Cust,A75,d_Year,'Customer Analytics'!$P$4,d_City,'Customer Analytics'!$Q$4,d_Cuisine,'Customer Analytics'!$R$4,d_Pay,'Customer Analytics'!$S$4,d_Type,'Customer Analytics'!$T$4),0)</f>
        <v>3.75</v>
      </c>
      <c r="F75" s="98" t="n">
        <f aca="false">D75+ROW()/1000000</f>
        <v>2594.000075</v>
      </c>
      <c r="G75" s="98" t="n">
        <f aca="false">RANK(F75,$F$2:$F$351)</f>
        <v>100</v>
      </c>
    </row>
    <row r="76" customFormat="false" ht="15" hidden="false" customHeight="false" outlineLevel="0" collapsed="false">
      <c r="A76" s="98" t="s">
        <v>414</v>
      </c>
      <c r="B76" s="98" t="n">
        <f aca="false">COUNTIFS(d_Cust,A76,d_Year,'Customer Analytics'!$P$4,d_City,'Customer Analytics'!$Q$4,d_Cuisine,'Customer Analytics'!$R$4,d_Pay,'Customer Analytics'!$S$4,d_Type,'Customer Analytics'!$T$4)</f>
        <v>4</v>
      </c>
      <c r="C76" s="98" t="n">
        <f aca="false">COUNTIFS(d_Cust,A76,d_Status,"Delivered",d_Year,'Customer Analytics'!$P$4,d_City,'Customer Analytics'!$Q$4,d_Cuisine,'Customer Analytics'!$R$4,d_Pay,'Customer Analytics'!$S$4,d_Type,'Customer Analytics'!$T$4)</f>
        <v>4</v>
      </c>
      <c r="D76" s="99" t="n">
        <f aca="false">SUMIFS(d_Net,d_Cust,A76,d_Status,"Delivered",d_Year,'Customer Analytics'!$P$4,d_City,'Customer Analytics'!$Q$4,d_Cuisine,'Customer Analytics'!$R$4,d_Pay,'Customer Analytics'!$S$4,d_Type,'Customer Analytics'!$T$4)</f>
        <v>4940</v>
      </c>
      <c r="E76" s="100" t="n">
        <f aca="false">IFERROR(AVERAGEIFS(d_CRating,d_Cust,A76,d_Year,'Customer Analytics'!$P$4,d_City,'Customer Analytics'!$Q$4,d_Cuisine,'Customer Analytics'!$R$4,d_Pay,'Customer Analytics'!$S$4,d_Type,'Customer Analytics'!$T$4),0)</f>
        <v>4.5</v>
      </c>
      <c r="F76" s="98" t="n">
        <f aca="false">D76+ROW()/1000000</f>
        <v>4940.000076</v>
      </c>
      <c r="G76" s="98" t="n">
        <f aca="false">RANK(F76,$F$2:$F$351)</f>
        <v>2</v>
      </c>
    </row>
    <row r="77" customFormat="false" ht="15" hidden="false" customHeight="false" outlineLevel="0" collapsed="false">
      <c r="A77" s="98" t="s">
        <v>415</v>
      </c>
      <c r="B77" s="98" t="n">
        <f aca="false">COUNTIFS(d_Cust,A77,d_Year,'Customer Analytics'!$P$4,d_City,'Customer Analytics'!$Q$4,d_Cuisine,'Customer Analytics'!$R$4,d_Pay,'Customer Analytics'!$S$4,d_Type,'Customer Analytics'!$T$4)</f>
        <v>4</v>
      </c>
      <c r="C77" s="98" t="n">
        <f aca="false">COUNTIFS(d_Cust,A77,d_Status,"Delivered",d_Year,'Customer Analytics'!$P$4,d_City,'Customer Analytics'!$Q$4,d_Cuisine,'Customer Analytics'!$R$4,d_Pay,'Customer Analytics'!$S$4,d_Type,'Customer Analytics'!$T$4)</f>
        <v>2</v>
      </c>
      <c r="D77" s="99" t="n">
        <f aca="false">SUMIFS(d_Net,d_Cust,A77,d_Status,"Delivered",d_Year,'Customer Analytics'!$P$4,d_City,'Customer Analytics'!$Q$4,d_Cuisine,'Customer Analytics'!$R$4,d_Pay,'Customer Analytics'!$S$4,d_Type,'Customer Analytics'!$T$4)</f>
        <v>2018</v>
      </c>
      <c r="E77" s="100" t="n">
        <f aca="false">IFERROR(AVERAGEIFS(d_CRating,d_Cust,A77,d_Year,'Customer Analytics'!$P$4,d_City,'Customer Analytics'!$Q$4,d_Cuisine,'Customer Analytics'!$R$4,d_Pay,'Customer Analytics'!$S$4,d_Type,'Customer Analytics'!$T$4),0)</f>
        <v>4.25</v>
      </c>
      <c r="F77" s="98" t="n">
        <f aca="false">D77+ROW()/1000000</f>
        <v>2018.000077</v>
      </c>
      <c r="G77" s="98" t="n">
        <f aca="false">RANK(F77,$F$2:$F$351)</f>
        <v>164</v>
      </c>
    </row>
    <row r="78" customFormat="false" ht="15" hidden="false" customHeight="false" outlineLevel="0" collapsed="false">
      <c r="A78" s="98" t="s">
        <v>416</v>
      </c>
      <c r="B78" s="98" t="n">
        <f aca="false">COUNTIFS(d_Cust,A78,d_Year,'Customer Analytics'!$P$4,d_City,'Customer Analytics'!$Q$4,d_Cuisine,'Customer Analytics'!$R$4,d_Pay,'Customer Analytics'!$S$4,d_Type,'Customer Analytics'!$T$4)</f>
        <v>4</v>
      </c>
      <c r="C78" s="98" t="n">
        <f aca="false">COUNTIFS(d_Cust,A78,d_Status,"Delivered",d_Year,'Customer Analytics'!$P$4,d_City,'Customer Analytics'!$Q$4,d_Cuisine,'Customer Analytics'!$R$4,d_Pay,'Customer Analytics'!$S$4,d_Type,'Customer Analytics'!$T$4)</f>
        <v>3</v>
      </c>
      <c r="D78" s="99" t="n">
        <f aca="false">SUMIFS(d_Net,d_Cust,A78,d_Status,"Delivered",d_Year,'Customer Analytics'!$P$4,d_City,'Customer Analytics'!$Q$4,d_Cuisine,'Customer Analytics'!$R$4,d_Pay,'Customer Analytics'!$S$4,d_Type,'Customer Analytics'!$T$4)</f>
        <v>3436</v>
      </c>
      <c r="E78" s="100" t="n">
        <f aca="false">IFERROR(AVERAGEIFS(d_CRating,d_Cust,A78,d_Year,'Customer Analytics'!$P$4,d_City,'Customer Analytics'!$Q$4,d_Cuisine,'Customer Analytics'!$R$4,d_Pay,'Customer Analytics'!$S$4,d_Type,'Customer Analytics'!$T$4),0)</f>
        <v>3.75</v>
      </c>
      <c r="F78" s="98" t="n">
        <f aca="false">D78+ROW()/1000000</f>
        <v>3436.000078</v>
      </c>
      <c r="G78" s="98" t="n">
        <f aca="false">RANK(F78,$F$2:$F$351)</f>
        <v>36</v>
      </c>
    </row>
    <row r="79" customFormat="false" ht="15" hidden="false" customHeight="false" outlineLevel="0" collapsed="false">
      <c r="A79" s="98" t="s">
        <v>417</v>
      </c>
      <c r="B79" s="98" t="n">
        <f aca="false">COUNTIFS(d_Cust,A79,d_Year,'Customer Analytics'!$P$4,d_City,'Customer Analytics'!$Q$4,d_Cuisine,'Customer Analytics'!$R$4,d_Pay,'Customer Analytics'!$S$4,d_Type,'Customer Analytics'!$T$4)</f>
        <v>4</v>
      </c>
      <c r="C79" s="98" t="n">
        <f aca="false">COUNTIFS(d_Cust,A79,d_Status,"Delivered",d_Year,'Customer Analytics'!$P$4,d_City,'Customer Analytics'!$Q$4,d_Cuisine,'Customer Analytics'!$R$4,d_Pay,'Customer Analytics'!$S$4,d_Type,'Customer Analytics'!$T$4)</f>
        <v>4</v>
      </c>
      <c r="D79" s="99" t="n">
        <f aca="false">SUMIFS(d_Net,d_Cust,A79,d_Status,"Delivered",d_Year,'Customer Analytics'!$P$4,d_City,'Customer Analytics'!$Q$4,d_Cuisine,'Customer Analytics'!$R$4,d_Pay,'Customer Analytics'!$S$4,d_Type,'Customer Analytics'!$T$4)</f>
        <v>3752</v>
      </c>
      <c r="E79" s="100" t="n">
        <f aca="false">IFERROR(AVERAGEIFS(d_CRating,d_Cust,A79,d_Year,'Customer Analytics'!$P$4,d_City,'Customer Analytics'!$Q$4,d_Cuisine,'Customer Analytics'!$R$4,d_Pay,'Customer Analytics'!$S$4,d_Type,'Customer Analytics'!$T$4),0)</f>
        <v>4</v>
      </c>
      <c r="F79" s="98" t="n">
        <f aca="false">D79+ROW()/1000000</f>
        <v>3752.000079</v>
      </c>
      <c r="G79" s="98" t="n">
        <f aca="false">RANK(F79,$F$2:$F$351)</f>
        <v>15</v>
      </c>
    </row>
    <row r="80" customFormat="false" ht="15" hidden="false" customHeight="false" outlineLevel="0" collapsed="false">
      <c r="A80" s="98" t="s">
        <v>418</v>
      </c>
      <c r="B80" s="98" t="n">
        <f aca="false">COUNTIFS(d_Cust,A80,d_Year,'Customer Analytics'!$P$4,d_City,'Customer Analytics'!$Q$4,d_Cuisine,'Customer Analytics'!$R$4,d_Pay,'Customer Analytics'!$S$4,d_Type,'Customer Analytics'!$T$4)</f>
        <v>4</v>
      </c>
      <c r="C80" s="98" t="n">
        <f aca="false">COUNTIFS(d_Cust,A80,d_Status,"Delivered",d_Year,'Customer Analytics'!$P$4,d_City,'Customer Analytics'!$Q$4,d_Cuisine,'Customer Analytics'!$R$4,d_Pay,'Customer Analytics'!$S$4,d_Type,'Customer Analytics'!$T$4)</f>
        <v>3</v>
      </c>
      <c r="D80" s="99" t="n">
        <f aca="false">SUMIFS(d_Net,d_Cust,A80,d_Status,"Delivered",d_Year,'Customer Analytics'!$P$4,d_City,'Customer Analytics'!$Q$4,d_Cuisine,'Customer Analytics'!$R$4,d_Pay,'Customer Analytics'!$S$4,d_Type,'Customer Analytics'!$T$4)</f>
        <v>1881</v>
      </c>
      <c r="E80" s="100" t="n">
        <f aca="false">IFERROR(AVERAGEIFS(d_CRating,d_Cust,A80,d_Year,'Customer Analytics'!$P$4,d_City,'Customer Analytics'!$Q$4,d_Cuisine,'Customer Analytics'!$R$4,d_Pay,'Customer Analytics'!$S$4,d_Type,'Customer Analytics'!$T$4),0)</f>
        <v>4.25</v>
      </c>
      <c r="F80" s="98" t="n">
        <f aca="false">D80+ROW()/1000000</f>
        <v>1881.00008</v>
      </c>
      <c r="G80" s="98" t="n">
        <f aca="false">RANK(F80,$F$2:$F$351)</f>
        <v>181</v>
      </c>
    </row>
    <row r="81" customFormat="false" ht="15" hidden="false" customHeight="false" outlineLevel="0" collapsed="false">
      <c r="A81" s="98" t="s">
        <v>419</v>
      </c>
      <c r="B81" s="98" t="n">
        <f aca="false">COUNTIFS(d_Cust,A81,d_Year,'Customer Analytics'!$P$4,d_City,'Customer Analytics'!$Q$4,d_Cuisine,'Customer Analytics'!$R$4,d_Pay,'Customer Analytics'!$S$4,d_Type,'Customer Analytics'!$T$4)</f>
        <v>4</v>
      </c>
      <c r="C81" s="98" t="n">
        <f aca="false">COUNTIFS(d_Cust,A81,d_Status,"Delivered",d_Year,'Customer Analytics'!$P$4,d_City,'Customer Analytics'!$Q$4,d_Cuisine,'Customer Analytics'!$R$4,d_Pay,'Customer Analytics'!$S$4,d_Type,'Customer Analytics'!$T$4)</f>
        <v>2</v>
      </c>
      <c r="D81" s="99" t="n">
        <f aca="false">SUMIFS(d_Net,d_Cust,A81,d_Status,"Delivered",d_Year,'Customer Analytics'!$P$4,d_City,'Customer Analytics'!$Q$4,d_Cuisine,'Customer Analytics'!$R$4,d_Pay,'Customer Analytics'!$S$4,d_Type,'Customer Analytics'!$T$4)</f>
        <v>2012</v>
      </c>
      <c r="E81" s="100" t="n">
        <f aca="false">IFERROR(AVERAGEIFS(d_CRating,d_Cust,A81,d_Year,'Customer Analytics'!$P$4,d_City,'Customer Analytics'!$Q$4,d_Cuisine,'Customer Analytics'!$R$4,d_Pay,'Customer Analytics'!$S$4,d_Type,'Customer Analytics'!$T$4),0)</f>
        <v>5</v>
      </c>
      <c r="F81" s="98" t="n">
        <f aca="false">D81+ROW()/1000000</f>
        <v>2012.000081</v>
      </c>
      <c r="G81" s="98" t="n">
        <f aca="false">RANK(F81,$F$2:$F$351)</f>
        <v>166</v>
      </c>
    </row>
    <row r="82" customFormat="false" ht="15" hidden="false" customHeight="false" outlineLevel="0" collapsed="false">
      <c r="A82" s="98" t="s">
        <v>420</v>
      </c>
      <c r="B82" s="98" t="n">
        <f aca="false">COUNTIFS(d_Cust,A82,d_Year,'Customer Analytics'!$P$4,d_City,'Customer Analytics'!$Q$4,d_Cuisine,'Customer Analytics'!$R$4,d_Pay,'Customer Analytics'!$S$4,d_Type,'Customer Analytics'!$T$4)</f>
        <v>4</v>
      </c>
      <c r="C82" s="98" t="n">
        <f aca="false">COUNTIFS(d_Cust,A82,d_Status,"Delivered",d_Year,'Customer Analytics'!$P$4,d_City,'Customer Analytics'!$Q$4,d_Cuisine,'Customer Analytics'!$R$4,d_Pay,'Customer Analytics'!$S$4,d_Type,'Customer Analytics'!$T$4)</f>
        <v>3</v>
      </c>
      <c r="D82" s="99" t="n">
        <f aca="false">SUMIFS(d_Net,d_Cust,A82,d_Status,"Delivered",d_Year,'Customer Analytics'!$P$4,d_City,'Customer Analytics'!$Q$4,d_Cuisine,'Customer Analytics'!$R$4,d_Pay,'Customer Analytics'!$S$4,d_Type,'Customer Analytics'!$T$4)</f>
        <v>1770</v>
      </c>
      <c r="E82" s="100" t="n">
        <f aca="false">IFERROR(AVERAGEIFS(d_CRating,d_Cust,A82,d_Year,'Customer Analytics'!$P$4,d_City,'Customer Analytics'!$Q$4,d_Cuisine,'Customer Analytics'!$R$4,d_Pay,'Customer Analytics'!$S$4,d_Type,'Customer Analytics'!$T$4),0)</f>
        <v>3.25</v>
      </c>
      <c r="F82" s="98" t="n">
        <f aca="false">D82+ROW()/1000000</f>
        <v>1770.000082</v>
      </c>
      <c r="G82" s="98" t="n">
        <f aca="false">RANK(F82,$F$2:$F$351)</f>
        <v>192</v>
      </c>
    </row>
    <row r="83" customFormat="false" ht="15" hidden="false" customHeight="false" outlineLevel="0" collapsed="false">
      <c r="A83" s="98" t="s">
        <v>421</v>
      </c>
      <c r="B83" s="98" t="n">
        <f aca="false">COUNTIFS(d_Cust,A83,d_Year,'Customer Analytics'!$P$4,d_City,'Customer Analytics'!$Q$4,d_Cuisine,'Customer Analytics'!$R$4,d_Pay,'Customer Analytics'!$S$4,d_Type,'Customer Analytics'!$T$4)</f>
        <v>4</v>
      </c>
      <c r="C83" s="98" t="n">
        <f aca="false">COUNTIFS(d_Cust,A83,d_Status,"Delivered",d_Year,'Customer Analytics'!$P$4,d_City,'Customer Analytics'!$Q$4,d_Cuisine,'Customer Analytics'!$R$4,d_Pay,'Customer Analytics'!$S$4,d_Type,'Customer Analytics'!$T$4)</f>
        <v>4</v>
      </c>
      <c r="D83" s="99" t="n">
        <f aca="false">SUMIFS(d_Net,d_Cust,A83,d_Status,"Delivered",d_Year,'Customer Analytics'!$P$4,d_City,'Customer Analytics'!$Q$4,d_Cuisine,'Customer Analytics'!$R$4,d_Pay,'Customer Analytics'!$S$4,d_Type,'Customer Analytics'!$T$4)</f>
        <v>2674</v>
      </c>
      <c r="E83" s="100" t="n">
        <f aca="false">IFERROR(AVERAGEIFS(d_CRating,d_Cust,A83,d_Year,'Customer Analytics'!$P$4,d_City,'Customer Analytics'!$Q$4,d_Cuisine,'Customer Analytics'!$R$4,d_Pay,'Customer Analytics'!$S$4,d_Type,'Customer Analytics'!$T$4),0)</f>
        <v>4.25</v>
      </c>
      <c r="F83" s="98" t="n">
        <f aca="false">D83+ROW()/1000000</f>
        <v>2674.000083</v>
      </c>
      <c r="G83" s="98" t="n">
        <f aca="false">RANK(F83,$F$2:$F$351)</f>
        <v>93</v>
      </c>
    </row>
    <row r="84" customFormat="false" ht="15" hidden="false" customHeight="false" outlineLevel="0" collapsed="false">
      <c r="A84" s="98" t="s">
        <v>422</v>
      </c>
      <c r="B84" s="98" t="n">
        <f aca="false">COUNTIFS(d_Cust,A84,d_Year,'Customer Analytics'!$P$4,d_City,'Customer Analytics'!$Q$4,d_Cuisine,'Customer Analytics'!$R$4,d_Pay,'Customer Analytics'!$S$4,d_Type,'Customer Analytics'!$T$4)</f>
        <v>4</v>
      </c>
      <c r="C84" s="98" t="n">
        <f aca="false">COUNTIFS(d_Cust,A84,d_Status,"Delivered",d_Year,'Customer Analytics'!$P$4,d_City,'Customer Analytics'!$Q$4,d_Cuisine,'Customer Analytics'!$R$4,d_Pay,'Customer Analytics'!$S$4,d_Type,'Customer Analytics'!$T$4)</f>
        <v>3</v>
      </c>
      <c r="D84" s="99" t="n">
        <f aca="false">SUMIFS(d_Net,d_Cust,A84,d_Status,"Delivered",d_Year,'Customer Analytics'!$P$4,d_City,'Customer Analytics'!$Q$4,d_Cuisine,'Customer Analytics'!$R$4,d_Pay,'Customer Analytics'!$S$4,d_Type,'Customer Analytics'!$T$4)</f>
        <v>2564</v>
      </c>
      <c r="E84" s="100" t="n">
        <f aca="false">IFERROR(AVERAGEIFS(d_CRating,d_Cust,A84,d_Year,'Customer Analytics'!$P$4,d_City,'Customer Analytics'!$Q$4,d_Cuisine,'Customer Analytics'!$R$4,d_Pay,'Customer Analytics'!$S$4,d_Type,'Customer Analytics'!$T$4),0)</f>
        <v>3.75</v>
      </c>
      <c r="F84" s="98" t="n">
        <f aca="false">D84+ROW()/1000000</f>
        <v>2564.000084</v>
      </c>
      <c r="G84" s="98" t="n">
        <f aca="false">RANK(F84,$F$2:$F$351)</f>
        <v>106</v>
      </c>
    </row>
    <row r="85" customFormat="false" ht="15" hidden="false" customHeight="false" outlineLevel="0" collapsed="false">
      <c r="A85" s="98" t="s">
        <v>423</v>
      </c>
      <c r="B85" s="98" t="n">
        <f aca="false">COUNTIFS(d_Cust,A85,d_Year,'Customer Analytics'!$P$4,d_City,'Customer Analytics'!$Q$4,d_Cuisine,'Customer Analytics'!$R$4,d_Pay,'Customer Analytics'!$S$4,d_Type,'Customer Analytics'!$T$4)</f>
        <v>4</v>
      </c>
      <c r="C85" s="98" t="n">
        <f aca="false">COUNTIFS(d_Cust,A85,d_Status,"Delivered",d_Year,'Customer Analytics'!$P$4,d_City,'Customer Analytics'!$Q$4,d_Cuisine,'Customer Analytics'!$R$4,d_Pay,'Customer Analytics'!$S$4,d_Type,'Customer Analytics'!$T$4)</f>
        <v>3</v>
      </c>
      <c r="D85" s="99" t="n">
        <f aca="false">SUMIFS(d_Net,d_Cust,A85,d_Status,"Delivered",d_Year,'Customer Analytics'!$P$4,d_City,'Customer Analytics'!$Q$4,d_Cuisine,'Customer Analytics'!$R$4,d_Pay,'Customer Analytics'!$S$4,d_Type,'Customer Analytics'!$T$4)</f>
        <v>1727</v>
      </c>
      <c r="E85" s="100" t="n">
        <f aca="false">IFERROR(AVERAGEIFS(d_CRating,d_Cust,A85,d_Year,'Customer Analytics'!$P$4,d_City,'Customer Analytics'!$Q$4,d_Cuisine,'Customer Analytics'!$R$4,d_Pay,'Customer Analytics'!$S$4,d_Type,'Customer Analytics'!$T$4),0)</f>
        <v>4.75</v>
      </c>
      <c r="F85" s="98" t="n">
        <f aca="false">D85+ROW()/1000000</f>
        <v>1727.000085</v>
      </c>
      <c r="G85" s="98" t="n">
        <f aca="false">RANK(F85,$F$2:$F$351)</f>
        <v>197</v>
      </c>
    </row>
    <row r="86" customFormat="false" ht="15" hidden="false" customHeight="false" outlineLevel="0" collapsed="false">
      <c r="A86" s="98" t="s">
        <v>424</v>
      </c>
      <c r="B86" s="98" t="n">
        <f aca="false">COUNTIFS(d_Cust,A86,d_Year,'Customer Analytics'!$P$4,d_City,'Customer Analytics'!$Q$4,d_Cuisine,'Customer Analytics'!$R$4,d_Pay,'Customer Analytics'!$S$4,d_Type,'Customer Analytics'!$T$4)</f>
        <v>4</v>
      </c>
      <c r="C86" s="98" t="n">
        <f aca="false">COUNTIFS(d_Cust,A86,d_Status,"Delivered",d_Year,'Customer Analytics'!$P$4,d_City,'Customer Analytics'!$Q$4,d_Cuisine,'Customer Analytics'!$R$4,d_Pay,'Customer Analytics'!$S$4,d_Type,'Customer Analytics'!$T$4)</f>
        <v>3</v>
      </c>
      <c r="D86" s="99" t="n">
        <f aca="false">SUMIFS(d_Net,d_Cust,A86,d_Status,"Delivered",d_Year,'Customer Analytics'!$P$4,d_City,'Customer Analytics'!$Q$4,d_Cuisine,'Customer Analytics'!$R$4,d_Pay,'Customer Analytics'!$S$4,d_Type,'Customer Analytics'!$T$4)</f>
        <v>2126</v>
      </c>
      <c r="E86" s="100" t="n">
        <f aca="false">IFERROR(AVERAGEIFS(d_CRating,d_Cust,A86,d_Year,'Customer Analytics'!$P$4,d_City,'Customer Analytics'!$Q$4,d_Cuisine,'Customer Analytics'!$R$4,d_Pay,'Customer Analytics'!$S$4,d_Type,'Customer Analytics'!$T$4),0)</f>
        <v>4.25</v>
      </c>
      <c r="F86" s="98" t="n">
        <f aca="false">D86+ROW()/1000000</f>
        <v>2126.000086</v>
      </c>
      <c r="G86" s="98" t="n">
        <f aca="false">RANK(F86,$F$2:$F$351)</f>
        <v>150</v>
      </c>
    </row>
    <row r="87" customFormat="false" ht="15" hidden="false" customHeight="false" outlineLevel="0" collapsed="false">
      <c r="A87" s="98" t="s">
        <v>425</v>
      </c>
      <c r="B87" s="98" t="n">
        <f aca="false">COUNTIFS(d_Cust,A87,d_Year,'Customer Analytics'!$P$4,d_City,'Customer Analytics'!$Q$4,d_Cuisine,'Customer Analytics'!$R$4,d_Pay,'Customer Analytics'!$S$4,d_Type,'Customer Analytics'!$T$4)</f>
        <v>4</v>
      </c>
      <c r="C87" s="98" t="n">
        <f aca="false">COUNTIFS(d_Cust,A87,d_Status,"Delivered",d_Year,'Customer Analytics'!$P$4,d_City,'Customer Analytics'!$Q$4,d_Cuisine,'Customer Analytics'!$R$4,d_Pay,'Customer Analytics'!$S$4,d_Type,'Customer Analytics'!$T$4)</f>
        <v>2</v>
      </c>
      <c r="D87" s="99" t="n">
        <f aca="false">SUMIFS(d_Net,d_Cust,A87,d_Status,"Delivered",d_Year,'Customer Analytics'!$P$4,d_City,'Customer Analytics'!$Q$4,d_Cuisine,'Customer Analytics'!$R$4,d_Pay,'Customer Analytics'!$S$4,d_Type,'Customer Analytics'!$T$4)</f>
        <v>2260</v>
      </c>
      <c r="E87" s="100" t="n">
        <f aca="false">IFERROR(AVERAGEIFS(d_CRating,d_Cust,A87,d_Year,'Customer Analytics'!$P$4,d_City,'Customer Analytics'!$Q$4,d_Cuisine,'Customer Analytics'!$R$4,d_Pay,'Customer Analytics'!$S$4,d_Type,'Customer Analytics'!$T$4),0)</f>
        <v>2.75</v>
      </c>
      <c r="F87" s="98" t="n">
        <f aca="false">D87+ROW()/1000000</f>
        <v>2260.000087</v>
      </c>
      <c r="G87" s="98" t="n">
        <f aca="false">RANK(F87,$F$2:$F$351)</f>
        <v>137</v>
      </c>
    </row>
    <row r="88" customFormat="false" ht="15" hidden="false" customHeight="false" outlineLevel="0" collapsed="false">
      <c r="A88" s="98" t="s">
        <v>426</v>
      </c>
      <c r="B88" s="98" t="n">
        <f aca="false">COUNTIFS(d_Cust,A88,d_Year,'Customer Analytics'!$P$4,d_City,'Customer Analytics'!$Q$4,d_Cuisine,'Customer Analytics'!$R$4,d_Pay,'Customer Analytics'!$S$4,d_Type,'Customer Analytics'!$T$4)</f>
        <v>4</v>
      </c>
      <c r="C88" s="98" t="n">
        <f aca="false">COUNTIFS(d_Cust,A88,d_Status,"Delivered",d_Year,'Customer Analytics'!$P$4,d_City,'Customer Analytics'!$Q$4,d_Cuisine,'Customer Analytics'!$R$4,d_Pay,'Customer Analytics'!$S$4,d_Type,'Customer Analytics'!$T$4)</f>
        <v>3</v>
      </c>
      <c r="D88" s="99" t="n">
        <f aca="false">SUMIFS(d_Net,d_Cust,A88,d_Status,"Delivered",d_Year,'Customer Analytics'!$P$4,d_City,'Customer Analytics'!$Q$4,d_Cuisine,'Customer Analytics'!$R$4,d_Pay,'Customer Analytics'!$S$4,d_Type,'Customer Analytics'!$T$4)</f>
        <v>2408</v>
      </c>
      <c r="E88" s="100" t="n">
        <f aca="false">IFERROR(AVERAGEIFS(d_CRating,d_Cust,A88,d_Year,'Customer Analytics'!$P$4,d_City,'Customer Analytics'!$Q$4,d_Cuisine,'Customer Analytics'!$R$4,d_Pay,'Customer Analytics'!$S$4,d_Type,'Customer Analytics'!$T$4),0)</f>
        <v>4</v>
      </c>
      <c r="F88" s="98" t="n">
        <f aca="false">D88+ROW()/1000000</f>
        <v>2408.000088</v>
      </c>
      <c r="G88" s="98" t="n">
        <f aca="false">RANK(F88,$F$2:$F$351)</f>
        <v>124</v>
      </c>
    </row>
    <row r="89" customFormat="false" ht="15" hidden="false" customHeight="false" outlineLevel="0" collapsed="false">
      <c r="A89" s="98" t="s">
        <v>427</v>
      </c>
      <c r="B89" s="98" t="n">
        <f aca="false">COUNTIFS(d_Cust,A89,d_Year,'Customer Analytics'!$P$4,d_City,'Customer Analytics'!$Q$4,d_Cuisine,'Customer Analytics'!$R$4,d_Pay,'Customer Analytics'!$S$4,d_Type,'Customer Analytics'!$T$4)</f>
        <v>4</v>
      </c>
      <c r="C89" s="98" t="n">
        <f aca="false">COUNTIFS(d_Cust,A89,d_Status,"Delivered",d_Year,'Customer Analytics'!$P$4,d_City,'Customer Analytics'!$Q$4,d_Cuisine,'Customer Analytics'!$R$4,d_Pay,'Customer Analytics'!$S$4,d_Type,'Customer Analytics'!$T$4)</f>
        <v>2</v>
      </c>
      <c r="D89" s="99" t="n">
        <f aca="false">SUMIFS(d_Net,d_Cust,A89,d_Status,"Delivered",d_Year,'Customer Analytics'!$P$4,d_City,'Customer Analytics'!$Q$4,d_Cuisine,'Customer Analytics'!$R$4,d_Pay,'Customer Analytics'!$S$4,d_Type,'Customer Analytics'!$T$4)</f>
        <v>791</v>
      </c>
      <c r="E89" s="100" t="n">
        <f aca="false">IFERROR(AVERAGEIFS(d_CRating,d_Cust,A89,d_Year,'Customer Analytics'!$P$4,d_City,'Customer Analytics'!$Q$4,d_Cuisine,'Customer Analytics'!$R$4,d_Pay,'Customer Analytics'!$S$4,d_Type,'Customer Analytics'!$T$4),0)</f>
        <v>4.25</v>
      </c>
      <c r="F89" s="98" t="n">
        <f aca="false">D89+ROW()/1000000</f>
        <v>791.000089</v>
      </c>
      <c r="G89" s="98" t="n">
        <f aca="false">RANK(F89,$F$2:$F$351)</f>
        <v>305</v>
      </c>
    </row>
    <row r="90" customFormat="false" ht="15" hidden="false" customHeight="false" outlineLevel="0" collapsed="false">
      <c r="A90" s="98" t="s">
        <v>428</v>
      </c>
      <c r="B90" s="98" t="n">
        <f aca="false">COUNTIFS(d_Cust,A90,d_Year,'Customer Analytics'!$P$4,d_City,'Customer Analytics'!$Q$4,d_Cuisine,'Customer Analytics'!$R$4,d_Pay,'Customer Analytics'!$S$4,d_Type,'Customer Analytics'!$T$4)</f>
        <v>4</v>
      </c>
      <c r="C90" s="98" t="n">
        <f aca="false">COUNTIFS(d_Cust,A90,d_Status,"Delivered",d_Year,'Customer Analytics'!$P$4,d_City,'Customer Analytics'!$Q$4,d_Cuisine,'Customer Analytics'!$R$4,d_Pay,'Customer Analytics'!$S$4,d_Type,'Customer Analytics'!$T$4)</f>
        <v>2</v>
      </c>
      <c r="D90" s="99" t="n">
        <f aca="false">SUMIFS(d_Net,d_Cust,A90,d_Status,"Delivered",d_Year,'Customer Analytics'!$P$4,d_City,'Customer Analytics'!$Q$4,d_Cuisine,'Customer Analytics'!$R$4,d_Pay,'Customer Analytics'!$S$4,d_Type,'Customer Analytics'!$T$4)</f>
        <v>1172</v>
      </c>
      <c r="E90" s="100" t="n">
        <f aca="false">IFERROR(AVERAGEIFS(d_CRating,d_Cust,A90,d_Year,'Customer Analytics'!$P$4,d_City,'Customer Analytics'!$Q$4,d_Cuisine,'Customer Analytics'!$R$4,d_Pay,'Customer Analytics'!$S$4,d_Type,'Customer Analytics'!$T$4),0)</f>
        <v>4.25</v>
      </c>
      <c r="F90" s="98" t="n">
        <f aca="false">D90+ROW()/1000000</f>
        <v>1172.00009</v>
      </c>
      <c r="G90" s="98" t="n">
        <f aca="false">RANK(F90,$F$2:$F$351)</f>
        <v>273</v>
      </c>
    </row>
    <row r="91" customFormat="false" ht="15" hidden="false" customHeight="false" outlineLevel="0" collapsed="false">
      <c r="A91" s="98" t="s">
        <v>429</v>
      </c>
      <c r="B91" s="98" t="n">
        <f aca="false">COUNTIFS(d_Cust,A91,d_Year,'Customer Analytics'!$P$4,d_City,'Customer Analytics'!$Q$4,d_Cuisine,'Customer Analytics'!$R$4,d_Pay,'Customer Analytics'!$S$4,d_Type,'Customer Analytics'!$T$4)</f>
        <v>4</v>
      </c>
      <c r="C91" s="98" t="n">
        <f aca="false">COUNTIFS(d_Cust,A91,d_Status,"Delivered",d_Year,'Customer Analytics'!$P$4,d_City,'Customer Analytics'!$Q$4,d_Cuisine,'Customer Analytics'!$R$4,d_Pay,'Customer Analytics'!$S$4,d_Type,'Customer Analytics'!$T$4)</f>
        <v>2</v>
      </c>
      <c r="D91" s="99" t="n">
        <f aca="false">SUMIFS(d_Net,d_Cust,A91,d_Status,"Delivered",d_Year,'Customer Analytics'!$P$4,d_City,'Customer Analytics'!$Q$4,d_Cuisine,'Customer Analytics'!$R$4,d_Pay,'Customer Analytics'!$S$4,d_Type,'Customer Analytics'!$T$4)</f>
        <v>1959</v>
      </c>
      <c r="E91" s="100" t="n">
        <f aca="false">IFERROR(AVERAGEIFS(d_CRating,d_Cust,A91,d_Year,'Customer Analytics'!$P$4,d_City,'Customer Analytics'!$Q$4,d_Cuisine,'Customer Analytics'!$R$4,d_Pay,'Customer Analytics'!$S$4,d_Type,'Customer Analytics'!$T$4),0)</f>
        <v>4.25</v>
      </c>
      <c r="F91" s="98" t="n">
        <f aca="false">D91+ROW()/1000000</f>
        <v>1959.000091</v>
      </c>
      <c r="G91" s="98" t="n">
        <f aca="false">RANK(F91,$F$2:$F$351)</f>
        <v>173</v>
      </c>
    </row>
    <row r="92" customFormat="false" ht="15" hidden="false" customHeight="false" outlineLevel="0" collapsed="false">
      <c r="A92" s="98" t="s">
        <v>430</v>
      </c>
      <c r="B92" s="98" t="n">
        <f aca="false">COUNTIFS(d_Cust,A92,d_Year,'Customer Analytics'!$P$4,d_City,'Customer Analytics'!$Q$4,d_Cuisine,'Customer Analytics'!$R$4,d_Pay,'Customer Analytics'!$S$4,d_Type,'Customer Analytics'!$T$4)</f>
        <v>4</v>
      </c>
      <c r="C92" s="98" t="n">
        <f aca="false">COUNTIFS(d_Cust,A92,d_Status,"Delivered",d_Year,'Customer Analytics'!$P$4,d_City,'Customer Analytics'!$Q$4,d_Cuisine,'Customer Analytics'!$R$4,d_Pay,'Customer Analytics'!$S$4,d_Type,'Customer Analytics'!$T$4)</f>
        <v>3</v>
      </c>
      <c r="D92" s="99" t="n">
        <f aca="false">SUMIFS(d_Net,d_Cust,A92,d_Status,"Delivered",d_Year,'Customer Analytics'!$P$4,d_City,'Customer Analytics'!$Q$4,d_Cuisine,'Customer Analytics'!$R$4,d_Pay,'Customer Analytics'!$S$4,d_Type,'Customer Analytics'!$T$4)</f>
        <v>1900</v>
      </c>
      <c r="E92" s="100" t="n">
        <f aca="false">IFERROR(AVERAGEIFS(d_CRating,d_Cust,A92,d_Year,'Customer Analytics'!$P$4,d_City,'Customer Analytics'!$Q$4,d_Cuisine,'Customer Analytics'!$R$4,d_Pay,'Customer Analytics'!$S$4,d_Type,'Customer Analytics'!$T$4),0)</f>
        <v>3</v>
      </c>
      <c r="F92" s="98" t="n">
        <f aca="false">D92+ROW()/1000000</f>
        <v>1900.000092</v>
      </c>
      <c r="G92" s="98" t="n">
        <f aca="false">RANK(F92,$F$2:$F$351)</f>
        <v>178</v>
      </c>
    </row>
    <row r="93" customFormat="false" ht="15" hidden="false" customHeight="false" outlineLevel="0" collapsed="false">
      <c r="A93" s="98" t="s">
        <v>431</v>
      </c>
      <c r="B93" s="98" t="n">
        <f aca="false">COUNTIFS(d_Cust,A93,d_Year,'Customer Analytics'!$P$4,d_City,'Customer Analytics'!$Q$4,d_Cuisine,'Customer Analytics'!$R$4,d_Pay,'Customer Analytics'!$S$4,d_Type,'Customer Analytics'!$T$4)</f>
        <v>4</v>
      </c>
      <c r="C93" s="98" t="n">
        <f aca="false">COUNTIFS(d_Cust,A93,d_Status,"Delivered",d_Year,'Customer Analytics'!$P$4,d_City,'Customer Analytics'!$Q$4,d_Cuisine,'Customer Analytics'!$R$4,d_Pay,'Customer Analytics'!$S$4,d_Type,'Customer Analytics'!$T$4)</f>
        <v>3</v>
      </c>
      <c r="D93" s="99" t="n">
        <f aca="false">SUMIFS(d_Net,d_Cust,A93,d_Status,"Delivered",d_Year,'Customer Analytics'!$P$4,d_City,'Customer Analytics'!$Q$4,d_Cuisine,'Customer Analytics'!$R$4,d_Pay,'Customer Analytics'!$S$4,d_Type,'Customer Analytics'!$T$4)</f>
        <v>3894</v>
      </c>
      <c r="E93" s="100" t="n">
        <f aca="false">IFERROR(AVERAGEIFS(d_CRating,d_Cust,A93,d_Year,'Customer Analytics'!$P$4,d_City,'Customer Analytics'!$Q$4,d_Cuisine,'Customer Analytics'!$R$4,d_Pay,'Customer Analytics'!$S$4,d_Type,'Customer Analytics'!$T$4),0)</f>
        <v>4.75</v>
      </c>
      <c r="F93" s="98" t="n">
        <f aca="false">D93+ROW()/1000000</f>
        <v>3894.000093</v>
      </c>
      <c r="G93" s="98" t="n">
        <f aca="false">RANK(F93,$F$2:$F$351)</f>
        <v>10</v>
      </c>
    </row>
    <row r="94" customFormat="false" ht="15" hidden="false" customHeight="false" outlineLevel="0" collapsed="false">
      <c r="A94" s="98" t="s">
        <v>432</v>
      </c>
      <c r="B94" s="98" t="n">
        <f aca="false">COUNTIFS(d_Cust,A94,d_Year,'Customer Analytics'!$P$4,d_City,'Customer Analytics'!$Q$4,d_Cuisine,'Customer Analytics'!$R$4,d_Pay,'Customer Analytics'!$S$4,d_Type,'Customer Analytics'!$T$4)</f>
        <v>4</v>
      </c>
      <c r="C94" s="98" t="n">
        <f aca="false">COUNTIFS(d_Cust,A94,d_Status,"Delivered",d_Year,'Customer Analytics'!$P$4,d_City,'Customer Analytics'!$Q$4,d_Cuisine,'Customer Analytics'!$R$4,d_Pay,'Customer Analytics'!$S$4,d_Type,'Customer Analytics'!$T$4)</f>
        <v>2</v>
      </c>
      <c r="D94" s="99" t="n">
        <f aca="false">SUMIFS(d_Net,d_Cust,A94,d_Status,"Delivered",d_Year,'Customer Analytics'!$P$4,d_City,'Customer Analytics'!$Q$4,d_Cuisine,'Customer Analytics'!$R$4,d_Pay,'Customer Analytics'!$S$4,d_Type,'Customer Analytics'!$T$4)</f>
        <v>2887</v>
      </c>
      <c r="E94" s="100" t="n">
        <f aca="false">IFERROR(AVERAGEIFS(d_CRating,d_Cust,A94,d_Year,'Customer Analytics'!$P$4,d_City,'Customer Analytics'!$Q$4,d_Cuisine,'Customer Analytics'!$R$4,d_Pay,'Customer Analytics'!$S$4,d_Type,'Customer Analytics'!$T$4),0)</f>
        <v>4</v>
      </c>
      <c r="F94" s="98" t="n">
        <f aca="false">D94+ROW()/1000000</f>
        <v>2887.000094</v>
      </c>
      <c r="G94" s="98" t="n">
        <f aca="false">RANK(F94,$F$2:$F$351)</f>
        <v>68</v>
      </c>
    </row>
    <row r="95" customFormat="false" ht="15" hidden="false" customHeight="false" outlineLevel="0" collapsed="false">
      <c r="A95" s="98" t="s">
        <v>433</v>
      </c>
      <c r="B95" s="98" t="n">
        <f aca="false">COUNTIFS(d_Cust,A95,d_Year,'Customer Analytics'!$P$4,d_City,'Customer Analytics'!$Q$4,d_Cuisine,'Customer Analytics'!$R$4,d_Pay,'Customer Analytics'!$S$4,d_Type,'Customer Analytics'!$T$4)</f>
        <v>4</v>
      </c>
      <c r="C95" s="98" t="n">
        <f aca="false">COUNTIFS(d_Cust,A95,d_Status,"Delivered",d_Year,'Customer Analytics'!$P$4,d_City,'Customer Analytics'!$Q$4,d_Cuisine,'Customer Analytics'!$R$4,d_Pay,'Customer Analytics'!$S$4,d_Type,'Customer Analytics'!$T$4)</f>
        <v>3</v>
      </c>
      <c r="D95" s="99" t="n">
        <f aca="false">SUMIFS(d_Net,d_Cust,A95,d_Status,"Delivered",d_Year,'Customer Analytics'!$P$4,d_City,'Customer Analytics'!$Q$4,d_Cuisine,'Customer Analytics'!$R$4,d_Pay,'Customer Analytics'!$S$4,d_Type,'Customer Analytics'!$T$4)</f>
        <v>2650</v>
      </c>
      <c r="E95" s="100" t="n">
        <f aca="false">IFERROR(AVERAGEIFS(d_CRating,d_Cust,A95,d_Year,'Customer Analytics'!$P$4,d_City,'Customer Analytics'!$Q$4,d_Cuisine,'Customer Analytics'!$R$4,d_Pay,'Customer Analytics'!$S$4,d_Type,'Customer Analytics'!$T$4),0)</f>
        <v>4</v>
      </c>
      <c r="F95" s="98" t="n">
        <f aca="false">D95+ROW()/1000000</f>
        <v>2650.000095</v>
      </c>
      <c r="G95" s="98" t="n">
        <f aca="false">RANK(F95,$F$2:$F$351)</f>
        <v>96</v>
      </c>
    </row>
    <row r="96" customFormat="false" ht="15" hidden="false" customHeight="false" outlineLevel="0" collapsed="false">
      <c r="A96" s="98" t="s">
        <v>434</v>
      </c>
      <c r="B96" s="98" t="n">
        <f aca="false">COUNTIFS(d_Cust,A96,d_Year,'Customer Analytics'!$P$4,d_City,'Customer Analytics'!$Q$4,d_Cuisine,'Customer Analytics'!$R$4,d_Pay,'Customer Analytics'!$S$4,d_Type,'Customer Analytics'!$T$4)</f>
        <v>4</v>
      </c>
      <c r="C96" s="98" t="n">
        <f aca="false">COUNTIFS(d_Cust,A96,d_Status,"Delivered",d_Year,'Customer Analytics'!$P$4,d_City,'Customer Analytics'!$Q$4,d_Cuisine,'Customer Analytics'!$R$4,d_Pay,'Customer Analytics'!$S$4,d_Type,'Customer Analytics'!$T$4)</f>
        <v>2</v>
      </c>
      <c r="D96" s="99" t="n">
        <f aca="false">SUMIFS(d_Net,d_Cust,A96,d_Status,"Delivered",d_Year,'Customer Analytics'!$P$4,d_City,'Customer Analytics'!$Q$4,d_Cuisine,'Customer Analytics'!$R$4,d_Pay,'Customer Analytics'!$S$4,d_Type,'Customer Analytics'!$T$4)</f>
        <v>2105</v>
      </c>
      <c r="E96" s="100" t="n">
        <f aca="false">IFERROR(AVERAGEIFS(d_CRating,d_Cust,A96,d_Year,'Customer Analytics'!$P$4,d_City,'Customer Analytics'!$Q$4,d_Cuisine,'Customer Analytics'!$R$4,d_Pay,'Customer Analytics'!$S$4,d_Type,'Customer Analytics'!$T$4),0)</f>
        <v>3.75</v>
      </c>
      <c r="F96" s="98" t="n">
        <f aca="false">D96+ROW()/1000000</f>
        <v>2105.000096</v>
      </c>
      <c r="G96" s="98" t="n">
        <f aca="false">RANK(F96,$F$2:$F$351)</f>
        <v>154</v>
      </c>
    </row>
    <row r="97" customFormat="false" ht="15" hidden="false" customHeight="false" outlineLevel="0" collapsed="false">
      <c r="A97" s="98" t="s">
        <v>435</v>
      </c>
      <c r="B97" s="98" t="n">
        <f aca="false">COUNTIFS(d_Cust,A97,d_Year,'Customer Analytics'!$P$4,d_City,'Customer Analytics'!$Q$4,d_Cuisine,'Customer Analytics'!$R$4,d_Pay,'Customer Analytics'!$S$4,d_Type,'Customer Analytics'!$T$4)</f>
        <v>4</v>
      </c>
      <c r="C97" s="98" t="n">
        <f aca="false">COUNTIFS(d_Cust,A97,d_Status,"Delivered",d_Year,'Customer Analytics'!$P$4,d_City,'Customer Analytics'!$Q$4,d_Cuisine,'Customer Analytics'!$R$4,d_Pay,'Customer Analytics'!$S$4,d_Type,'Customer Analytics'!$T$4)</f>
        <v>3</v>
      </c>
      <c r="D97" s="99" t="n">
        <f aca="false">SUMIFS(d_Net,d_Cust,A97,d_Status,"Delivered",d_Year,'Customer Analytics'!$P$4,d_City,'Customer Analytics'!$Q$4,d_Cuisine,'Customer Analytics'!$R$4,d_Pay,'Customer Analytics'!$S$4,d_Type,'Customer Analytics'!$T$4)</f>
        <v>3521</v>
      </c>
      <c r="E97" s="100" t="n">
        <f aca="false">IFERROR(AVERAGEIFS(d_CRating,d_Cust,A97,d_Year,'Customer Analytics'!$P$4,d_City,'Customer Analytics'!$Q$4,d_Cuisine,'Customer Analytics'!$R$4,d_Pay,'Customer Analytics'!$S$4,d_Type,'Customer Analytics'!$T$4),0)</f>
        <v>4.25</v>
      </c>
      <c r="F97" s="98" t="n">
        <f aca="false">D97+ROW()/1000000</f>
        <v>3521.000097</v>
      </c>
      <c r="G97" s="98" t="n">
        <f aca="false">RANK(F97,$F$2:$F$351)</f>
        <v>25</v>
      </c>
    </row>
    <row r="98" customFormat="false" ht="15" hidden="false" customHeight="false" outlineLevel="0" collapsed="false">
      <c r="A98" s="98" t="s">
        <v>436</v>
      </c>
      <c r="B98" s="98" t="n">
        <f aca="false">COUNTIFS(d_Cust,A98,d_Year,'Customer Analytics'!$P$4,d_City,'Customer Analytics'!$Q$4,d_Cuisine,'Customer Analytics'!$R$4,d_Pay,'Customer Analytics'!$S$4,d_Type,'Customer Analytics'!$T$4)</f>
        <v>4</v>
      </c>
      <c r="C98" s="98" t="n">
        <f aca="false">COUNTIFS(d_Cust,A98,d_Status,"Delivered",d_Year,'Customer Analytics'!$P$4,d_City,'Customer Analytics'!$Q$4,d_Cuisine,'Customer Analytics'!$R$4,d_Pay,'Customer Analytics'!$S$4,d_Type,'Customer Analytics'!$T$4)</f>
        <v>4</v>
      </c>
      <c r="D98" s="99" t="n">
        <f aca="false">SUMIFS(d_Net,d_Cust,A98,d_Status,"Delivered",d_Year,'Customer Analytics'!$P$4,d_City,'Customer Analytics'!$Q$4,d_Cuisine,'Customer Analytics'!$R$4,d_Pay,'Customer Analytics'!$S$4,d_Type,'Customer Analytics'!$T$4)</f>
        <v>3021</v>
      </c>
      <c r="E98" s="100" t="n">
        <f aca="false">IFERROR(AVERAGEIFS(d_CRating,d_Cust,A98,d_Year,'Customer Analytics'!$P$4,d_City,'Customer Analytics'!$Q$4,d_Cuisine,'Customer Analytics'!$R$4,d_Pay,'Customer Analytics'!$S$4,d_Type,'Customer Analytics'!$T$4),0)</f>
        <v>3</v>
      </c>
      <c r="F98" s="98" t="n">
        <f aca="false">D98+ROW()/1000000</f>
        <v>3021.000098</v>
      </c>
      <c r="G98" s="98" t="n">
        <f aca="false">RANK(F98,$F$2:$F$351)</f>
        <v>62</v>
      </c>
    </row>
    <row r="99" customFormat="false" ht="15" hidden="false" customHeight="false" outlineLevel="0" collapsed="false">
      <c r="A99" s="98" t="s">
        <v>437</v>
      </c>
      <c r="B99" s="98" t="n">
        <f aca="false">COUNTIFS(d_Cust,A99,d_Year,'Customer Analytics'!$P$4,d_City,'Customer Analytics'!$Q$4,d_Cuisine,'Customer Analytics'!$R$4,d_Pay,'Customer Analytics'!$S$4,d_Type,'Customer Analytics'!$T$4)</f>
        <v>4</v>
      </c>
      <c r="C99" s="98" t="n">
        <f aca="false">COUNTIFS(d_Cust,A99,d_Status,"Delivered",d_Year,'Customer Analytics'!$P$4,d_City,'Customer Analytics'!$Q$4,d_Cuisine,'Customer Analytics'!$R$4,d_Pay,'Customer Analytics'!$S$4,d_Type,'Customer Analytics'!$T$4)</f>
        <v>2</v>
      </c>
      <c r="D99" s="99" t="n">
        <f aca="false">SUMIFS(d_Net,d_Cust,A99,d_Status,"Delivered",d_Year,'Customer Analytics'!$P$4,d_City,'Customer Analytics'!$Q$4,d_Cuisine,'Customer Analytics'!$R$4,d_Pay,'Customer Analytics'!$S$4,d_Type,'Customer Analytics'!$T$4)</f>
        <v>3081</v>
      </c>
      <c r="E99" s="100" t="n">
        <f aca="false">IFERROR(AVERAGEIFS(d_CRating,d_Cust,A99,d_Year,'Customer Analytics'!$P$4,d_City,'Customer Analytics'!$Q$4,d_Cuisine,'Customer Analytics'!$R$4,d_Pay,'Customer Analytics'!$S$4,d_Type,'Customer Analytics'!$T$4),0)</f>
        <v>3.5</v>
      </c>
      <c r="F99" s="98" t="n">
        <f aca="false">D99+ROW()/1000000</f>
        <v>3081.000099</v>
      </c>
      <c r="G99" s="98" t="n">
        <f aca="false">RANK(F99,$F$2:$F$351)</f>
        <v>54</v>
      </c>
    </row>
    <row r="100" customFormat="false" ht="15" hidden="false" customHeight="false" outlineLevel="0" collapsed="false">
      <c r="A100" s="98" t="s">
        <v>438</v>
      </c>
      <c r="B100" s="98" t="n">
        <f aca="false">COUNTIFS(d_Cust,A100,d_Year,'Customer Analytics'!$P$4,d_City,'Customer Analytics'!$Q$4,d_Cuisine,'Customer Analytics'!$R$4,d_Pay,'Customer Analytics'!$S$4,d_Type,'Customer Analytics'!$T$4)</f>
        <v>4</v>
      </c>
      <c r="C100" s="98" t="n">
        <f aca="false">COUNTIFS(d_Cust,A100,d_Status,"Delivered",d_Year,'Customer Analytics'!$P$4,d_City,'Customer Analytics'!$Q$4,d_Cuisine,'Customer Analytics'!$R$4,d_Pay,'Customer Analytics'!$S$4,d_Type,'Customer Analytics'!$T$4)</f>
        <v>3</v>
      </c>
      <c r="D100" s="99" t="n">
        <f aca="false">SUMIFS(d_Net,d_Cust,A100,d_Status,"Delivered",d_Year,'Customer Analytics'!$P$4,d_City,'Customer Analytics'!$Q$4,d_Cuisine,'Customer Analytics'!$R$4,d_Pay,'Customer Analytics'!$S$4,d_Type,'Customer Analytics'!$T$4)</f>
        <v>2500</v>
      </c>
      <c r="E100" s="100" t="n">
        <f aca="false">IFERROR(AVERAGEIFS(d_CRating,d_Cust,A100,d_Year,'Customer Analytics'!$P$4,d_City,'Customer Analytics'!$Q$4,d_Cuisine,'Customer Analytics'!$R$4,d_Pay,'Customer Analytics'!$S$4,d_Type,'Customer Analytics'!$T$4),0)</f>
        <v>2.75</v>
      </c>
      <c r="F100" s="98" t="n">
        <f aca="false">D100+ROW()/1000000</f>
        <v>2500.0001</v>
      </c>
      <c r="G100" s="98" t="n">
        <f aca="false">RANK(F100,$F$2:$F$351)</f>
        <v>114</v>
      </c>
    </row>
    <row r="101" customFormat="false" ht="15" hidden="false" customHeight="false" outlineLevel="0" collapsed="false">
      <c r="A101" s="98" t="s">
        <v>439</v>
      </c>
      <c r="B101" s="98" t="n">
        <f aca="false">COUNTIFS(d_Cust,A101,d_Year,'Customer Analytics'!$P$4,d_City,'Customer Analytics'!$Q$4,d_Cuisine,'Customer Analytics'!$R$4,d_Pay,'Customer Analytics'!$S$4,d_Type,'Customer Analytics'!$T$4)</f>
        <v>4</v>
      </c>
      <c r="C101" s="98" t="n">
        <f aca="false">COUNTIFS(d_Cust,A101,d_Status,"Delivered",d_Year,'Customer Analytics'!$P$4,d_City,'Customer Analytics'!$Q$4,d_Cuisine,'Customer Analytics'!$R$4,d_Pay,'Customer Analytics'!$S$4,d_Type,'Customer Analytics'!$T$4)</f>
        <v>0</v>
      </c>
      <c r="D101" s="99" t="n">
        <f aca="false">SUMIFS(d_Net,d_Cust,A101,d_Status,"Delivered",d_Year,'Customer Analytics'!$P$4,d_City,'Customer Analytics'!$Q$4,d_Cuisine,'Customer Analytics'!$R$4,d_Pay,'Customer Analytics'!$S$4,d_Type,'Customer Analytics'!$T$4)</f>
        <v>0</v>
      </c>
      <c r="E101" s="100" t="n">
        <f aca="false">IFERROR(AVERAGEIFS(d_CRating,d_Cust,A101,d_Year,'Customer Analytics'!$P$4,d_City,'Customer Analytics'!$Q$4,d_Cuisine,'Customer Analytics'!$R$4,d_Pay,'Customer Analytics'!$S$4,d_Type,'Customer Analytics'!$T$4),0)</f>
        <v>4.5</v>
      </c>
      <c r="F101" s="98" t="n">
        <f aca="false">D101+ROW()/1000000</f>
        <v>0.000101</v>
      </c>
      <c r="G101" s="98" t="n">
        <f aca="false">RANK(F101,$F$2:$F$351)</f>
        <v>350</v>
      </c>
    </row>
    <row r="102" customFormat="false" ht="15" hidden="false" customHeight="false" outlineLevel="0" collapsed="false">
      <c r="A102" s="98" t="s">
        <v>440</v>
      </c>
      <c r="B102" s="98" t="n">
        <f aca="false">COUNTIFS(d_Cust,A102,d_Year,'Customer Analytics'!$P$4,d_City,'Customer Analytics'!$Q$4,d_Cuisine,'Customer Analytics'!$R$4,d_Pay,'Customer Analytics'!$S$4,d_Type,'Customer Analytics'!$T$4)</f>
        <v>4</v>
      </c>
      <c r="C102" s="98" t="n">
        <f aca="false">COUNTIFS(d_Cust,A102,d_Status,"Delivered",d_Year,'Customer Analytics'!$P$4,d_City,'Customer Analytics'!$Q$4,d_Cuisine,'Customer Analytics'!$R$4,d_Pay,'Customer Analytics'!$S$4,d_Type,'Customer Analytics'!$T$4)</f>
        <v>4</v>
      </c>
      <c r="D102" s="99" t="n">
        <f aca="false">SUMIFS(d_Net,d_Cust,A102,d_Status,"Delivered",d_Year,'Customer Analytics'!$P$4,d_City,'Customer Analytics'!$Q$4,d_Cuisine,'Customer Analytics'!$R$4,d_Pay,'Customer Analytics'!$S$4,d_Type,'Customer Analytics'!$T$4)</f>
        <v>2914</v>
      </c>
      <c r="E102" s="100" t="n">
        <f aca="false">IFERROR(AVERAGEIFS(d_CRating,d_Cust,A102,d_Year,'Customer Analytics'!$P$4,d_City,'Customer Analytics'!$Q$4,d_Cuisine,'Customer Analytics'!$R$4,d_Pay,'Customer Analytics'!$S$4,d_Type,'Customer Analytics'!$T$4),0)</f>
        <v>4.25</v>
      </c>
      <c r="F102" s="98" t="n">
        <f aca="false">D102+ROW()/1000000</f>
        <v>2914.000102</v>
      </c>
      <c r="G102" s="98" t="n">
        <f aca="false">RANK(F102,$F$2:$F$351)</f>
        <v>67</v>
      </c>
    </row>
    <row r="103" customFormat="false" ht="15" hidden="false" customHeight="false" outlineLevel="0" collapsed="false">
      <c r="A103" s="98" t="s">
        <v>441</v>
      </c>
      <c r="B103" s="98" t="n">
        <f aca="false">COUNTIFS(d_Cust,A103,d_Year,'Customer Analytics'!$P$4,d_City,'Customer Analytics'!$Q$4,d_Cuisine,'Customer Analytics'!$R$4,d_Pay,'Customer Analytics'!$S$4,d_Type,'Customer Analytics'!$T$4)</f>
        <v>4</v>
      </c>
      <c r="C103" s="98" t="n">
        <f aca="false">COUNTIFS(d_Cust,A103,d_Status,"Delivered",d_Year,'Customer Analytics'!$P$4,d_City,'Customer Analytics'!$Q$4,d_Cuisine,'Customer Analytics'!$R$4,d_Pay,'Customer Analytics'!$S$4,d_Type,'Customer Analytics'!$T$4)</f>
        <v>2</v>
      </c>
      <c r="D103" s="99" t="n">
        <f aca="false">SUMIFS(d_Net,d_Cust,A103,d_Status,"Delivered",d_Year,'Customer Analytics'!$P$4,d_City,'Customer Analytics'!$Q$4,d_Cuisine,'Customer Analytics'!$R$4,d_Pay,'Customer Analytics'!$S$4,d_Type,'Customer Analytics'!$T$4)</f>
        <v>2215</v>
      </c>
      <c r="E103" s="100" t="n">
        <f aca="false">IFERROR(AVERAGEIFS(d_CRating,d_Cust,A103,d_Year,'Customer Analytics'!$P$4,d_City,'Customer Analytics'!$Q$4,d_Cuisine,'Customer Analytics'!$R$4,d_Pay,'Customer Analytics'!$S$4,d_Type,'Customer Analytics'!$T$4),0)</f>
        <v>4</v>
      </c>
      <c r="F103" s="98" t="n">
        <f aca="false">D103+ROW()/1000000</f>
        <v>2215.000103</v>
      </c>
      <c r="G103" s="98" t="n">
        <f aca="false">RANK(F103,$F$2:$F$351)</f>
        <v>142</v>
      </c>
    </row>
    <row r="104" customFormat="false" ht="15" hidden="false" customHeight="false" outlineLevel="0" collapsed="false">
      <c r="A104" s="98" t="s">
        <v>442</v>
      </c>
      <c r="B104" s="98" t="n">
        <f aca="false">COUNTIFS(d_Cust,A104,d_Year,'Customer Analytics'!$P$4,d_City,'Customer Analytics'!$Q$4,d_Cuisine,'Customer Analytics'!$R$4,d_Pay,'Customer Analytics'!$S$4,d_Type,'Customer Analytics'!$T$4)</f>
        <v>4</v>
      </c>
      <c r="C104" s="98" t="n">
        <f aca="false">COUNTIFS(d_Cust,A104,d_Status,"Delivered",d_Year,'Customer Analytics'!$P$4,d_City,'Customer Analytics'!$Q$4,d_Cuisine,'Customer Analytics'!$R$4,d_Pay,'Customer Analytics'!$S$4,d_Type,'Customer Analytics'!$T$4)</f>
        <v>3</v>
      </c>
      <c r="D104" s="99" t="n">
        <f aca="false">SUMIFS(d_Net,d_Cust,A104,d_Status,"Delivered",d_Year,'Customer Analytics'!$P$4,d_City,'Customer Analytics'!$Q$4,d_Cuisine,'Customer Analytics'!$R$4,d_Pay,'Customer Analytics'!$S$4,d_Type,'Customer Analytics'!$T$4)</f>
        <v>3490</v>
      </c>
      <c r="E104" s="100" t="n">
        <f aca="false">IFERROR(AVERAGEIFS(d_CRating,d_Cust,A104,d_Year,'Customer Analytics'!$P$4,d_City,'Customer Analytics'!$Q$4,d_Cuisine,'Customer Analytics'!$R$4,d_Pay,'Customer Analytics'!$S$4,d_Type,'Customer Analytics'!$T$4),0)</f>
        <v>2.75</v>
      </c>
      <c r="F104" s="98" t="n">
        <f aca="false">D104+ROW()/1000000</f>
        <v>3490.000104</v>
      </c>
      <c r="G104" s="98" t="n">
        <f aca="false">RANK(F104,$F$2:$F$351)</f>
        <v>29</v>
      </c>
    </row>
    <row r="105" customFormat="false" ht="15" hidden="false" customHeight="false" outlineLevel="0" collapsed="false">
      <c r="A105" s="98" t="s">
        <v>443</v>
      </c>
      <c r="B105" s="98" t="n">
        <f aca="false">COUNTIFS(d_Cust,A105,d_Year,'Customer Analytics'!$P$4,d_City,'Customer Analytics'!$Q$4,d_Cuisine,'Customer Analytics'!$R$4,d_Pay,'Customer Analytics'!$S$4,d_Type,'Customer Analytics'!$T$4)</f>
        <v>4</v>
      </c>
      <c r="C105" s="98" t="n">
        <f aca="false">COUNTIFS(d_Cust,A105,d_Status,"Delivered",d_Year,'Customer Analytics'!$P$4,d_City,'Customer Analytics'!$Q$4,d_Cuisine,'Customer Analytics'!$R$4,d_Pay,'Customer Analytics'!$S$4,d_Type,'Customer Analytics'!$T$4)</f>
        <v>2</v>
      </c>
      <c r="D105" s="99" t="n">
        <f aca="false">SUMIFS(d_Net,d_Cust,A105,d_Status,"Delivered",d_Year,'Customer Analytics'!$P$4,d_City,'Customer Analytics'!$Q$4,d_Cuisine,'Customer Analytics'!$R$4,d_Pay,'Customer Analytics'!$S$4,d_Type,'Customer Analytics'!$T$4)</f>
        <v>3319</v>
      </c>
      <c r="E105" s="100" t="n">
        <f aca="false">IFERROR(AVERAGEIFS(d_CRating,d_Cust,A105,d_Year,'Customer Analytics'!$P$4,d_City,'Customer Analytics'!$Q$4,d_Cuisine,'Customer Analytics'!$R$4,d_Pay,'Customer Analytics'!$S$4,d_Type,'Customer Analytics'!$T$4),0)</f>
        <v>5</v>
      </c>
      <c r="F105" s="98" t="n">
        <f aca="false">D105+ROW()/1000000</f>
        <v>3319.000105</v>
      </c>
      <c r="G105" s="98" t="n">
        <f aca="false">RANK(F105,$F$2:$F$351)</f>
        <v>41</v>
      </c>
    </row>
    <row r="106" customFormat="false" ht="15" hidden="false" customHeight="false" outlineLevel="0" collapsed="false">
      <c r="A106" s="98" t="s">
        <v>444</v>
      </c>
      <c r="B106" s="98" t="n">
        <f aca="false">COUNTIFS(d_Cust,A106,d_Year,'Customer Analytics'!$P$4,d_City,'Customer Analytics'!$Q$4,d_Cuisine,'Customer Analytics'!$R$4,d_Pay,'Customer Analytics'!$S$4,d_Type,'Customer Analytics'!$T$4)</f>
        <v>4</v>
      </c>
      <c r="C106" s="98" t="n">
        <f aca="false">COUNTIFS(d_Cust,A106,d_Status,"Delivered",d_Year,'Customer Analytics'!$P$4,d_City,'Customer Analytics'!$Q$4,d_Cuisine,'Customer Analytics'!$R$4,d_Pay,'Customer Analytics'!$S$4,d_Type,'Customer Analytics'!$T$4)</f>
        <v>2</v>
      </c>
      <c r="D106" s="99" t="n">
        <f aca="false">SUMIFS(d_Net,d_Cust,A106,d_Status,"Delivered",d_Year,'Customer Analytics'!$P$4,d_City,'Customer Analytics'!$Q$4,d_Cuisine,'Customer Analytics'!$R$4,d_Pay,'Customer Analytics'!$S$4,d_Type,'Customer Analytics'!$T$4)</f>
        <v>2865</v>
      </c>
      <c r="E106" s="100" t="n">
        <f aca="false">IFERROR(AVERAGEIFS(d_CRating,d_Cust,A106,d_Year,'Customer Analytics'!$P$4,d_City,'Customer Analytics'!$Q$4,d_Cuisine,'Customer Analytics'!$R$4,d_Pay,'Customer Analytics'!$S$4,d_Type,'Customer Analytics'!$T$4),0)</f>
        <v>5</v>
      </c>
      <c r="F106" s="98" t="n">
        <f aca="false">D106+ROW()/1000000</f>
        <v>2865.000106</v>
      </c>
      <c r="G106" s="98" t="n">
        <f aca="false">RANK(F106,$F$2:$F$351)</f>
        <v>70</v>
      </c>
    </row>
    <row r="107" customFormat="false" ht="15" hidden="false" customHeight="false" outlineLevel="0" collapsed="false">
      <c r="A107" s="98" t="s">
        <v>445</v>
      </c>
      <c r="B107" s="98" t="n">
        <f aca="false">COUNTIFS(d_Cust,A107,d_Year,'Customer Analytics'!$P$4,d_City,'Customer Analytics'!$Q$4,d_Cuisine,'Customer Analytics'!$R$4,d_Pay,'Customer Analytics'!$S$4,d_Type,'Customer Analytics'!$T$4)</f>
        <v>4</v>
      </c>
      <c r="C107" s="98" t="n">
        <f aca="false">COUNTIFS(d_Cust,A107,d_Status,"Delivered",d_Year,'Customer Analytics'!$P$4,d_City,'Customer Analytics'!$Q$4,d_Cuisine,'Customer Analytics'!$R$4,d_Pay,'Customer Analytics'!$S$4,d_Type,'Customer Analytics'!$T$4)</f>
        <v>4</v>
      </c>
      <c r="D107" s="99" t="n">
        <f aca="false">SUMIFS(d_Net,d_Cust,A107,d_Status,"Delivered",d_Year,'Customer Analytics'!$P$4,d_City,'Customer Analytics'!$Q$4,d_Cuisine,'Customer Analytics'!$R$4,d_Pay,'Customer Analytics'!$S$4,d_Type,'Customer Analytics'!$T$4)</f>
        <v>3141</v>
      </c>
      <c r="E107" s="100" t="n">
        <f aca="false">IFERROR(AVERAGEIFS(d_CRating,d_Cust,A107,d_Year,'Customer Analytics'!$P$4,d_City,'Customer Analytics'!$Q$4,d_Cuisine,'Customer Analytics'!$R$4,d_Pay,'Customer Analytics'!$S$4,d_Type,'Customer Analytics'!$T$4),0)</f>
        <v>3.75</v>
      </c>
      <c r="F107" s="98" t="n">
        <f aca="false">D107+ROW()/1000000</f>
        <v>3141.000107</v>
      </c>
      <c r="G107" s="98" t="n">
        <f aca="false">RANK(F107,$F$2:$F$351)</f>
        <v>51</v>
      </c>
    </row>
    <row r="108" customFormat="false" ht="15" hidden="false" customHeight="false" outlineLevel="0" collapsed="false">
      <c r="A108" s="98" t="s">
        <v>446</v>
      </c>
      <c r="B108" s="98" t="n">
        <f aca="false">COUNTIFS(d_Cust,A108,d_Year,'Customer Analytics'!$P$4,d_City,'Customer Analytics'!$Q$4,d_Cuisine,'Customer Analytics'!$R$4,d_Pay,'Customer Analytics'!$S$4,d_Type,'Customer Analytics'!$T$4)</f>
        <v>4</v>
      </c>
      <c r="C108" s="98" t="n">
        <f aca="false">COUNTIFS(d_Cust,A108,d_Status,"Delivered",d_Year,'Customer Analytics'!$P$4,d_City,'Customer Analytics'!$Q$4,d_Cuisine,'Customer Analytics'!$R$4,d_Pay,'Customer Analytics'!$S$4,d_Type,'Customer Analytics'!$T$4)</f>
        <v>3</v>
      </c>
      <c r="D108" s="99" t="n">
        <f aca="false">SUMIFS(d_Net,d_Cust,A108,d_Status,"Delivered",d_Year,'Customer Analytics'!$P$4,d_City,'Customer Analytics'!$Q$4,d_Cuisine,'Customer Analytics'!$R$4,d_Pay,'Customer Analytics'!$S$4,d_Type,'Customer Analytics'!$T$4)</f>
        <v>2850</v>
      </c>
      <c r="E108" s="100" t="n">
        <f aca="false">IFERROR(AVERAGEIFS(d_CRating,d_Cust,A108,d_Year,'Customer Analytics'!$P$4,d_City,'Customer Analytics'!$Q$4,d_Cuisine,'Customer Analytics'!$R$4,d_Pay,'Customer Analytics'!$S$4,d_Type,'Customer Analytics'!$T$4),0)</f>
        <v>4.75</v>
      </c>
      <c r="F108" s="98" t="n">
        <f aca="false">D108+ROW()/1000000</f>
        <v>2850.000108</v>
      </c>
      <c r="G108" s="98" t="n">
        <f aca="false">RANK(F108,$F$2:$F$351)</f>
        <v>71</v>
      </c>
    </row>
    <row r="109" customFormat="false" ht="15" hidden="false" customHeight="false" outlineLevel="0" collapsed="false">
      <c r="A109" s="98" t="s">
        <v>447</v>
      </c>
      <c r="B109" s="98" t="n">
        <f aca="false">COUNTIFS(d_Cust,A109,d_Year,'Customer Analytics'!$P$4,d_City,'Customer Analytics'!$Q$4,d_Cuisine,'Customer Analytics'!$R$4,d_Pay,'Customer Analytics'!$S$4,d_Type,'Customer Analytics'!$T$4)</f>
        <v>4</v>
      </c>
      <c r="C109" s="98" t="n">
        <f aca="false">COUNTIFS(d_Cust,A109,d_Status,"Delivered",d_Year,'Customer Analytics'!$P$4,d_City,'Customer Analytics'!$Q$4,d_Cuisine,'Customer Analytics'!$R$4,d_Pay,'Customer Analytics'!$S$4,d_Type,'Customer Analytics'!$T$4)</f>
        <v>3</v>
      </c>
      <c r="D109" s="99" t="n">
        <f aca="false">SUMIFS(d_Net,d_Cust,A109,d_Status,"Delivered",d_Year,'Customer Analytics'!$P$4,d_City,'Customer Analytics'!$Q$4,d_Cuisine,'Customer Analytics'!$R$4,d_Pay,'Customer Analytics'!$S$4,d_Type,'Customer Analytics'!$T$4)</f>
        <v>2128</v>
      </c>
      <c r="E109" s="100" t="n">
        <f aca="false">IFERROR(AVERAGEIFS(d_CRating,d_Cust,A109,d_Year,'Customer Analytics'!$P$4,d_City,'Customer Analytics'!$Q$4,d_Cuisine,'Customer Analytics'!$R$4,d_Pay,'Customer Analytics'!$S$4,d_Type,'Customer Analytics'!$T$4),0)</f>
        <v>3.75</v>
      </c>
      <c r="F109" s="98" t="n">
        <f aca="false">D109+ROW()/1000000</f>
        <v>2128.000109</v>
      </c>
      <c r="G109" s="98" t="n">
        <f aca="false">RANK(F109,$F$2:$F$351)</f>
        <v>148</v>
      </c>
    </row>
    <row r="110" customFormat="false" ht="15" hidden="false" customHeight="false" outlineLevel="0" collapsed="false">
      <c r="A110" s="98" t="s">
        <v>448</v>
      </c>
      <c r="B110" s="98" t="n">
        <f aca="false">COUNTIFS(d_Cust,A110,d_Year,'Customer Analytics'!$P$4,d_City,'Customer Analytics'!$Q$4,d_Cuisine,'Customer Analytics'!$R$4,d_Pay,'Customer Analytics'!$S$4,d_Type,'Customer Analytics'!$T$4)</f>
        <v>4</v>
      </c>
      <c r="C110" s="98" t="n">
        <f aca="false">COUNTIFS(d_Cust,A110,d_Status,"Delivered",d_Year,'Customer Analytics'!$P$4,d_City,'Customer Analytics'!$Q$4,d_Cuisine,'Customer Analytics'!$R$4,d_Pay,'Customer Analytics'!$S$4,d_Type,'Customer Analytics'!$T$4)</f>
        <v>2</v>
      </c>
      <c r="D110" s="99" t="n">
        <f aca="false">SUMIFS(d_Net,d_Cust,A110,d_Status,"Delivered",d_Year,'Customer Analytics'!$P$4,d_City,'Customer Analytics'!$Q$4,d_Cuisine,'Customer Analytics'!$R$4,d_Pay,'Customer Analytics'!$S$4,d_Type,'Customer Analytics'!$T$4)</f>
        <v>2098</v>
      </c>
      <c r="E110" s="100" t="n">
        <f aca="false">IFERROR(AVERAGEIFS(d_CRating,d_Cust,A110,d_Year,'Customer Analytics'!$P$4,d_City,'Customer Analytics'!$Q$4,d_Cuisine,'Customer Analytics'!$R$4,d_Pay,'Customer Analytics'!$S$4,d_Type,'Customer Analytics'!$T$4),0)</f>
        <v>4.5</v>
      </c>
      <c r="F110" s="98" t="n">
        <f aca="false">D110+ROW()/1000000</f>
        <v>2098.00011</v>
      </c>
      <c r="G110" s="98" t="n">
        <f aca="false">RANK(F110,$F$2:$F$351)</f>
        <v>156</v>
      </c>
    </row>
    <row r="111" customFormat="false" ht="15" hidden="false" customHeight="false" outlineLevel="0" collapsed="false">
      <c r="A111" s="98" t="s">
        <v>449</v>
      </c>
      <c r="B111" s="98" t="n">
        <f aca="false">COUNTIFS(d_Cust,A111,d_Year,'Customer Analytics'!$P$4,d_City,'Customer Analytics'!$Q$4,d_Cuisine,'Customer Analytics'!$R$4,d_Pay,'Customer Analytics'!$S$4,d_Type,'Customer Analytics'!$T$4)</f>
        <v>4</v>
      </c>
      <c r="C111" s="98" t="n">
        <f aca="false">COUNTIFS(d_Cust,A111,d_Status,"Delivered",d_Year,'Customer Analytics'!$P$4,d_City,'Customer Analytics'!$Q$4,d_Cuisine,'Customer Analytics'!$R$4,d_Pay,'Customer Analytics'!$S$4,d_Type,'Customer Analytics'!$T$4)</f>
        <v>3</v>
      </c>
      <c r="D111" s="99" t="n">
        <f aca="false">SUMIFS(d_Net,d_Cust,A111,d_Status,"Delivered",d_Year,'Customer Analytics'!$P$4,d_City,'Customer Analytics'!$Q$4,d_Cuisine,'Customer Analytics'!$R$4,d_Pay,'Customer Analytics'!$S$4,d_Type,'Customer Analytics'!$T$4)</f>
        <v>3172</v>
      </c>
      <c r="E111" s="100" t="n">
        <f aca="false">IFERROR(AVERAGEIFS(d_CRating,d_Cust,A111,d_Year,'Customer Analytics'!$P$4,d_City,'Customer Analytics'!$Q$4,d_Cuisine,'Customer Analytics'!$R$4,d_Pay,'Customer Analytics'!$S$4,d_Type,'Customer Analytics'!$T$4),0)</f>
        <v>4.75</v>
      </c>
      <c r="F111" s="98" t="n">
        <f aca="false">D111+ROW()/1000000</f>
        <v>3172.000111</v>
      </c>
      <c r="G111" s="98" t="n">
        <f aca="false">RANK(F111,$F$2:$F$351)</f>
        <v>46</v>
      </c>
    </row>
    <row r="112" customFormat="false" ht="15" hidden="false" customHeight="false" outlineLevel="0" collapsed="false">
      <c r="A112" s="98" t="s">
        <v>450</v>
      </c>
      <c r="B112" s="98" t="n">
        <f aca="false">COUNTIFS(d_Cust,A112,d_Year,'Customer Analytics'!$P$4,d_City,'Customer Analytics'!$Q$4,d_Cuisine,'Customer Analytics'!$R$4,d_Pay,'Customer Analytics'!$S$4,d_Type,'Customer Analytics'!$T$4)</f>
        <v>4</v>
      </c>
      <c r="C112" s="98" t="n">
        <f aca="false">COUNTIFS(d_Cust,A112,d_Status,"Delivered",d_Year,'Customer Analytics'!$P$4,d_City,'Customer Analytics'!$Q$4,d_Cuisine,'Customer Analytics'!$R$4,d_Pay,'Customer Analytics'!$S$4,d_Type,'Customer Analytics'!$T$4)</f>
        <v>3</v>
      </c>
      <c r="D112" s="99" t="n">
        <f aca="false">SUMIFS(d_Net,d_Cust,A112,d_Status,"Delivered",d_Year,'Customer Analytics'!$P$4,d_City,'Customer Analytics'!$Q$4,d_Cuisine,'Customer Analytics'!$R$4,d_Pay,'Customer Analytics'!$S$4,d_Type,'Customer Analytics'!$T$4)</f>
        <v>4505</v>
      </c>
      <c r="E112" s="100" t="n">
        <f aca="false">IFERROR(AVERAGEIFS(d_CRating,d_Cust,A112,d_Year,'Customer Analytics'!$P$4,d_City,'Customer Analytics'!$Q$4,d_Cuisine,'Customer Analytics'!$R$4,d_Pay,'Customer Analytics'!$S$4,d_Type,'Customer Analytics'!$T$4),0)</f>
        <v>5</v>
      </c>
      <c r="F112" s="98" t="n">
        <f aca="false">D112+ROW()/1000000</f>
        <v>4505.000112</v>
      </c>
      <c r="G112" s="98" t="n">
        <f aca="false">RANK(F112,$F$2:$F$351)</f>
        <v>7</v>
      </c>
    </row>
    <row r="113" customFormat="false" ht="15" hidden="false" customHeight="false" outlineLevel="0" collapsed="false">
      <c r="A113" s="98" t="s">
        <v>451</v>
      </c>
      <c r="B113" s="98" t="n">
        <f aca="false">COUNTIFS(d_Cust,A113,d_Year,'Customer Analytics'!$P$4,d_City,'Customer Analytics'!$Q$4,d_Cuisine,'Customer Analytics'!$R$4,d_Pay,'Customer Analytics'!$S$4,d_Type,'Customer Analytics'!$T$4)</f>
        <v>4</v>
      </c>
      <c r="C113" s="98" t="n">
        <f aca="false">COUNTIFS(d_Cust,A113,d_Status,"Delivered",d_Year,'Customer Analytics'!$P$4,d_City,'Customer Analytics'!$Q$4,d_Cuisine,'Customer Analytics'!$R$4,d_Pay,'Customer Analytics'!$S$4,d_Type,'Customer Analytics'!$T$4)</f>
        <v>3</v>
      </c>
      <c r="D113" s="99" t="n">
        <f aca="false">SUMIFS(d_Net,d_Cust,A113,d_Status,"Delivered",d_Year,'Customer Analytics'!$P$4,d_City,'Customer Analytics'!$Q$4,d_Cuisine,'Customer Analytics'!$R$4,d_Pay,'Customer Analytics'!$S$4,d_Type,'Customer Analytics'!$T$4)</f>
        <v>2109</v>
      </c>
      <c r="E113" s="100" t="n">
        <f aca="false">IFERROR(AVERAGEIFS(d_CRating,d_Cust,A113,d_Year,'Customer Analytics'!$P$4,d_City,'Customer Analytics'!$Q$4,d_Cuisine,'Customer Analytics'!$R$4,d_Pay,'Customer Analytics'!$S$4,d_Type,'Customer Analytics'!$T$4),0)</f>
        <v>5</v>
      </c>
      <c r="F113" s="98" t="n">
        <f aca="false">D113+ROW()/1000000</f>
        <v>2109.000113</v>
      </c>
      <c r="G113" s="98" t="n">
        <f aca="false">RANK(F113,$F$2:$F$351)</f>
        <v>153</v>
      </c>
    </row>
    <row r="114" customFormat="false" ht="15" hidden="false" customHeight="false" outlineLevel="0" collapsed="false">
      <c r="A114" s="98" t="s">
        <v>452</v>
      </c>
      <c r="B114" s="98" t="n">
        <f aca="false">COUNTIFS(d_Cust,A114,d_Year,'Customer Analytics'!$P$4,d_City,'Customer Analytics'!$Q$4,d_Cuisine,'Customer Analytics'!$R$4,d_Pay,'Customer Analytics'!$S$4,d_Type,'Customer Analytics'!$T$4)</f>
        <v>4</v>
      </c>
      <c r="C114" s="98" t="n">
        <f aca="false">COUNTIFS(d_Cust,A114,d_Status,"Delivered",d_Year,'Customer Analytics'!$P$4,d_City,'Customer Analytics'!$Q$4,d_Cuisine,'Customer Analytics'!$R$4,d_Pay,'Customer Analytics'!$S$4,d_Type,'Customer Analytics'!$T$4)</f>
        <v>4</v>
      </c>
      <c r="D114" s="99" t="n">
        <f aca="false">SUMIFS(d_Net,d_Cust,A114,d_Status,"Delivered",d_Year,'Customer Analytics'!$P$4,d_City,'Customer Analytics'!$Q$4,d_Cuisine,'Customer Analytics'!$R$4,d_Pay,'Customer Analytics'!$S$4,d_Type,'Customer Analytics'!$T$4)</f>
        <v>3566</v>
      </c>
      <c r="E114" s="100" t="n">
        <f aca="false">IFERROR(AVERAGEIFS(d_CRating,d_Cust,A114,d_Year,'Customer Analytics'!$P$4,d_City,'Customer Analytics'!$Q$4,d_Cuisine,'Customer Analytics'!$R$4,d_Pay,'Customer Analytics'!$S$4,d_Type,'Customer Analytics'!$T$4),0)</f>
        <v>4.5</v>
      </c>
      <c r="F114" s="98" t="n">
        <f aca="false">D114+ROW()/1000000</f>
        <v>3566.000114</v>
      </c>
      <c r="G114" s="98" t="n">
        <f aca="false">RANK(F114,$F$2:$F$351)</f>
        <v>23</v>
      </c>
    </row>
    <row r="115" customFormat="false" ht="15" hidden="false" customHeight="false" outlineLevel="0" collapsed="false">
      <c r="A115" s="98" t="s">
        <v>453</v>
      </c>
      <c r="B115" s="98" t="n">
        <f aca="false">COUNTIFS(d_Cust,A115,d_Year,'Customer Analytics'!$P$4,d_City,'Customer Analytics'!$Q$4,d_Cuisine,'Customer Analytics'!$R$4,d_Pay,'Customer Analytics'!$S$4,d_Type,'Customer Analytics'!$T$4)</f>
        <v>4</v>
      </c>
      <c r="C115" s="98" t="n">
        <f aca="false">COUNTIFS(d_Cust,A115,d_Status,"Delivered",d_Year,'Customer Analytics'!$P$4,d_City,'Customer Analytics'!$Q$4,d_Cuisine,'Customer Analytics'!$R$4,d_Pay,'Customer Analytics'!$S$4,d_Type,'Customer Analytics'!$T$4)</f>
        <v>1</v>
      </c>
      <c r="D115" s="99" t="n">
        <f aca="false">SUMIFS(d_Net,d_Cust,A115,d_Status,"Delivered",d_Year,'Customer Analytics'!$P$4,d_City,'Customer Analytics'!$Q$4,d_Cuisine,'Customer Analytics'!$R$4,d_Pay,'Customer Analytics'!$S$4,d_Type,'Customer Analytics'!$T$4)</f>
        <v>979</v>
      </c>
      <c r="E115" s="100" t="n">
        <f aca="false">IFERROR(AVERAGEIFS(d_CRating,d_Cust,A115,d_Year,'Customer Analytics'!$P$4,d_City,'Customer Analytics'!$Q$4,d_Cuisine,'Customer Analytics'!$R$4,d_Pay,'Customer Analytics'!$S$4,d_Type,'Customer Analytics'!$T$4),0)</f>
        <v>5</v>
      </c>
      <c r="F115" s="98" t="n">
        <f aca="false">D115+ROW()/1000000</f>
        <v>979.000115</v>
      </c>
      <c r="G115" s="98" t="n">
        <f aca="false">RANK(F115,$F$2:$F$351)</f>
        <v>282</v>
      </c>
    </row>
    <row r="116" customFormat="false" ht="15" hidden="false" customHeight="false" outlineLevel="0" collapsed="false">
      <c r="A116" s="98" t="s">
        <v>454</v>
      </c>
      <c r="B116" s="98" t="n">
        <f aca="false">COUNTIFS(d_Cust,A116,d_Year,'Customer Analytics'!$P$4,d_City,'Customer Analytics'!$Q$4,d_Cuisine,'Customer Analytics'!$R$4,d_Pay,'Customer Analytics'!$S$4,d_Type,'Customer Analytics'!$T$4)</f>
        <v>4</v>
      </c>
      <c r="C116" s="98" t="n">
        <f aca="false">COUNTIFS(d_Cust,A116,d_Status,"Delivered",d_Year,'Customer Analytics'!$P$4,d_City,'Customer Analytics'!$Q$4,d_Cuisine,'Customer Analytics'!$R$4,d_Pay,'Customer Analytics'!$S$4,d_Type,'Customer Analytics'!$T$4)</f>
        <v>1</v>
      </c>
      <c r="D116" s="99" t="n">
        <f aca="false">SUMIFS(d_Net,d_Cust,A116,d_Status,"Delivered",d_Year,'Customer Analytics'!$P$4,d_City,'Customer Analytics'!$Q$4,d_Cuisine,'Customer Analytics'!$R$4,d_Pay,'Customer Analytics'!$S$4,d_Type,'Customer Analytics'!$T$4)</f>
        <v>790</v>
      </c>
      <c r="E116" s="100" t="n">
        <f aca="false">IFERROR(AVERAGEIFS(d_CRating,d_Cust,A116,d_Year,'Customer Analytics'!$P$4,d_City,'Customer Analytics'!$Q$4,d_Cuisine,'Customer Analytics'!$R$4,d_Pay,'Customer Analytics'!$S$4,d_Type,'Customer Analytics'!$T$4),0)</f>
        <v>4.75</v>
      </c>
      <c r="F116" s="98" t="n">
        <f aca="false">D116+ROW()/1000000</f>
        <v>790.000116</v>
      </c>
      <c r="G116" s="98" t="n">
        <f aca="false">RANK(F116,$F$2:$F$351)</f>
        <v>306</v>
      </c>
    </row>
    <row r="117" customFormat="false" ht="15" hidden="false" customHeight="false" outlineLevel="0" collapsed="false">
      <c r="A117" s="98" t="s">
        <v>455</v>
      </c>
      <c r="B117" s="98" t="n">
        <f aca="false">COUNTIFS(d_Cust,A117,d_Year,'Customer Analytics'!$P$4,d_City,'Customer Analytics'!$Q$4,d_Cuisine,'Customer Analytics'!$R$4,d_Pay,'Customer Analytics'!$S$4,d_Type,'Customer Analytics'!$T$4)</f>
        <v>4</v>
      </c>
      <c r="C117" s="98" t="n">
        <f aca="false">COUNTIFS(d_Cust,A117,d_Status,"Delivered",d_Year,'Customer Analytics'!$P$4,d_City,'Customer Analytics'!$Q$4,d_Cuisine,'Customer Analytics'!$R$4,d_Pay,'Customer Analytics'!$S$4,d_Type,'Customer Analytics'!$T$4)</f>
        <v>3</v>
      </c>
      <c r="D117" s="99" t="n">
        <f aca="false">SUMIFS(d_Net,d_Cust,A117,d_Status,"Delivered",d_Year,'Customer Analytics'!$P$4,d_City,'Customer Analytics'!$Q$4,d_Cuisine,'Customer Analytics'!$R$4,d_Pay,'Customer Analytics'!$S$4,d_Type,'Customer Analytics'!$T$4)</f>
        <v>2287</v>
      </c>
      <c r="E117" s="100" t="n">
        <f aca="false">IFERROR(AVERAGEIFS(d_CRating,d_Cust,A117,d_Year,'Customer Analytics'!$P$4,d_City,'Customer Analytics'!$Q$4,d_Cuisine,'Customer Analytics'!$R$4,d_Pay,'Customer Analytics'!$S$4,d_Type,'Customer Analytics'!$T$4),0)</f>
        <v>4.5</v>
      </c>
      <c r="F117" s="98" t="n">
        <f aca="false">D117+ROW()/1000000</f>
        <v>2287.000117</v>
      </c>
      <c r="G117" s="98" t="n">
        <f aca="false">RANK(F117,$F$2:$F$351)</f>
        <v>134</v>
      </c>
    </row>
    <row r="118" customFormat="false" ht="15" hidden="false" customHeight="false" outlineLevel="0" collapsed="false">
      <c r="A118" s="98" t="s">
        <v>456</v>
      </c>
      <c r="B118" s="98" t="n">
        <f aca="false">COUNTIFS(d_Cust,A118,d_Year,'Customer Analytics'!$P$4,d_City,'Customer Analytics'!$Q$4,d_Cuisine,'Customer Analytics'!$R$4,d_Pay,'Customer Analytics'!$S$4,d_Type,'Customer Analytics'!$T$4)</f>
        <v>4</v>
      </c>
      <c r="C118" s="98" t="n">
        <f aca="false">COUNTIFS(d_Cust,A118,d_Status,"Delivered",d_Year,'Customer Analytics'!$P$4,d_City,'Customer Analytics'!$Q$4,d_Cuisine,'Customer Analytics'!$R$4,d_Pay,'Customer Analytics'!$S$4,d_Type,'Customer Analytics'!$T$4)</f>
        <v>2</v>
      </c>
      <c r="D118" s="99" t="n">
        <f aca="false">SUMIFS(d_Net,d_Cust,A118,d_Status,"Delivered",d_Year,'Customer Analytics'!$P$4,d_City,'Customer Analytics'!$Q$4,d_Cuisine,'Customer Analytics'!$R$4,d_Pay,'Customer Analytics'!$S$4,d_Type,'Customer Analytics'!$T$4)</f>
        <v>1690</v>
      </c>
      <c r="E118" s="100" t="n">
        <f aca="false">IFERROR(AVERAGEIFS(d_CRating,d_Cust,A118,d_Year,'Customer Analytics'!$P$4,d_City,'Customer Analytics'!$Q$4,d_Cuisine,'Customer Analytics'!$R$4,d_Pay,'Customer Analytics'!$S$4,d_Type,'Customer Analytics'!$T$4),0)</f>
        <v>3.5</v>
      </c>
      <c r="F118" s="98" t="n">
        <f aca="false">D118+ROW()/1000000</f>
        <v>1690.000118</v>
      </c>
      <c r="G118" s="98" t="n">
        <f aca="false">RANK(F118,$F$2:$F$351)</f>
        <v>208</v>
      </c>
    </row>
    <row r="119" customFormat="false" ht="15" hidden="false" customHeight="false" outlineLevel="0" collapsed="false">
      <c r="A119" s="98" t="s">
        <v>457</v>
      </c>
      <c r="B119" s="98" t="n">
        <f aca="false">COUNTIFS(d_Cust,A119,d_Year,'Customer Analytics'!$P$4,d_City,'Customer Analytics'!$Q$4,d_Cuisine,'Customer Analytics'!$R$4,d_Pay,'Customer Analytics'!$S$4,d_Type,'Customer Analytics'!$T$4)</f>
        <v>4</v>
      </c>
      <c r="C119" s="98" t="n">
        <f aca="false">COUNTIFS(d_Cust,A119,d_Status,"Delivered",d_Year,'Customer Analytics'!$P$4,d_City,'Customer Analytics'!$Q$4,d_Cuisine,'Customer Analytics'!$R$4,d_Pay,'Customer Analytics'!$S$4,d_Type,'Customer Analytics'!$T$4)</f>
        <v>2</v>
      </c>
      <c r="D119" s="99" t="n">
        <f aca="false">SUMIFS(d_Net,d_Cust,A119,d_Status,"Delivered",d_Year,'Customer Analytics'!$P$4,d_City,'Customer Analytics'!$Q$4,d_Cuisine,'Customer Analytics'!$R$4,d_Pay,'Customer Analytics'!$S$4,d_Type,'Customer Analytics'!$T$4)</f>
        <v>1198</v>
      </c>
      <c r="E119" s="100" t="n">
        <f aca="false">IFERROR(AVERAGEIFS(d_CRating,d_Cust,A119,d_Year,'Customer Analytics'!$P$4,d_City,'Customer Analytics'!$Q$4,d_Cuisine,'Customer Analytics'!$R$4,d_Pay,'Customer Analytics'!$S$4,d_Type,'Customer Analytics'!$T$4),0)</f>
        <v>3.25</v>
      </c>
      <c r="F119" s="98" t="n">
        <f aca="false">D119+ROW()/1000000</f>
        <v>1198.000119</v>
      </c>
      <c r="G119" s="98" t="n">
        <f aca="false">RANK(F119,$F$2:$F$351)</f>
        <v>272</v>
      </c>
    </row>
    <row r="120" customFormat="false" ht="15" hidden="false" customHeight="false" outlineLevel="0" collapsed="false">
      <c r="A120" s="98" t="s">
        <v>458</v>
      </c>
      <c r="B120" s="98" t="n">
        <f aca="false">COUNTIFS(d_Cust,A120,d_Year,'Customer Analytics'!$P$4,d_City,'Customer Analytics'!$Q$4,d_Cuisine,'Customer Analytics'!$R$4,d_Pay,'Customer Analytics'!$S$4,d_Type,'Customer Analytics'!$T$4)</f>
        <v>4</v>
      </c>
      <c r="C120" s="98" t="n">
        <f aca="false">COUNTIFS(d_Cust,A120,d_Status,"Delivered",d_Year,'Customer Analytics'!$P$4,d_City,'Customer Analytics'!$Q$4,d_Cuisine,'Customer Analytics'!$R$4,d_Pay,'Customer Analytics'!$S$4,d_Type,'Customer Analytics'!$T$4)</f>
        <v>3</v>
      </c>
      <c r="D120" s="99" t="n">
        <f aca="false">SUMIFS(d_Net,d_Cust,A120,d_Status,"Delivered",d_Year,'Customer Analytics'!$P$4,d_City,'Customer Analytics'!$Q$4,d_Cuisine,'Customer Analytics'!$R$4,d_Pay,'Customer Analytics'!$S$4,d_Type,'Customer Analytics'!$T$4)</f>
        <v>2507</v>
      </c>
      <c r="E120" s="100" t="n">
        <f aca="false">IFERROR(AVERAGEIFS(d_CRating,d_Cust,A120,d_Year,'Customer Analytics'!$P$4,d_City,'Customer Analytics'!$Q$4,d_Cuisine,'Customer Analytics'!$R$4,d_Pay,'Customer Analytics'!$S$4,d_Type,'Customer Analytics'!$T$4),0)</f>
        <v>4.25</v>
      </c>
      <c r="F120" s="98" t="n">
        <f aca="false">D120+ROW()/1000000</f>
        <v>2507.00012</v>
      </c>
      <c r="G120" s="98" t="n">
        <f aca="false">RANK(F120,$F$2:$F$351)</f>
        <v>113</v>
      </c>
    </row>
    <row r="121" customFormat="false" ht="15" hidden="false" customHeight="false" outlineLevel="0" collapsed="false">
      <c r="A121" s="98" t="s">
        <v>459</v>
      </c>
      <c r="B121" s="98" t="n">
        <f aca="false">COUNTIFS(d_Cust,A121,d_Year,'Customer Analytics'!$P$4,d_City,'Customer Analytics'!$Q$4,d_Cuisine,'Customer Analytics'!$R$4,d_Pay,'Customer Analytics'!$S$4,d_Type,'Customer Analytics'!$T$4)</f>
        <v>4</v>
      </c>
      <c r="C121" s="98" t="n">
        <f aca="false">COUNTIFS(d_Cust,A121,d_Status,"Delivered",d_Year,'Customer Analytics'!$P$4,d_City,'Customer Analytics'!$Q$4,d_Cuisine,'Customer Analytics'!$R$4,d_Pay,'Customer Analytics'!$S$4,d_Type,'Customer Analytics'!$T$4)</f>
        <v>1</v>
      </c>
      <c r="D121" s="99" t="n">
        <f aca="false">SUMIFS(d_Net,d_Cust,A121,d_Status,"Delivered",d_Year,'Customer Analytics'!$P$4,d_City,'Customer Analytics'!$Q$4,d_Cuisine,'Customer Analytics'!$R$4,d_Pay,'Customer Analytics'!$S$4,d_Type,'Customer Analytics'!$T$4)</f>
        <v>1746</v>
      </c>
      <c r="E121" s="100" t="n">
        <f aca="false">IFERROR(AVERAGEIFS(d_CRating,d_Cust,A121,d_Year,'Customer Analytics'!$P$4,d_City,'Customer Analytics'!$Q$4,d_Cuisine,'Customer Analytics'!$R$4,d_Pay,'Customer Analytics'!$S$4,d_Type,'Customer Analytics'!$T$4),0)</f>
        <v>4</v>
      </c>
      <c r="F121" s="98" t="n">
        <f aca="false">D121+ROW()/1000000</f>
        <v>1746.000121</v>
      </c>
      <c r="G121" s="98" t="n">
        <f aca="false">RANK(F121,$F$2:$F$351)</f>
        <v>195</v>
      </c>
    </row>
    <row r="122" customFormat="false" ht="15" hidden="false" customHeight="false" outlineLevel="0" collapsed="false">
      <c r="A122" s="98" t="s">
        <v>460</v>
      </c>
      <c r="B122" s="98" t="n">
        <f aca="false">COUNTIFS(d_Cust,A122,d_Year,'Customer Analytics'!$P$4,d_City,'Customer Analytics'!$Q$4,d_Cuisine,'Customer Analytics'!$R$4,d_Pay,'Customer Analytics'!$S$4,d_Type,'Customer Analytics'!$T$4)</f>
        <v>4</v>
      </c>
      <c r="C122" s="98" t="n">
        <f aca="false">COUNTIFS(d_Cust,A122,d_Status,"Delivered",d_Year,'Customer Analytics'!$P$4,d_City,'Customer Analytics'!$Q$4,d_Cuisine,'Customer Analytics'!$R$4,d_Pay,'Customer Analytics'!$S$4,d_Type,'Customer Analytics'!$T$4)</f>
        <v>1</v>
      </c>
      <c r="D122" s="99" t="n">
        <f aca="false">SUMIFS(d_Net,d_Cust,A122,d_Status,"Delivered",d_Year,'Customer Analytics'!$P$4,d_City,'Customer Analytics'!$Q$4,d_Cuisine,'Customer Analytics'!$R$4,d_Pay,'Customer Analytics'!$S$4,d_Type,'Customer Analytics'!$T$4)</f>
        <v>268</v>
      </c>
      <c r="E122" s="100" t="n">
        <f aca="false">IFERROR(AVERAGEIFS(d_CRating,d_Cust,A122,d_Year,'Customer Analytics'!$P$4,d_City,'Customer Analytics'!$Q$4,d_Cuisine,'Customer Analytics'!$R$4,d_Pay,'Customer Analytics'!$S$4,d_Type,'Customer Analytics'!$T$4),0)</f>
        <v>3.75</v>
      </c>
      <c r="F122" s="98" t="n">
        <f aca="false">D122+ROW()/1000000</f>
        <v>268.000122</v>
      </c>
      <c r="G122" s="98" t="n">
        <f aca="false">RANK(F122,$F$2:$F$351)</f>
        <v>339</v>
      </c>
    </row>
    <row r="123" customFormat="false" ht="15" hidden="false" customHeight="false" outlineLevel="0" collapsed="false">
      <c r="A123" s="98" t="s">
        <v>461</v>
      </c>
      <c r="B123" s="98" t="n">
        <f aca="false">COUNTIFS(d_Cust,A123,d_Year,'Customer Analytics'!$P$4,d_City,'Customer Analytics'!$Q$4,d_Cuisine,'Customer Analytics'!$R$4,d_Pay,'Customer Analytics'!$S$4,d_Type,'Customer Analytics'!$T$4)</f>
        <v>4</v>
      </c>
      <c r="C123" s="98" t="n">
        <f aca="false">COUNTIFS(d_Cust,A123,d_Status,"Delivered",d_Year,'Customer Analytics'!$P$4,d_City,'Customer Analytics'!$Q$4,d_Cuisine,'Customer Analytics'!$R$4,d_Pay,'Customer Analytics'!$S$4,d_Type,'Customer Analytics'!$T$4)</f>
        <v>3</v>
      </c>
      <c r="D123" s="99" t="n">
        <f aca="false">SUMIFS(d_Net,d_Cust,A123,d_Status,"Delivered",d_Year,'Customer Analytics'!$P$4,d_City,'Customer Analytics'!$Q$4,d_Cuisine,'Customer Analytics'!$R$4,d_Pay,'Customer Analytics'!$S$4,d_Type,'Customer Analytics'!$T$4)</f>
        <v>2302</v>
      </c>
      <c r="E123" s="100" t="n">
        <f aca="false">IFERROR(AVERAGEIFS(d_CRating,d_Cust,A123,d_Year,'Customer Analytics'!$P$4,d_City,'Customer Analytics'!$Q$4,d_Cuisine,'Customer Analytics'!$R$4,d_Pay,'Customer Analytics'!$S$4,d_Type,'Customer Analytics'!$T$4),0)</f>
        <v>3.25</v>
      </c>
      <c r="F123" s="98" t="n">
        <f aca="false">D123+ROW()/1000000</f>
        <v>2302.000123</v>
      </c>
      <c r="G123" s="98" t="n">
        <f aca="false">RANK(F123,$F$2:$F$351)</f>
        <v>133</v>
      </c>
    </row>
    <row r="124" customFormat="false" ht="15" hidden="false" customHeight="false" outlineLevel="0" collapsed="false">
      <c r="A124" s="98" t="s">
        <v>462</v>
      </c>
      <c r="B124" s="98" t="n">
        <f aca="false">COUNTIFS(d_Cust,A124,d_Year,'Customer Analytics'!$P$4,d_City,'Customer Analytics'!$Q$4,d_Cuisine,'Customer Analytics'!$R$4,d_Pay,'Customer Analytics'!$S$4,d_Type,'Customer Analytics'!$T$4)</f>
        <v>4</v>
      </c>
      <c r="C124" s="98" t="n">
        <f aca="false">COUNTIFS(d_Cust,A124,d_Status,"Delivered",d_Year,'Customer Analytics'!$P$4,d_City,'Customer Analytics'!$Q$4,d_Cuisine,'Customer Analytics'!$R$4,d_Pay,'Customer Analytics'!$S$4,d_Type,'Customer Analytics'!$T$4)</f>
        <v>3</v>
      </c>
      <c r="D124" s="99" t="n">
        <f aca="false">SUMIFS(d_Net,d_Cust,A124,d_Status,"Delivered",d_Year,'Customer Analytics'!$P$4,d_City,'Customer Analytics'!$Q$4,d_Cuisine,'Customer Analytics'!$R$4,d_Pay,'Customer Analytics'!$S$4,d_Type,'Customer Analytics'!$T$4)</f>
        <v>2849</v>
      </c>
      <c r="E124" s="100" t="n">
        <f aca="false">IFERROR(AVERAGEIFS(d_CRating,d_Cust,A124,d_Year,'Customer Analytics'!$P$4,d_City,'Customer Analytics'!$Q$4,d_Cuisine,'Customer Analytics'!$R$4,d_Pay,'Customer Analytics'!$S$4,d_Type,'Customer Analytics'!$T$4),0)</f>
        <v>4</v>
      </c>
      <c r="F124" s="98" t="n">
        <f aca="false">D124+ROW()/1000000</f>
        <v>2849.000124</v>
      </c>
      <c r="G124" s="98" t="n">
        <f aca="false">RANK(F124,$F$2:$F$351)</f>
        <v>73</v>
      </c>
    </row>
    <row r="125" customFormat="false" ht="15" hidden="false" customHeight="false" outlineLevel="0" collapsed="false">
      <c r="A125" s="98" t="s">
        <v>463</v>
      </c>
      <c r="B125" s="98" t="n">
        <f aca="false">COUNTIFS(d_Cust,A125,d_Year,'Customer Analytics'!$P$4,d_City,'Customer Analytics'!$Q$4,d_Cuisine,'Customer Analytics'!$R$4,d_Pay,'Customer Analytics'!$S$4,d_Type,'Customer Analytics'!$T$4)</f>
        <v>4</v>
      </c>
      <c r="C125" s="98" t="n">
        <f aca="false">COUNTIFS(d_Cust,A125,d_Status,"Delivered",d_Year,'Customer Analytics'!$P$4,d_City,'Customer Analytics'!$Q$4,d_Cuisine,'Customer Analytics'!$R$4,d_Pay,'Customer Analytics'!$S$4,d_Type,'Customer Analytics'!$T$4)</f>
        <v>2</v>
      </c>
      <c r="D125" s="99" t="n">
        <f aca="false">SUMIFS(d_Net,d_Cust,A125,d_Status,"Delivered",d_Year,'Customer Analytics'!$P$4,d_City,'Customer Analytics'!$Q$4,d_Cuisine,'Customer Analytics'!$R$4,d_Pay,'Customer Analytics'!$S$4,d_Type,'Customer Analytics'!$T$4)</f>
        <v>519</v>
      </c>
      <c r="E125" s="100" t="n">
        <f aca="false">IFERROR(AVERAGEIFS(d_CRating,d_Cust,A125,d_Year,'Customer Analytics'!$P$4,d_City,'Customer Analytics'!$Q$4,d_Cuisine,'Customer Analytics'!$R$4,d_Pay,'Customer Analytics'!$S$4,d_Type,'Customer Analytics'!$T$4),0)</f>
        <v>4.25</v>
      </c>
      <c r="F125" s="98" t="n">
        <f aca="false">D125+ROW()/1000000</f>
        <v>519.000125</v>
      </c>
      <c r="G125" s="98" t="n">
        <f aca="false">RANK(F125,$F$2:$F$351)</f>
        <v>327</v>
      </c>
    </row>
    <row r="126" customFormat="false" ht="15" hidden="false" customHeight="false" outlineLevel="0" collapsed="false">
      <c r="A126" s="98" t="s">
        <v>464</v>
      </c>
      <c r="B126" s="98" t="n">
        <f aca="false">COUNTIFS(d_Cust,A126,d_Year,'Customer Analytics'!$P$4,d_City,'Customer Analytics'!$Q$4,d_Cuisine,'Customer Analytics'!$R$4,d_Pay,'Customer Analytics'!$S$4,d_Type,'Customer Analytics'!$T$4)</f>
        <v>4</v>
      </c>
      <c r="C126" s="98" t="n">
        <f aca="false">COUNTIFS(d_Cust,A126,d_Status,"Delivered",d_Year,'Customer Analytics'!$P$4,d_City,'Customer Analytics'!$Q$4,d_Cuisine,'Customer Analytics'!$R$4,d_Pay,'Customer Analytics'!$S$4,d_Type,'Customer Analytics'!$T$4)</f>
        <v>4</v>
      </c>
      <c r="D126" s="99" t="n">
        <f aca="false">SUMIFS(d_Net,d_Cust,A126,d_Status,"Delivered",d_Year,'Customer Analytics'!$P$4,d_City,'Customer Analytics'!$Q$4,d_Cuisine,'Customer Analytics'!$R$4,d_Pay,'Customer Analytics'!$S$4,d_Type,'Customer Analytics'!$T$4)</f>
        <v>2683</v>
      </c>
      <c r="E126" s="100" t="n">
        <f aca="false">IFERROR(AVERAGEIFS(d_CRating,d_Cust,A126,d_Year,'Customer Analytics'!$P$4,d_City,'Customer Analytics'!$Q$4,d_Cuisine,'Customer Analytics'!$R$4,d_Pay,'Customer Analytics'!$S$4,d_Type,'Customer Analytics'!$T$4),0)</f>
        <v>5</v>
      </c>
      <c r="F126" s="98" t="n">
        <f aca="false">D126+ROW()/1000000</f>
        <v>2683.000126</v>
      </c>
      <c r="G126" s="98" t="n">
        <f aca="false">RANK(F126,$F$2:$F$351)</f>
        <v>91</v>
      </c>
    </row>
    <row r="127" customFormat="false" ht="15" hidden="false" customHeight="false" outlineLevel="0" collapsed="false">
      <c r="A127" s="98" t="s">
        <v>465</v>
      </c>
      <c r="B127" s="98" t="n">
        <f aca="false">COUNTIFS(d_Cust,A127,d_Year,'Customer Analytics'!$P$4,d_City,'Customer Analytics'!$Q$4,d_Cuisine,'Customer Analytics'!$R$4,d_Pay,'Customer Analytics'!$S$4,d_Type,'Customer Analytics'!$T$4)</f>
        <v>4</v>
      </c>
      <c r="C127" s="98" t="n">
        <f aca="false">COUNTIFS(d_Cust,A127,d_Status,"Delivered",d_Year,'Customer Analytics'!$P$4,d_City,'Customer Analytics'!$Q$4,d_Cuisine,'Customer Analytics'!$R$4,d_Pay,'Customer Analytics'!$S$4,d_Type,'Customer Analytics'!$T$4)</f>
        <v>3</v>
      </c>
      <c r="D127" s="99" t="n">
        <f aca="false">SUMIFS(d_Net,d_Cust,A127,d_Status,"Delivered",d_Year,'Customer Analytics'!$P$4,d_City,'Customer Analytics'!$Q$4,d_Cuisine,'Customer Analytics'!$R$4,d_Pay,'Customer Analytics'!$S$4,d_Type,'Customer Analytics'!$T$4)</f>
        <v>4548</v>
      </c>
      <c r="E127" s="100" t="n">
        <f aca="false">IFERROR(AVERAGEIFS(d_CRating,d_Cust,A127,d_Year,'Customer Analytics'!$P$4,d_City,'Customer Analytics'!$Q$4,d_Cuisine,'Customer Analytics'!$R$4,d_Pay,'Customer Analytics'!$S$4,d_Type,'Customer Analytics'!$T$4),0)</f>
        <v>4.5</v>
      </c>
      <c r="F127" s="98" t="n">
        <f aca="false">D127+ROW()/1000000</f>
        <v>4548.000127</v>
      </c>
      <c r="G127" s="98" t="n">
        <f aca="false">RANK(F127,$F$2:$F$351)</f>
        <v>6</v>
      </c>
    </row>
    <row r="128" customFormat="false" ht="15" hidden="false" customHeight="false" outlineLevel="0" collapsed="false">
      <c r="A128" s="98" t="s">
        <v>466</v>
      </c>
      <c r="B128" s="98" t="n">
        <f aca="false">COUNTIFS(d_Cust,A128,d_Year,'Customer Analytics'!$P$4,d_City,'Customer Analytics'!$Q$4,d_Cuisine,'Customer Analytics'!$R$4,d_Pay,'Customer Analytics'!$S$4,d_Type,'Customer Analytics'!$T$4)</f>
        <v>4</v>
      </c>
      <c r="C128" s="98" t="n">
        <f aca="false">COUNTIFS(d_Cust,A128,d_Status,"Delivered",d_Year,'Customer Analytics'!$P$4,d_City,'Customer Analytics'!$Q$4,d_Cuisine,'Customer Analytics'!$R$4,d_Pay,'Customer Analytics'!$S$4,d_Type,'Customer Analytics'!$T$4)</f>
        <v>4</v>
      </c>
      <c r="D128" s="99" t="n">
        <f aca="false">SUMIFS(d_Net,d_Cust,A128,d_Status,"Delivered",d_Year,'Customer Analytics'!$P$4,d_City,'Customer Analytics'!$Q$4,d_Cuisine,'Customer Analytics'!$R$4,d_Pay,'Customer Analytics'!$S$4,d_Type,'Customer Analytics'!$T$4)</f>
        <v>2571</v>
      </c>
      <c r="E128" s="100" t="n">
        <f aca="false">IFERROR(AVERAGEIFS(d_CRating,d_Cust,A128,d_Year,'Customer Analytics'!$P$4,d_City,'Customer Analytics'!$Q$4,d_Cuisine,'Customer Analytics'!$R$4,d_Pay,'Customer Analytics'!$S$4,d_Type,'Customer Analytics'!$T$4),0)</f>
        <v>4</v>
      </c>
      <c r="F128" s="98" t="n">
        <f aca="false">D128+ROW()/1000000</f>
        <v>2571.000128</v>
      </c>
      <c r="G128" s="98" t="n">
        <f aca="false">RANK(F128,$F$2:$F$351)</f>
        <v>104</v>
      </c>
    </row>
    <row r="129" customFormat="false" ht="15" hidden="false" customHeight="false" outlineLevel="0" collapsed="false">
      <c r="A129" s="98" t="s">
        <v>467</v>
      </c>
      <c r="B129" s="98" t="n">
        <f aca="false">COUNTIFS(d_Cust,A129,d_Year,'Customer Analytics'!$P$4,d_City,'Customer Analytics'!$Q$4,d_Cuisine,'Customer Analytics'!$R$4,d_Pay,'Customer Analytics'!$S$4,d_Type,'Customer Analytics'!$T$4)</f>
        <v>4</v>
      </c>
      <c r="C129" s="98" t="n">
        <f aca="false">COUNTIFS(d_Cust,A129,d_Status,"Delivered",d_Year,'Customer Analytics'!$P$4,d_City,'Customer Analytics'!$Q$4,d_Cuisine,'Customer Analytics'!$R$4,d_Pay,'Customer Analytics'!$S$4,d_Type,'Customer Analytics'!$T$4)</f>
        <v>3</v>
      </c>
      <c r="D129" s="99" t="n">
        <f aca="false">SUMIFS(d_Net,d_Cust,A129,d_Status,"Delivered",d_Year,'Customer Analytics'!$P$4,d_City,'Customer Analytics'!$Q$4,d_Cuisine,'Customer Analytics'!$R$4,d_Pay,'Customer Analytics'!$S$4,d_Type,'Customer Analytics'!$T$4)</f>
        <v>1963</v>
      </c>
      <c r="E129" s="100" t="n">
        <f aca="false">IFERROR(AVERAGEIFS(d_CRating,d_Cust,A129,d_Year,'Customer Analytics'!$P$4,d_City,'Customer Analytics'!$Q$4,d_Cuisine,'Customer Analytics'!$R$4,d_Pay,'Customer Analytics'!$S$4,d_Type,'Customer Analytics'!$T$4),0)</f>
        <v>4.5</v>
      </c>
      <c r="F129" s="98" t="n">
        <f aca="false">D129+ROW()/1000000</f>
        <v>1963.000129</v>
      </c>
      <c r="G129" s="98" t="n">
        <f aca="false">RANK(F129,$F$2:$F$351)</f>
        <v>171</v>
      </c>
    </row>
    <row r="130" customFormat="false" ht="15" hidden="false" customHeight="false" outlineLevel="0" collapsed="false">
      <c r="A130" s="98" t="s">
        <v>468</v>
      </c>
      <c r="B130" s="98" t="n">
        <f aca="false">COUNTIFS(d_Cust,A130,d_Year,'Customer Analytics'!$P$4,d_City,'Customer Analytics'!$Q$4,d_Cuisine,'Customer Analytics'!$R$4,d_Pay,'Customer Analytics'!$S$4,d_Type,'Customer Analytics'!$T$4)</f>
        <v>4</v>
      </c>
      <c r="C130" s="98" t="n">
        <f aca="false">COUNTIFS(d_Cust,A130,d_Status,"Delivered",d_Year,'Customer Analytics'!$P$4,d_City,'Customer Analytics'!$Q$4,d_Cuisine,'Customer Analytics'!$R$4,d_Pay,'Customer Analytics'!$S$4,d_Type,'Customer Analytics'!$T$4)</f>
        <v>4</v>
      </c>
      <c r="D130" s="99" t="n">
        <f aca="false">SUMIFS(d_Net,d_Cust,A130,d_Status,"Delivered",d_Year,'Customer Analytics'!$P$4,d_City,'Customer Analytics'!$Q$4,d_Cuisine,'Customer Analytics'!$R$4,d_Pay,'Customer Analytics'!$S$4,d_Type,'Customer Analytics'!$T$4)</f>
        <v>2485</v>
      </c>
      <c r="E130" s="100" t="n">
        <f aca="false">IFERROR(AVERAGEIFS(d_CRating,d_Cust,A130,d_Year,'Customer Analytics'!$P$4,d_City,'Customer Analytics'!$Q$4,d_Cuisine,'Customer Analytics'!$R$4,d_Pay,'Customer Analytics'!$S$4,d_Type,'Customer Analytics'!$T$4),0)</f>
        <v>4.25</v>
      </c>
      <c r="F130" s="98" t="n">
        <f aca="false">D130+ROW()/1000000</f>
        <v>2485.00013</v>
      </c>
      <c r="G130" s="98" t="n">
        <f aca="false">RANK(F130,$F$2:$F$351)</f>
        <v>116</v>
      </c>
    </row>
    <row r="131" customFormat="false" ht="15" hidden="false" customHeight="false" outlineLevel="0" collapsed="false">
      <c r="A131" s="98" t="s">
        <v>469</v>
      </c>
      <c r="B131" s="98" t="n">
        <f aca="false">COUNTIFS(d_Cust,A131,d_Year,'Customer Analytics'!$P$4,d_City,'Customer Analytics'!$Q$4,d_Cuisine,'Customer Analytics'!$R$4,d_Pay,'Customer Analytics'!$S$4,d_Type,'Customer Analytics'!$T$4)</f>
        <v>4</v>
      </c>
      <c r="C131" s="98" t="n">
        <f aca="false">COUNTIFS(d_Cust,A131,d_Status,"Delivered",d_Year,'Customer Analytics'!$P$4,d_City,'Customer Analytics'!$Q$4,d_Cuisine,'Customer Analytics'!$R$4,d_Pay,'Customer Analytics'!$S$4,d_Type,'Customer Analytics'!$T$4)</f>
        <v>1</v>
      </c>
      <c r="D131" s="99" t="n">
        <f aca="false">SUMIFS(d_Net,d_Cust,A131,d_Status,"Delivered",d_Year,'Customer Analytics'!$P$4,d_City,'Customer Analytics'!$Q$4,d_Cuisine,'Customer Analytics'!$R$4,d_Pay,'Customer Analytics'!$S$4,d_Type,'Customer Analytics'!$T$4)</f>
        <v>725</v>
      </c>
      <c r="E131" s="100" t="n">
        <f aca="false">IFERROR(AVERAGEIFS(d_CRating,d_Cust,A131,d_Year,'Customer Analytics'!$P$4,d_City,'Customer Analytics'!$Q$4,d_Cuisine,'Customer Analytics'!$R$4,d_Pay,'Customer Analytics'!$S$4,d_Type,'Customer Analytics'!$T$4),0)</f>
        <v>3.75</v>
      </c>
      <c r="F131" s="98" t="n">
        <f aca="false">D131+ROW()/1000000</f>
        <v>725.000131</v>
      </c>
      <c r="G131" s="98" t="n">
        <f aca="false">RANK(F131,$F$2:$F$351)</f>
        <v>312</v>
      </c>
    </row>
    <row r="132" customFormat="false" ht="15" hidden="false" customHeight="false" outlineLevel="0" collapsed="false">
      <c r="A132" s="98" t="s">
        <v>470</v>
      </c>
      <c r="B132" s="98" t="n">
        <f aca="false">COUNTIFS(d_Cust,A132,d_Year,'Customer Analytics'!$P$4,d_City,'Customer Analytics'!$Q$4,d_Cuisine,'Customer Analytics'!$R$4,d_Pay,'Customer Analytics'!$S$4,d_Type,'Customer Analytics'!$T$4)</f>
        <v>4</v>
      </c>
      <c r="C132" s="98" t="n">
        <f aca="false">COUNTIFS(d_Cust,A132,d_Status,"Delivered",d_Year,'Customer Analytics'!$P$4,d_City,'Customer Analytics'!$Q$4,d_Cuisine,'Customer Analytics'!$R$4,d_Pay,'Customer Analytics'!$S$4,d_Type,'Customer Analytics'!$T$4)</f>
        <v>1</v>
      </c>
      <c r="D132" s="99" t="n">
        <f aca="false">SUMIFS(d_Net,d_Cust,A132,d_Status,"Delivered",d_Year,'Customer Analytics'!$P$4,d_City,'Customer Analytics'!$Q$4,d_Cuisine,'Customer Analytics'!$R$4,d_Pay,'Customer Analytics'!$S$4,d_Type,'Customer Analytics'!$T$4)</f>
        <v>941</v>
      </c>
      <c r="E132" s="100" t="n">
        <f aca="false">IFERROR(AVERAGEIFS(d_CRating,d_Cust,A132,d_Year,'Customer Analytics'!$P$4,d_City,'Customer Analytics'!$Q$4,d_Cuisine,'Customer Analytics'!$R$4,d_Pay,'Customer Analytics'!$S$4,d_Type,'Customer Analytics'!$T$4),0)</f>
        <v>4.5</v>
      </c>
      <c r="F132" s="98" t="n">
        <f aca="false">D132+ROW()/1000000</f>
        <v>941.000132</v>
      </c>
      <c r="G132" s="98" t="n">
        <f aca="false">RANK(F132,$F$2:$F$351)</f>
        <v>287</v>
      </c>
    </row>
    <row r="133" customFormat="false" ht="15" hidden="false" customHeight="false" outlineLevel="0" collapsed="false">
      <c r="A133" s="98" t="s">
        <v>471</v>
      </c>
      <c r="B133" s="98" t="n">
        <f aca="false">COUNTIFS(d_Cust,A133,d_Year,'Customer Analytics'!$P$4,d_City,'Customer Analytics'!$Q$4,d_Cuisine,'Customer Analytics'!$R$4,d_Pay,'Customer Analytics'!$S$4,d_Type,'Customer Analytics'!$T$4)</f>
        <v>4</v>
      </c>
      <c r="C133" s="98" t="n">
        <f aca="false">COUNTIFS(d_Cust,A133,d_Status,"Delivered",d_Year,'Customer Analytics'!$P$4,d_City,'Customer Analytics'!$Q$4,d_Cuisine,'Customer Analytics'!$R$4,d_Pay,'Customer Analytics'!$S$4,d_Type,'Customer Analytics'!$T$4)</f>
        <v>2</v>
      </c>
      <c r="D133" s="99" t="n">
        <f aca="false">SUMIFS(d_Net,d_Cust,A133,d_Status,"Delivered",d_Year,'Customer Analytics'!$P$4,d_City,'Customer Analytics'!$Q$4,d_Cuisine,'Customer Analytics'!$R$4,d_Pay,'Customer Analytics'!$S$4,d_Type,'Customer Analytics'!$T$4)</f>
        <v>2415</v>
      </c>
      <c r="E133" s="100" t="n">
        <f aca="false">IFERROR(AVERAGEIFS(d_CRating,d_Cust,A133,d_Year,'Customer Analytics'!$P$4,d_City,'Customer Analytics'!$Q$4,d_Cuisine,'Customer Analytics'!$R$4,d_Pay,'Customer Analytics'!$S$4,d_Type,'Customer Analytics'!$T$4),0)</f>
        <v>4.5</v>
      </c>
      <c r="F133" s="98" t="n">
        <f aca="false">D133+ROW()/1000000</f>
        <v>2415.000133</v>
      </c>
      <c r="G133" s="98" t="n">
        <f aca="false">RANK(F133,$F$2:$F$351)</f>
        <v>122</v>
      </c>
    </row>
    <row r="134" customFormat="false" ht="15" hidden="false" customHeight="false" outlineLevel="0" collapsed="false">
      <c r="A134" s="98" t="s">
        <v>472</v>
      </c>
      <c r="B134" s="98" t="n">
        <f aca="false">COUNTIFS(d_Cust,A134,d_Year,'Customer Analytics'!$P$4,d_City,'Customer Analytics'!$Q$4,d_Cuisine,'Customer Analytics'!$R$4,d_Pay,'Customer Analytics'!$S$4,d_Type,'Customer Analytics'!$T$4)</f>
        <v>4</v>
      </c>
      <c r="C134" s="98" t="n">
        <f aca="false">COUNTIFS(d_Cust,A134,d_Status,"Delivered",d_Year,'Customer Analytics'!$P$4,d_City,'Customer Analytics'!$Q$4,d_Cuisine,'Customer Analytics'!$R$4,d_Pay,'Customer Analytics'!$S$4,d_Type,'Customer Analytics'!$T$4)</f>
        <v>4</v>
      </c>
      <c r="D134" s="99" t="n">
        <f aca="false">SUMIFS(d_Net,d_Cust,A134,d_Status,"Delivered",d_Year,'Customer Analytics'!$P$4,d_City,'Customer Analytics'!$Q$4,d_Cuisine,'Customer Analytics'!$R$4,d_Pay,'Customer Analytics'!$S$4,d_Type,'Customer Analytics'!$T$4)</f>
        <v>3035</v>
      </c>
      <c r="E134" s="100" t="n">
        <f aca="false">IFERROR(AVERAGEIFS(d_CRating,d_Cust,A134,d_Year,'Customer Analytics'!$P$4,d_City,'Customer Analytics'!$Q$4,d_Cuisine,'Customer Analytics'!$R$4,d_Pay,'Customer Analytics'!$S$4,d_Type,'Customer Analytics'!$T$4),0)</f>
        <v>3.5</v>
      </c>
      <c r="F134" s="98" t="n">
        <f aca="false">D134+ROW()/1000000</f>
        <v>3035.000134</v>
      </c>
      <c r="G134" s="98" t="n">
        <f aca="false">RANK(F134,$F$2:$F$351)</f>
        <v>61</v>
      </c>
    </row>
    <row r="135" customFormat="false" ht="15" hidden="false" customHeight="false" outlineLevel="0" collapsed="false">
      <c r="A135" s="98" t="s">
        <v>473</v>
      </c>
      <c r="B135" s="98" t="n">
        <f aca="false">COUNTIFS(d_Cust,A135,d_Year,'Customer Analytics'!$P$4,d_City,'Customer Analytics'!$Q$4,d_Cuisine,'Customer Analytics'!$R$4,d_Pay,'Customer Analytics'!$S$4,d_Type,'Customer Analytics'!$T$4)</f>
        <v>4</v>
      </c>
      <c r="C135" s="98" t="n">
        <f aca="false">COUNTIFS(d_Cust,A135,d_Status,"Delivered",d_Year,'Customer Analytics'!$P$4,d_City,'Customer Analytics'!$Q$4,d_Cuisine,'Customer Analytics'!$R$4,d_Pay,'Customer Analytics'!$S$4,d_Type,'Customer Analytics'!$T$4)</f>
        <v>3</v>
      </c>
      <c r="D135" s="99" t="n">
        <f aca="false">SUMIFS(d_Net,d_Cust,A135,d_Status,"Delivered",d_Year,'Customer Analytics'!$P$4,d_City,'Customer Analytics'!$Q$4,d_Cuisine,'Customer Analytics'!$R$4,d_Pay,'Customer Analytics'!$S$4,d_Type,'Customer Analytics'!$T$4)</f>
        <v>2598</v>
      </c>
      <c r="E135" s="100" t="n">
        <f aca="false">IFERROR(AVERAGEIFS(d_CRating,d_Cust,A135,d_Year,'Customer Analytics'!$P$4,d_City,'Customer Analytics'!$Q$4,d_Cuisine,'Customer Analytics'!$R$4,d_Pay,'Customer Analytics'!$S$4,d_Type,'Customer Analytics'!$T$4),0)</f>
        <v>4.25</v>
      </c>
      <c r="F135" s="98" t="n">
        <f aca="false">D135+ROW()/1000000</f>
        <v>2598.000135</v>
      </c>
      <c r="G135" s="98" t="n">
        <f aca="false">RANK(F135,$F$2:$F$351)</f>
        <v>99</v>
      </c>
    </row>
    <row r="136" customFormat="false" ht="15" hidden="false" customHeight="false" outlineLevel="0" collapsed="false">
      <c r="A136" s="98" t="s">
        <v>474</v>
      </c>
      <c r="B136" s="98" t="n">
        <f aca="false">COUNTIFS(d_Cust,A136,d_Year,'Customer Analytics'!$P$4,d_City,'Customer Analytics'!$Q$4,d_Cuisine,'Customer Analytics'!$R$4,d_Pay,'Customer Analytics'!$S$4,d_Type,'Customer Analytics'!$T$4)</f>
        <v>4</v>
      </c>
      <c r="C136" s="98" t="n">
        <f aca="false">COUNTIFS(d_Cust,A136,d_Status,"Delivered",d_Year,'Customer Analytics'!$P$4,d_City,'Customer Analytics'!$Q$4,d_Cuisine,'Customer Analytics'!$R$4,d_Pay,'Customer Analytics'!$S$4,d_Type,'Customer Analytics'!$T$4)</f>
        <v>1</v>
      </c>
      <c r="D136" s="99" t="n">
        <f aca="false">SUMIFS(d_Net,d_Cust,A136,d_Status,"Delivered",d_Year,'Customer Analytics'!$P$4,d_City,'Customer Analytics'!$Q$4,d_Cuisine,'Customer Analytics'!$R$4,d_Pay,'Customer Analytics'!$S$4,d_Type,'Customer Analytics'!$T$4)</f>
        <v>1328</v>
      </c>
      <c r="E136" s="100" t="n">
        <f aca="false">IFERROR(AVERAGEIFS(d_CRating,d_Cust,A136,d_Year,'Customer Analytics'!$P$4,d_City,'Customer Analytics'!$Q$4,d_Cuisine,'Customer Analytics'!$R$4,d_Pay,'Customer Analytics'!$S$4,d_Type,'Customer Analytics'!$T$4),0)</f>
        <v>4.25</v>
      </c>
      <c r="F136" s="98" t="n">
        <f aca="false">D136+ROW()/1000000</f>
        <v>1328.000136</v>
      </c>
      <c r="G136" s="98" t="n">
        <f aca="false">RANK(F136,$F$2:$F$351)</f>
        <v>256</v>
      </c>
    </row>
    <row r="137" customFormat="false" ht="15" hidden="false" customHeight="false" outlineLevel="0" collapsed="false">
      <c r="A137" s="98" t="s">
        <v>475</v>
      </c>
      <c r="B137" s="98" t="n">
        <f aca="false">COUNTIFS(d_Cust,A137,d_Year,'Customer Analytics'!$P$4,d_City,'Customer Analytics'!$Q$4,d_Cuisine,'Customer Analytics'!$R$4,d_Pay,'Customer Analytics'!$S$4,d_Type,'Customer Analytics'!$T$4)</f>
        <v>4</v>
      </c>
      <c r="C137" s="98" t="n">
        <f aca="false">COUNTIFS(d_Cust,A137,d_Status,"Delivered",d_Year,'Customer Analytics'!$P$4,d_City,'Customer Analytics'!$Q$4,d_Cuisine,'Customer Analytics'!$R$4,d_Pay,'Customer Analytics'!$S$4,d_Type,'Customer Analytics'!$T$4)</f>
        <v>2</v>
      </c>
      <c r="D137" s="99" t="n">
        <f aca="false">SUMIFS(d_Net,d_Cust,A137,d_Status,"Delivered",d_Year,'Customer Analytics'!$P$4,d_City,'Customer Analytics'!$Q$4,d_Cuisine,'Customer Analytics'!$R$4,d_Pay,'Customer Analytics'!$S$4,d_Type,'Customer Analytics'!$T$4)</f>
        <v>2449</v>
      </c>
      <c r="E137" s="100" t="n">
        <f aca="false">IFERROR(AVERAGEIFS(d_CRating,d_Cust,A137,d_Year,'Customer Analytics'!$P$4,d_City,'Customer Analytics'!$Q$4,d_Cuisine,'Customer Analytics'!$R$4,d_Pay,'Customer Analytics'!$S$4,d_Type,'Customer Analytics'!$T$4),0)</f>
        <v>4</v>
      </c>
      <c r="F137" s="98" t="n">
        <f aca="false">D137+ROW()/1000000</f>
        <v>2449.000137</v>
      </c>
      <c r="G137" s="98" t="n">
        <f aca="false">RANK(F137,$F$2:$F$351)</f>
        <v>120</v>
      </c>
    </row>
    <row r="138" customFormat="false" ht="15" hidden="false" customHeight="false" outlineLevel="0" collapsed="false">
      <c r="A138" s="98" t="s">
        <v>476</v>
      </c>
      <c r="B138" s="98" t="n">
        <f aca="false">COUNTIFS(d_Cust,A138,d_Year,'Customer Analytics'!$P$4,d_City,'Customer Analytics'!$Q$4,d_Cuisine,'Customer Analytics'!$R$4,d_Pay,'Customer Analytics'!$S$4,d_Type,'Customer Analytics'!$T$4)</f>
        <v>4</v>
      </c>
      <c r="C138" s="98" t="n">
        <f aca="false">COUNTIFS(d_Cust,A138,d_Status,"Delivered",d_Year,'Customer Analytics'!$P$4,d_City,'Customer Analytics'!$Q$4,d_Cuisine,'Customer Analytics'!$R$4,d_Pay,'Customer Analytics'!$S$4,d_Type,'Customer Analytics'!$T$4)</f>
        <v>1</v>
      </c>
      <c r="D138" s="99" t="n">
        <f aca="false">SUMIFS(d_Net,d_Cust,A138,d_Status,"Delivered",d_Year,'Customer Analytics'!$P$4,d_City,'Customer Analytics'!$Q$4,d_Cuisine,'Customer Analytics'!$R$4,d_Pay,'Customer Analytics'!$S$4,d_Type,'Customer Analytics'!$T$4)</f>
        <v>57</v>
      </c>
      <c r="E138" s="100" t="n">
        <f aca="false">IFERROR(AVERAGEIFS(d_CRating,d_Cust,A138,d_Year,'Customer Analytics'!$P$4,d_City,'Customer Analytics'!$Q$4,d_Cuisine,'Customer Analytics'!$R$4,d_Pay,'Customer Analytics'!$S$4,d_Type,'Customer Analytics'!$T$4),0)</f>
        <v>3.5</v>
      </c>
      <c r="F138" s="98" t="n">
        <f aca="false">D138+ROW()/1000000</f>
        <v>57.000138</v>
      </c>
      <c r="G138" s="98" t="n">
        <f aca="false">RANK(F138,$F$2:$F$351)</f>
        <v>345</v>
      </c>
    </row>
    <row r="139" customFormat="false" ht="15" hidden="false" customHeight="false" outlineLevel="0" collapsed="false">
      <c r="A139" s="98" t="s">
        <v>477</v>
      </c>
      <c r="B139" s="98" t="n">
        <f aca="false">COUNTIFS(d_Cust,A139,d_Year,'Customer Analytics'!$P$4,d_City,'Customer Analytics'!$Q$4,d_Cuisine,'Customer Analytics'!$R$4,d_Pay,'Customer Analytics'!$S$4,d_Type,'Customer Analytics'!$T$4)</f>
        <v>4</v>
      </c>
      <c r="C139" s="98" t="n">
        <f aca="false">COUNTIFS(d_Cust,A139,d_Status,"Delivered",d_Year,'Customer Analytics'!$P$4,d_City,'Customer Analytics'!$Q$4,d_Cuisine,'Customer Analytics'!$R$4,d_Pay,'Customer Analytics'!$S$4,d_Type,'Customer Analytics'!$T$4)</f>
        <v>2</v>
      </c>
      <c r="D139" s="99" t="n">
        <f aca="false">SUMIFS(d_Net,d_Cust,A139,d_Status,"Delivered",d_Year,'Customer Analytics'!$P$4,d_City,'Customer Analytics'!$Q$4,d_Cuisine,'Customer Analytics'!$R$4,d_Pay,'Customer Analytics'!$S$4,d_Type,'Customer Analytics'!$T$4)</f>
        <v>1303</v>
      </c>
      <c r="E139" s="100" t="n">
        <f aca="false">IFERROR(AVERAGEIFS(d_CRating,d_Cust,A139,d_Year,'Customer Analytics'!$P$4,d_City,'Customer Analytics'!$Q$4,d_Cuisine,'Customer Analytics'!$R$4,d_Pay,'Customer Analytics'!$S$4,d_Type,'Customer Analytics'!$T$4),0)</f>
        <v>3.25</v>
      </c>
      <c r="F139" s="98" t="n">
        <f aca="false">D139+ROW()/1000000</f>
        <v>1303.000139</v>
      </c>
      <c r="G139" s="98" t="n">
        <f aca="false">RANK(F139,$F$2:$F$351)</f>
        <v>257</v>
      </c>
    </row>
    <row r="140" customFormat="false" ht="15" hidden="false" customHeight="false" outlineLevel="0" collapsed="false">
      <c r="A140" s="98" t="s">
        <v>478</v>
      </c>
      <c r="B140" s="98" t="n">
        <f aca="false">COUNTIFS(d_Cust,A140,d_Year,'Customer Analytics'!$P$4,d_City,'Customer Analytics'!$Q$4,d_Cuisine,'Customer Analytics'!$R$4,d_Pay,'Customer Analytics'!$S$4,d_Type,'Customer Analytics'!$T$4)</f>
        <v>4</v>
      </c>
      <c r="C140" s="98" t="n">
        <f aca="false">COUNTIFS(d_Cust,A140,d_Status,"Delivered",d_Year,'Customer Analytics'!$P$4,d_City,'Customer Analytics'!$Q$4,d_Cuisine,'Customer Analytics'!$R$4,d_Pay,'Customer Analytics'!$S$4,d_Type,'Customer Analytics'!$T$4)</f>
        <v>3</v>
      </c>
      <c r="D140" s="99" t="n">
        <f aca="false">SUMIFS(d_Net,d_Cust,A140,d_Status,"Delivered",d_Year,'Customer Analytics'!$P$4,d_City,'Customer Analytics'!$Q$4,d_Cuisine,'Customer Analytics'!$R$4,d_Pay,'Customer Analytics'!$S$4,d_Type,'Customer Analytics'!$T$4)</f>
        <v>1460</v>
      </c>
      <c r="E140" s="100" t="n">
        <f aca="false">IFERROR(AVERAGEIFS(d_CRating,d_Cust,A140,d_Year,'Customer Analytics'!$P$4,d_City,'Customer Analytics'!$Q$4,d_Cuisine,'Customer Analytics'!$R$4,d_Pay,'Customer Analytics'!$S$4,d_Type,'Customer Analytics'!$T$4),0)</f>
        <v>4</v>
      </c>
      <c r="F140" s="98" t="n">
        <f aca="false">D140+ROW()/1000000</f>
        <v>1460.00014</v>
      </c>
      <c r="G140" s="98" t="n">
        <f aca="false">RANK(F140,$F$2:$F$351)</f>
        <v>238</v>
      </c>
    </row>
    <row r="141" customFormat="false" ht="15" hidden="false" customHeight="false" outlineLevel="0" collapsed="false">
      <c r="A141" s="98" t="s">
        <v>479</v>
      </c>
      <c r="B141" s="98" t="n">
        <f aca="false">COUNTIFS(d_Cust,A141,d_Year,'Customer Analytics'!$P$4,d_City,'Customer Analytics'!$Q$4,d_Cuisine,'Customer Analytics'!$R$4,d_Pay,'Customer Analytics'!$S$4,d_Type,'Customer Analytics'!$T$4)</f>
        <v>4</v>
      </c>
      <c r="C141" s="98" t="n">
        <f aca="false">COUNTIFS(d_Cust,A141,d_Status,"Delivered",d_Year,'Customer Analytics'!$P$4,d_City,'Customer Analytics'!$Q$4,d_Cuisine,'Customer Analytics'!$R$4,d_Pay,'Customer Analytics'!$S$4,d_Type,'Customer Analytics'!$T$4)</f>
        <v>4</v>
      </c>
      <c r="D141" s="99" t="n">
        <f aca="false">SUMIFS(d_Net,d_Cust,A141,d_Status,"Delivered",d_Year,'Customer Analytics'!$P$4,d_City,'Customer Analytics'!$Q$4,d_Cuisine,'Customer Analytics'!$R$4,d_Pay,'Customer Analytics'!$S$4,d_Type,'Customer Analytics'!$T$4)</f>
        <v>3722</v>
      </c>
      <c r="E141" s="100" t="n">
        <f aca="false">IFERROR(AVERAGEIFS(d_CRating,d_Cust,A141,d_Year,'Customer Analytics'!$P$4,d_City,'Customer Analytics'!$Q$4,d_Cuisine,'Customer Analytics'!$R$4,d_Pay,'Customer Analytics'!$S$4,d_Type,'Customer Analytics'!$T$4),0)</f>
        <v>3.5</v>
      </c>
      <c r="F141" s="98" t="n">
        <f aca="false">D141+ROW()/1000000</f>
        <v>3722.000141</v>
      </c>
      <c r="G141" s="98" t="n">
        <f aca="false">RANK(F141,$F$2:$F$351)</f>
        <v>19</v>
      </c>
    </row>
    <row r="142" customFormat="false" ht="15" hidden="false" customHeight="false" outlineLevel="0" collapsed="false">
      <c r="A142" s="98" t="s">
        <v>480</v>
      </c>
      <c r="B142" s="98" t="n">
        <f aca="false">COUNTIFS(d_Cust,A142,d_Year,'Customer Analytics'!$P$4,d_City,'Customer Analytics'!$Q$4,d_Cuisine,'Customer Analytics'!$R$4,d_Pay,'Customer Analytics'!$S$4,d_Type,'Customer Analytics'!$T$4)</f>
        <v>4</v>
      </c>
      <c r="C142" s="98" t="n">
        <f aca="false">COUNTIFS(d_Cust,A142,d_Status,"Delivered",d_Year,'Customer Analytics'!$P$4,d_City,'Customer Analytics'!$Q$4,d_Cuisine,'Customer Analytics'!$R$4,d_Pay,'Customer Analytics'!$S$4,d_Type,'Customer Analytics'!$T$4)</f>
        <v>2</v>
      </c>
      <c r="D142" s="99" t="n">
        <f aca="false">SUMIFS(d_Net,d_Cust,A142,d_Status,"Delivered",d_Year,'Customer Analytics'!$P$4,d_City,'Customer Analytics'!$Q$4,d_Cuisine,'Customer Analytics'!$R$4,d_Pay,'Customer Analytics'!$S$4,d_Type,'Customer Analytics'!$T$4)</f>
        <v>621</v>
      </c>
      <c r="E142" s="100" t="n">
        <f aca="false">IFERROR(AVERAGEIFS(d_CRating,d_Cust,A142,d_Year,'Customer Analytics'!$P$4,d_City,'Customer Analytics'!$Q$4,d_Cuisine,'Customer Analytics'!$R$4,d_Pay,'Customer Analytics'!$S$4,d_Type,'Customer Analytics'!$T$4),0)</f>
        <v>4.75</v>
      </c>
      <c r="F142" s="98" t="n">
        <f aca="false">D142+ROW()/1000000</f>
        <v>621.000142</v>
      </c>
      <c r="G142" s="98" t="n">
        <f aca="false">RANK(F142,$F$2:$F$351)</f>
        <v>320</v>
      </c>
    </row>
    <row r="143" customFormat="false" ht="15" hidden="false" customHeight="false" outlineLevel="0" collapsed="false">
      <c r="A143" s="98" t="s">
        <v>481</v>
      </c>
      <c r="B143" s="98" t="n">
        <f aca="false">COUNTIFS(d_Cust,A143,d_Year,'Customer Analytics'!$P$4,d_City,'Customer Analytics'!$Q$4,d_Cuisine,'Customer Analytics'!$R$4,d_Pay,'Customer Analytics'!$S$4,d_Type,'Customer Analytics'!$T$4)</f>
        <v>4</v>
      </c>
      <c r="C143" s="98" t="n">
        <f aca="false">COUNTIFS(d_Cust,A143,d_Status,"Delivered",d_Year,'Customer Analytics'!$P$4,d_City,'Customer Analytics'!$Q$4,d_Cuisine,'Customer Analytics'!$R$4,d_Pay,'Customer Analytics'!$S$4,d_Type,'Customer Analytics'!$T$4)</f>
        <v>2</v>
      </c>
      <c r="D143" s="99" t="n">
        <f aca="false">SUMIFS(d_Net,d_Cust,A143,d_Status,"Delivered",d_Year,'Customer Analytics'!$P$4,d_City,'Customer Analytics'!$Q$4,d_Cuisine,'Customer Analytics'!$R$4,d_Pay,'Customer Analytics'!$S$4,d_Type,'Customer Analytics'!$T$4)</f>
        <v>1645</v>
      </c>
      <c r="E143" s="100" t="n">
        <f aca="false">IFERROR(AVERAGEIFS(d_CRating,d_Cust,A143,d_Year,'Customer Analytics'!$P$4,d_City,'Customer Analytics'!$Q$4,d_Cuisine,'Customer Analytics'!$R$4,d_Pay,'Customer Analytics'!$S$4,d_Type,'Customer Analytics'!$T$4),0)</f>
        <v>4.5</v>
      </c>
      <c r="F143" s="98" t="n">
        <f aca="false">D143+ROW()/1000000</f>
        <v>1645.000143</v>
      </c>
      <c r="G143" s="98" t="n">
        <f aca="false">RANK(F143,$F$2:$F$351)</f>
        <v>214</v>
      </c>
    </row>
    <row r="144" customFormat="false" ht="15" hidden="false" customHeight="false" outlineLevel="0" collapsed="false">
      <c r="A144" s="98" t="s">
        <v>482</v>
      </c>
      <c r="B144" s="98" t="n">
        <f aca="false">COUNTIFS(d_Cust,A144,d_Year,'Customer Analytics'!$P$4,d_City,'Customer Analytics'!$Q$4,d_Cuisine,'Customer Analytics'!$R$4,d_Pay,'Customer Analytics'!$S$4,d_Type,'Customer Analytics'!$T$4)</f>
        <v>4</v>
      </c>
      <c r="C144" s="98" t="n">
        <f aca="false">COUNTIFS(d_Cust,A144,d_Status,"Delivered",d_Year,'Customer Analytics'!$P$4,d_City,'Customer Analytics'!$Q$4,d_Cuisine,'Customer Analytics'!$R$4,d_Pay,'Customer Analytics'!$S$4,d_Type,'Customer Analytics'!$T$4)</f>
        <v>2</v>
      </c>
      <c r="D144" s="99" t="n">
        <f aca="false">SUMIFS(d_Net,d_Cust,A144,d_Status,"Delivered",d_Year,'Customer Analytics'!$P$4,d_City,'Customer Analytics'!$Q$4,d_Cuisine,'Customer Analytics'!$R$4,d_Pay,'Customer Analytics'!$S$4,d_Type,'Customer Analytics'!$T$4)</f>
        <v>2631</v>
      </c>
      <c r="E144" s="100" t="n">
        <f aca="false">IFERROR(AVERAGEIFS(d_CRating,d_Cust,A144,d_Year,'Customer Analytics'!$P$4,d_City,'Customer Analytics'!$Q$4,d_Cuisine,'Customer Analytics'!$R$4,d_Pay,'Customer Analytics'!$S$4,d_Type,'Customer Analytics'!$T$4),0)</f>
        <v>3.25</v>
      </c>
      <c r="F144" s="98" t="n">
        <f aca="false">D144+ROW()/1000000</f>
        <v>2631.000144</v>
      </c>
      <c r="G144" s="98" t="n">
        <f aca="false">RANK(F144,$F$2:$F$351)</f>
        <v>97</v>
      </c>
    </row>
    <row r="145" customFormat="false" ht="15" hidden="false" customHeight="false" outlineLevel="0" collapsed="false">
      <c r="A145" s="98" t="s">
        <v>483</v>
      </c>
      <c r="B145" s="98" t="n">
        <f aca="false">COUNTIFS(d_Cust,A145,d_Year,'Customer Analytics'!$P$4,d_City,'Customer Analytics'!$Q$4,d_Cuisine,'Customer Analytics'!$R$4,d_Pay,'Customer Analytics'!$S$4,d_Type,'Customer Analytics'!$T$4)</f>
        <v>4</v>
      </c>
      <c r="C145" s="98" t="n">
        <f aca="false">COUNTIFS(d_Cust,A145,d_Status,"Delivered",d_Year,'Customer Analytics'!$P$4,d_City,'Customer Analytics'!$Q$4,d_Cuisine,'Customer Analytics'!$R$4,d_Pay,'Customer Analytics'!$S$4,d_Type,'Customer Analytics'!$T$4)</f>
        <v>2</v>
      </c>
      <c r="D145" s="99" t="n">
        <f aca="false">SUMIFS(d_Net,d_Cust,A145,d_Status,"Delivered",d_Year,'Customer Analytics'!$P$4,d_City,'Customer Analytics'!$Q$4,d_Cuisine,'Customer Analytics'!$R$4,d_Pay,'Customer Analytics'!$S$4,d_Type,'Customer Analytics'!$T$4)</f>
        <v>2013</v>
      </c>
      <c r="E145" s="100" t="n">
        <f aca="false">IFERROR(AVERAGEIFS(d_CRating,d_Cust,A145,d_Year,'Customer Analytics'!$P$4,d_City,'Customer Analytics'!$Q$4,d_Cuisine,'Customer Analytics'!$R$4,d_Pay,'Customer Analytics'!$S$4,d_Type,'Customer Analytics'!$T$4),0)</f>
        <v>4.25</v>
      </c>
      <c r="F145" s="98" t="n">
        <f aca="false">D145+ROW()/1000000</f>
        <v>2013.000145</v>
      </c>
      <c r="G145" s="98" t="n">
        <f aca="false">RANK(F145,$F$2:$F$351)</f>
        <v>165</v>
      </c>
    </row>
    <row r="146" customFormat="false" ht="15" hidden="false" customHeight="false" outlineLevel="0" collapsed="false">
      <c r="A146" s="98" t="s">
        <v>484</v>
      </c>
      <c r="B146" s="98" t="n">
        <f aca="false">COUNTIFS(d_Cust,A146,d_Year,'Customer Analytics'!$P$4,d_City,'Customer Analytics'!$Q$4,d_Cuisine,'Customer Analytics'!$R$4,d_Pay,'Customer Analytics'!$S$4,d_Type,'Customer Analytics'!$T$4)</f>
        <v>4</v>
      </c>
      <c r="C146" s="98" t="n">
        <f aca="false">COUNTIFS(d_Cust,A146,d_Status,"Delivered",d_Year,'Customer Analytics'!$P$4,d_City,'Customer Analytics'!$Q$4,d_Cuisine,'Customer Analytics'!$R$4,d_Pay,'Customer Analytics'!$S$4,d_Type,'Customer Analytics'!$T$4)</f>
        <v>1</v>
      </c>
      <c r="D146" s="99" t="n">
        <f aca="false">SUMIFS(d_Net,d_Cust,A146,d_Status,"Delivered",d_Year,'Customer Analytics'!$P$4,d_City,'Customer Analytics'!$Q$4,d_Cuisine,'Customer Analytics'!$R$4,d_Pay,'Customer Analytics'!$S$4,d_Type,'Customer Analytics'!$T$4)</f>
        <v>630</v>
      </c>
      <c r="E146" s="100" t="n">
        <f aca="false">IFERROR(AVERAGEIFS(d_CRating,d_Cust,A146,d_Year,'Customer Analytics'!$P$4,d_City,'Customer Analytics'!$Q$4,d_Cuisine,'Customer Analytics'!$R$4,d_Pay,'Customer Analytics'!$S$4,d_Type,'Customer Analytics'!$T$4),0)</f>
        <v>4.25</v>
      </c>
      <c r="F146" s="98" t="n">
        <f aca="false">D146+ROW()/1000000</f>
        <v>630.000146</v>
      </c>
      <c r="G146" s="98" t="n">
        <f aca="false">RANK(F146,$F$2:$F$351)</f>
        <v>319</v>
      </c>
    </row>
    <row r="147" customFormat="false" ht="15" hidden="false" customHeight="false" outlineLevel="0" collapsed="false">
      <c r="A147" s="98" t="s">
        <v>485</v>
      </c>
      <c r="B147" s="98" t="n">
        <f aca="false">COUNTIFS(d_Cust,A147,d_Year,'Customer Analytics'!$P$4,d_City,'Customer Analytics'!$Q$4,d_Cuisine,'Customer Analytics'!$R$4,d_Pay,'Customer Analytics'!$S$4,d_Type,'Customer Analytics'!$T$4)</f>
        <v>4</v>
      </c>
      <c r="C147" s="98" t="n">
        <f aca="false">COUNTIFS(d_Cust,A147,d_Status,"Delivered",d_Year,'Customer Analytics'!$P$4,d_City,'Customer Analytics'!$Q$4,d_Cuisine,'Customer Analytics'!$R$4,d_Pay,'Customer Analytics'!$S$4,d_Type,'Customer Analytics'!$T$4)</f>
        <v>2</v>
      </c>
      <c r="D147" s="99" t="n">
        <f aca="false">SUMIFS(d_Net,d_Cust,A147,d_Status,"Delivered",d_Year,'Customer Analytics'!$P$4,d_City,'Customer Analytics'!$Q$4,d_Cuisine,'Customer Analytics'!$R$4,d_Pay,'Customer Analytics'!$S$4,d_Type,'Customer Analytics'!$T$4)</f>
        <v>830</v>
      </c>
      <c r="E147" s="100" t="n">
        <f aca="false">IFERROR(AVERAGEIFS(d_CRating,d_Cust,A147,d_Year,'Customer Analytics'!$P$4,d_City,'Customer Analytics'!$Q$4,d_Cuisine,'Customer Analytics'!$R$4,d_Pay,'Customer Analytics'!$S$4,d_Type,'Customer Analytics'!$T$4),0)</f>
        <v>3.5</v>
      </c>
      <c r="F147" s="98" t="n">
        <f aca="false">D147+ROW()/1000000</f>
        <v>830.000147</v>
      </c>
      <c r="G147" s="98" t="n">
        <f aca="false">RANK(F147,$F$2:$F$351)</f>
        <v>298</v>
      </c>
    </row>
    <row r="148" customFormat="false" ht="15" hidden="false" customHeight="false" outlineLevel="0" collapsed="false">
      <c r="A148" s="98" t="s">
        <v>486</v>
      </c>
      <c r="B148" s="98" t="n">
        <f aca="false">COUNTIFS(d_Cust,A148,d_Year,'Customer Analytics'!$P$4,d_City,'Customer Analytics'!$Q$4,d_Cuisine,'Customer Analytics'!$R$4,d_Pay,'Customer Analytics'!$S$4,d_Type,'Customer Analytics'!$T$4)</f>
        <v>4</v>
      </c>
      <c r="C148" s="98" t="n">
        <f aca="false">COUNTIFS(d_Cust,A148,d_Status,"Delivered",d_Year,'Customer Analytics'!$P$4,d_City,'Customer Analytics'!$Q$4,d_Cuisine,'Customer Analytics'!$R$4,d_Pay,'Customer Analytics'!$S$4,d_Type,'Customer Analytics'!$T$4)</f>
        <v>3</v>
      </c>
      <c r="D148" s="99" t="n">
        <f aca="false">SUMIFS(d_Net,d_Cust,A148,d_Status,"Delivered",d_Year,'Customer Analytics'!$P$4,d_City,'Customer Analytics'!$Q$4,d_Cuisine,'Customer Analytics'!$R$4,d_Pay,'Customer Analytics'!$S$4,d_Type,'Customer Analytics'!$T$4)</f>
        <v>2384</v>
      </c>
      <c r="E148" s="100" t="n">
        <f aca="false">IFERROR(AVERAGEIFS(d_CRating,d_Cust,A148,d_Year,'Customer Analytics'!$P$4,d_City,'Customer Analytics'!$Q$4,d_Cuisine,'Customer Analytics'!$R$4,d_Pay,'Customer Analytics'!$S$4,d_Type,'Customer Analytics'!$T$4),0)</f>
        <v>4</v>
      </c>
      <c r="F148" s="98" t="n">
        <f aca="false">D148+ROW()/1000000</f>
        <v>2384.000148</v>
      </c>
      <c r="G148" s="98" t="n">
        <f aca="false">RANK(F148,$F$2:$F$351)</f>
        <v>126</v>
      </c>
    </row>
    <row r="149" customFormat="false" ht="15" hidden="false" customHeight="false" outlineLevel="0" collapsed="false">
      <c r="A149" s="98" t="s">
        <v>487</v>
      </c>
      <c r="B149" s="98" t="n">
        <f aca="false">COUNTIFS(d_Cust,A149,d_Year,'Customer Analytics'!$P$4,d_City,'Customer Analytics'!$Q$4,d_Cuisine,'Customer Analytics'!$R$4,d_Pay,'Customer Analytics'!$S$4,d_Type,'Customer Analytics'!$T$4)</f>
        <v>4</v>
      </c>
      <c r="C149" s="98" t="n">
        <f aca="false">COUNTIFS(d_Cust,A149,d_Status,"Delivered",d_Year,'Customer Analytics'!$P$4,d_City,'Customer Analytics'!$Q$4,d_Cuisine,'Customer Analytics'!$R$4,d_Pay,'Customer Analytics'!$S$4,d_Type,'Customer Analytics'!$T$4)</f>
        <v>1</v>
      </c>
      <c r="D149" s="99" t="n">
        <f aca="false">SUMIFS(d_Net,d_Cust,A149,d_Status,"Delivered",d_Year,'Customer Analytics'!$P$4,d_City,'Customer Analytics'!$Q$4,d_Cuisine,'Customer Analytics'!$R$4,d_Pay,'Customer Analytics'!$S$4,d_Type,'Customer Analytics'!$T$4)</f>
        <v>873</v>
      </c>
      <c r="E149" s="100" t="n">
        <f aca="false">IFERROR(AVERAGEIFS(d_CRating,d_Cust,A149,d_Year,'Customer Analytics'!$P$4,d_City,'Customer Analytics'!$Q$4,d_Cuisine,'Customer Analytics'!$R$4,d_Pay,'Customer Analytics'!$S$4,d_Type,'Customer Analytics'!$T$4),0)</f>
        <v>3.25</v>
      </c>
      <c r="F149" s="98" t="n">
        <f aca="false">D149+ROW()/1000000</f>
        <v>873.000149</v>
      </c>
      <c r="G149" s="98" t="n">
        <f aca="false">RANK(F149,$F$2:$F$351)</f>
        <v>293</v>
      </c>
    </row>
    <row r="150" customFormat="false" ht="15" hidden="false" customHeight="false" outlineLevel="0" collapsed="false">
      <c r="A150" s="98" t="s">
        <v>488</v>
      </c>
      <c r="B150" s="98" t="n">
        <f aca="false">COUNTIFS(d_Cust,A150,d_Year,'Customer Analytics'!$P$4,d_City,'Customer Analytics'!$Q$4,d_Cuisine,'Customer Analytics'!$R$4,d_Pay,'Customer Analytics'!$S$4,d_Type,'Customer Analytics'!$T$4)</f>
        <v>4</v>
      </c>
      <c r="C150" s="98" t="n">
        <f aca="false">COUNTIFS(d_Cust,A150,d_Status,"Delivered",d_Year,'Customer Analytics'!$P$4,d_City,'Customer Analytics'!$Q$4,d_Cuisine,'Customer Analytics'!$R$4,d_Pay,'Customer Analytics'!$S$4,d_Type,'Customer Analytics'!$T$4)</f>
        <v>4</v>
      </c>
      <c r="D150" s="99" t="n">
        <f aca="false">SUMIFS(d_Net,d_Cust,A150,d_Status,"Delivered",d_Year,'Customer Analytics'!$P$4,d_City,'Customer Analytics'!$Q$4,d_Cuisine,'Customer Analytics'!$R$4,d_Pay,'Customer Analytics'!$S$4,d_Type,'Customer Analytics'!$T$4)</f>
        <v>2453</v>
      </c>
      <c r="E150" s="100" t="n">
        <f aca="false">IFERROR(AVERAGEIFS(d_CRating,d_Cust,A150,d_Year,'Customer Analytics'!$P$4,d_City,'Customer Analytics'!$Q$4,d_Cuisine,'Customer Analytics'!$R$4,d_Pay,'Customer Analytics'!$S$4,d_Type,'Customer Analytics'!$T$4),0)</f>
        <v>3.5</v>
      </c>
      <c r="F150" s="98" t="n">
        <f aca="false">D150+ROW()/1000000</f>
        <v>2453.00015</v>
      </c>
      <c r="G150" s="98" t="n">
        <f aca="false">RANK(F150,$F$2:$F$351)</f>
        <v>118</v>
      </c>
    </row>
    <row r="151" customFormat="false" ht="15" hidden="false" customHeight="false" outlineLevel="0" collapsed="false">
      <c r="A151" s="98" t="s">
        <v>489</v>
      </c>
      <c r="B151" s="98" t="n">
        <f aca="false">COUNTIFS(d_Cust,A151,d_Year,'Customer Analytics'!$P$4,d_City,'Customer Analytics'!$Q$4,d_Cuisine,'Customer Analytics'!$R$4,d_Pay,'Customer Analytics'!$S$4,d_Type,'Customer Analytics'!$T$4)</f>
        <v>4</v>
      </c>
      <c r="C151" s="98" t="n">
        <f aca="false">COUNTIFS(d_Cust,A151,d_Status,"Delivered",d_Year,'Customer Analytics'!$P$4,d_City,'Customer Analytics'!$Q$4,d_Cuisine,'Customer Analytics'!$R$4,d_Pay,'Customer Analytics'!$S$4,d_Type,'Customer Analytics'!$T$4)</f>
        <v>4</v>
      </c>
      <c r="D151" s="99" t="n">
        <f aca="false">SUMIFS(d_Net,d_Cust,A151,d_Status,"Delivered",d_Year,'Customer Analytics'!$P$4,d_City,'Customer Analytics'!$Q$4,d_Cuisine,'Customer Analytics'!$R$4,d_Pay,'Customer Analytics'!$S$4,d_Type,'Customer Analytics'!$T$4)</f>
        <v>4235</v>
      </c>
      <c r="E151" s="100" t="n">
        <f aca="false">IFERROR(AVERAGEIFS(d_CRating,d_Cust,A151,d_Year,'Customer Analytics'!$P$4,d_City,'Customer Analytics'!$Q$4,d_Cuisine,'Customer Analytics'!$R$4,d_Pay,'Customer Analytics'!$S$4,d_Type,'Customer Analytics'!$T$4),0)</f>
        <v>4.25</v>
      </c>
      <c r="F151" s="98" t="n">
        <f aca="false">D151+ROW()/1000000</f>
        <v>4235.000151</v>
      </c>
      <c r="G151" s="98" t="n">
        <f aca="false">RANK(F151,$F$2:$F$351)</f>
        <v>8</v>
      </c>
    </row>
    <row r="152" customFormat="false" ht="15" hidden="false" customHeight="false" outlineLevel="0" collapsed="false">
      <c r="A152" s="98" t="s">
        <v>490</v>
      </c>
      <c r="B152" s="98" t="n">
        <f aca="false">COUNTIFS(d_Cust,A152,d_Year,'Customer Analytics'!$P$4,d_City,'Customer Analytics'!$Q$4,d_Cuisine,'Customer Analytics'!$R$4,d_Pay,'Customer Analytics'!$S$4,d_Type,'Customer Analytics'!$T$4)</f>
        <v>3</v>
      </c>
      <c r="C152" s="98" t="n">
        <f aca="false">COUNTIFS(d_Cust,A152,d_Status,"Delivered",d_Year,'Customer Analytics'!$P$4,d_City,'Customer Analytics'!$Q$4,d_Cuisine,'Customer Analytics'!$R$4,d_Pay,'Customer Analytics'!$S$4,d_Type,'Customer Analytics'!$T$4)</f>
        <v>1</v>
      </c>
      <c r="D152" s="99" t="n">
        <f aca="false">SUMIFS(d_Net,d_Cust,A152,d_Status,"Delivered",d_Year,'Customer Analytics'!$P$4,d_City,'Customer Analytics'!$Q$4,d_Cuisine,'Customer Analytics'!$R$4,d_Pay,'Customer Analytics'!$S$4,d_Type,'Customer Analytics'!$T$4)</f>
        <v>1146</v>
      </c>
      <c r="E152" s="100" t="n">
        <f aca="false">IFERROR(AVERAGEIFS(d_CRating,d_Cust,A152,d_Year,'Customer Analytics'!$P$4,d_City,'Customer Analytics'!$Q$4,d_Cuisine,'Customer Analytics'!$R$4,d_Pay,'Customer Analytics'!$S$4,d_Type,'Customer Analytics'!$T$4),0)</f>
        <v>5</v>
      </c>
      <c r="F152" s="98" t="n">
        <f aca="false">D152+ROW()/1000000</f>
        <v>1146.000152</v>
      </c>
      <c r="G152" s="98" t="n">
        <f aca="false">RANK(F152,$F$2:$F$351)</f>
        <v>275</v>
      </c>
    </row>
    <row r="153" customFormat="false" ht="15" hidden="false" customHeight="false" outlineLevel="0" collapsed="false">
      <c r="A153" s="98" t="s">
        <v>491</v>
      </c>
      <c r="B153" s="98" t="n">
        <f aca="false">COUNTIFS(d_Cust,A153,d_Year,'Customer Analytics'!$P$4,d_City,'Customer Analytics'!$Q$4,d_Cuisine,'Customer Analytics'!$R$4,d_Pay,'Customer Analytics'!$S$4,d_Type,'Customer Analytics'!$T$4)</f>
        <v>3</v>
      </c>
      <c r="C153" s="98" t="n">
        <f aca="false">COUNTIFS(d_Cust,A153,d_Status,"Delivered",d_Year,'Customer Analytics'!$P$4,d_City,'Customer Analytics'!$Q$4,d_Cuisine,'Customer Analytics'!$R$4,d_Pay,'Customer Analytics'!$S$4,d_Type,'Customer Analytics'!$T$4)</f>
        <v>2</v>
      </c>
      <c r="D153" s="99" t="n">
        <f aca="false">SUMIFS(d_Net,d_Cust,A153,d_Status,"Delivered",d_Year,'Customer Analytics'!$P$4,d_City,'Customer Analytics'!$Q$4,d_Cuisine,'Customer Analytics'!$R$4,d_Pay,'Customer Analytics'!$S$4,d_Type,'Customer Analytics'!$T$4)</f>
        <v>1634</v>
      </c>
      <c r="E153" s="100" t="n">
        <f aca="false">IFERROR(AVERAGEIFS(d_CRating,d_Cust,A153,d_Year,'Customer Analytics'!$P$4,d_City,'Customer Analytics'!$Q$4,d_Cuisine,'Customer Analytics'!$R$4,d_Pay,'Customer Analytics'!$S$4,d_Type,'Customer Analytics'!$T$4),0)</f>
        <v>4.33333333333333</v>
      </c>
      <c r="F153" s="98" t="n">
        <f aca="false">D153+ROW()/1000000</f>
        <v>1634.000153</v>
      </c>
      <c r="G153" s="98" t="n">
        <f aca="false">RANK(F153,$F$2:$F$351)</f>
        <v>216</v>
      </c>
    </row>
    <row r="154" customFormat="false" ht="15" hidden="false" customHeight="false" outlineLevel="0" collapsed="false">
      <c r="A154" s="98" t="s">
        <v>492</v>
      </c>
      <c r="B154" s="98" t="n">
        <f aca="false">COUNTIFS(d_Cust,A154,d_Year,'Customer Analytics'!$P$4,d_City,'Customer Analytics'!$Q$4,d_Cuisine,'Customer Analytics'!$R$4,d_Pay,'Customer Analytics'!$S$4,d_Type,'Customer Analytics'!$T$4)</f>
        <v>3</v>
      </c>
      <c r="C154" s="98" t="n">
        <f aca="false">COUNTIFS(d_Cust,A154,d_Status,"Delivered",d_Year,'Customer Analytics'!$P$4,d_City,'Customer Analytics'!$Q$4,d_Cuisine,'Customer Analytics'!$R$4,d_Pay,'Customer Analytics'!$S$4,d_Type,'Customer Analytics'!$T$4)</f>
        <v>1</v>
      </c>
      <c r="D154" s="99" t="n">
        <f aca="false">SUMIFS(d_Net,d_Cust,A154,d_Status,"Delivered",d_Year,'Customer Analytics'!$P$4,d_City,'Customer Analytics'!$Q$4,d_Cuisine,'Customer Analytics'!$R$4,d_Pay,'Customer Analytics'!$S$4,d_Type,'Customer Analytics'!$T$4)</f>
        <v>447</v>
      </c>
      <c r="E154" s="100" t="n">
        <f aca="false">IFERROR(AVERAGEIFS(d_CRating,d_Cust,A154,d_Year,'Customer Analytics'!$P$4,d_City,'Customer Analytics'!$Q$4,d_Cuisine,'Customer Analytics'!$R$4,d_Pay,'Customer Analytics'!$S$4,d_Type,'Customer Analytics'!$T$4),0)</f>
        <v>4.33333333333333</v>
      </c>
      <c r="F154" s="98" t="n">
        <f aca="false">D154+ROW()/1000000</f>
        <v>447.000154</v>
      </c>
      <c r="G154" s="98" t="n">
        <f aca="false">RANK(F154,$F$2:$F$351)</f>
        <v>332</v>
      </c>
    </row>
    <row r="155" customFormat="false" ht="15" hidden="false" customHeight="false" outlineLevel="0" collapsed="false">
      <c r="A155" s="98" t="s">
        <v>493</v>
      </c>
      <c r="B155" s="98" t="n">
        <f aca="false">COUNTIFS(d_Cust,A155,d_Year,'Customer Analytics'!$P$4,d_City,'Customer Analytics'!$Q$4,d_Cuisine,'Customer Analytics'!$R$4,d_Pay,'Customer Analytics'!$S$4,d_Type,'Customer Analytics'!$T$4)</f>
        <v>3</v>
      </c>
      <c r="C155" s="98" t="n">
        <f aca="false">COUNTIFS(d_Cust,A155,d_Status,"Delivered",d_Year,'Customer Analytics'!$P$4,d_City,'Customer Analytics'!$Q$4,d_Cuisine,'Customer Analytics'!$R$4,d_Pay,'Customer Analytics'!$S$4,d_Type,'Customer Analytics'!$T$4)</f>
        <v>3</v>
      </c>
      <c r="D155" s="99" t="n">
        <f aca="false">SUMIFS(d_Net,d_Cust,A155,d_Status,"Delivered",d_Year,'Customer Analytics'!$P$4,d_City,'Customer Analytics'!$Q$4,d_Cuisine,'Customer Analytics'!$R$4,d_Pay,'Customer Analytics'!$S$4,d_Type,'Customer Analytics'!$T$4)</f>
        <v>3509</v>
      </c>
      <c r="E155" s="100" t="n">
        <f aca="false">IFERROR(AVERAGEIFS(d_CRating,d_Cust,A155,d_Year,'Customer Analytics'!$P$4,d_City,'Customer Analytics'!$Q$4,d_Cuisine,'Customer Analytics'!$R$4,d_Pay,'Customer Analytics'!$S$4,d_Type,'Customer Analytics'!$T$4),0)</f>
        <v>4.66666666666667</v>
      </c>
      <c r="F155" s="98" t="n">
        <f aca="false">D155+ROW()/1000000</f>
        <v>3509.000155</v>
      </c>
      <c r="G155" s="98" t="n">
        <f aca="false">RANK(F155,$F$2:$F$351)</f>
        <v>27</v>
      </c>
    </row>
    <row r="156" customFormat="false" ht="15" hidden="false" customHeight="false" outlineLevel="0" collapsed="false">
      <c r="A156" s="98" t="s">
        <v>494</v>
      </c>
      <c r="B156" s="98" t="n">
        <f aca="false">COUNTIFS(d_Cust,A156,d_Year,'Customer Analytics'!$P$4,d_City,'Customer Analytics'!$Q$4,d_Cuisine,'Customer Analytics'!$R$4,d_Pay,'Customer Analytics'!$S$4,d_Type,'Customer Analytics'!$T$4)</f>
        <v>3</v>
      </c>
      <c r="C156" s="98" t="n">
        <f aca="false">COUNTIFS(d_Cust,A156,d_Status,"Delivered",d_Year,'Customer Analytics'!$P$4,d_City,'Customer Analytics'!$Q$4,d_Cuisine,'Customer Analytics'!$R$4,d_Pay,'Customer Analytics'!$S$4,d_Type,'Customer Analytics'!$T$4)</f>
        <v>3</v>
      </c>
      <c r="D156" s="99" t="n">
        <f aca="false">SUMIFS(d_Net,d_Cust,A156,d_Status,"Delivered",d_Year,'Customer Analytics'!$P$4,d_City,'Customer Analytics'!$Q$4,d_Cuisine,'Customer Analytics'!$R$4,d_Pay,'Customer Analytics'!$S$4,d_Type,'Customer Analytics'!$T$4)</f>
        <v>3506</v>
      </c>
      <c r="E156" s="100" t="n">
        <f aca="false">IFERROR(AVERAGEIFS(d_CRating,d_Cust,A156,d_Year,'Customer Analytics'!$P$4,d_City,'Customer Analytics'!$Q$4,d_Cuisine,'Customer Analytics'!$R$4,d_Pay,'Customer Analytics'!$S$4,d_Type,'Customer Analytics'!$T$4),0)</f>
        <v>4</v>
      </c>
      <c r="F156" s="98" t="n">
        <f aca="false">D156+ROW()/1000000</f>
        <v>3506.000156</v>
      </c>
      <c r="G156" s="98" t="n">
        <f aca="false">RANK(F156,$F$2:$F$351)</f>
        <v>28</v>
      </c>
    </row>
    <row r="157" customFormat="false" ht="15" hidden="false" customHeight="false" outlineLevel="0" collapsed="false">
      <c r="A157" s="98" t="s">
        <v>495</v>
      </c>
      <c r="B157" s="98" t="n">
        <f aca="false">COUNTIFS(d_Cust,A157,d_Year,'Customer Analytics'!$P$4,d_City,'Customer Analytics'!$Q$4,d_Cuisine,'Customer Analytics'!$R$4,d_Pay,'Customer Analytics'!$S$4,d_Type,'Customer Analytics'!$T$4)</f>
        <v>3</v>
      </c>
      <c r="C157" s="98" t="n">
        <f aca="false">COUNTIFS(d_Cust,A157,d_Status,"Delivered",d_Year,'Customer Analytics'!$P$4,d_City,'Customer Analytics'!$Q$4,d_Cuisine,'Customer Analytics'!$R$4,d_Pay,'Customer Analytics'!$S$4,d_Type,'Customer Analytics'!$T$4)</f>
        <v>3</v>
      </c>
      <c r="D157" s="99" t="n">
        <f aca="false">SUMIFS(d_Net,d_Cust,A157,d_Status,"Delivered",d_Year,'Customer Analytics'!$P$4,d_City,'Customer Analytics'!$Q$4,d_Cuisine,'Customer Analytics'!$R$4,d_Pay,'Customer Analytics'!$S$4,d_Type,'Customer Analytics'!$T$4)</f>
        <v>3733</v>
      </c>
      <c r="E157" s="100" t="n">
        <f aca="false">IFERROR(AVERAGEIFS(d_CRating,d_Cust,A157,d_Year,'Customer Analytics'!$P$4,d_City,'Customer Analytics'!$Q$4,d_Cuisine,'Customer Analytics'!$R$4,d_Pay,'Customer Analytics'!$S$4,d_Type,'Customer Analytics'!$T$4),0)</f>
        <v>3.66666666666667</v>
      </c>
      <c r="F157" s="98" t="n">
        <f aca="false">D157+ROW()/1000000</f>
        <v>3733.000157</v>
      </c>
      <c r="G157" s="98" t="n">
        <f aca="false">RANK(F157,$F$2:$F$351)</f>
        <v>17</v>
      </c>
    </row>
    <row r="158" customFormat="false" ht="15" hidden="false" customHeight="false" outlineLevel="0" collapsed="false">
      <c r="A158" s="98" t="s">
        <v>496</v>
      </c>
      <c r="B158" s="98" t="n">
        <f aca="false">COUNTIFS(d_Cust,A158,d_Year,'Customer Analytics'!$P$4,d_City,'Customer Analytics'!$Q$4,d_Cuisine,'Customer Analytics'!$R$4,d_Pay,'Customer Analytics'!$S$4,d_Type,'Customer Analytics'!$T$4)</f>
        <v>3</v>
      </c>
      <c r="C158" s="98" t="n">
        <f aca="false">COUNTIFS(d_Cust,A158,d_Status,"Delivered",d_Year,'Customer Analytics'!$P$4,d_City,'Customer Analytics'!$Q$4,d_Cuisine,'Customer Analytics'!$R$4,d_Pay,'Customer Analytics'!$S$4,d_Type,'Customer Analytics'!$T$4)</f>
        <v>3</v>
      </c>
      <c r="D158" s="99" t="n">
        <f aca="false">SUMIFS(d_Net,d_Cust,A158,d_Status,"Delivered",d_Year,'Customer Analytics'!$P$4,d_City,'Customer Analytics'!$Q$4,d_Cuisine,'Customer Analytics'!$R$4,d_Pay,'Customer Analytics'!$S$4,d_Type,'Customer Analytics'!$T$4)</f>
        <v>2579</v>
      </c>
      <c r="E158" s="100" t="n">
        <f aca="false">IFERROR(AVERAGEIFS(d_CRating,d_Cust,A158,d_Year,'Customer Analytics'!$P$4,d_City,'Customer Analytics'!$Q$4,d_Cuisine,'Customer Analytics'!$R$4,d_Pay,'Customer Analytics'!$S$4,d_Type,'Customer Analytics'!$T$4),0)</f>
        <v>4.33333333333333</v>
      </c>
      <c r="F158" s="98" t="n">
        <f aca="false">D158+ROW()/1000000</f>
        <v>2579.000158</v>
      </c>
      <c r="G158" s="98" t="n">
        <f aca="false">RANK(F158,$F$2:$F$351)</f>
        <v>102</v>
      </c>
    </row>
    <row r="159" customFormat="false" ht="15" hidden="false" customHeight="false" outlineLevel="0" collapsed="false">
      <c r="A159" s="98" t="s">
        <v>497</v>
      </c>
      <c r="B159" s="98" t="n">
        <f aca="false">COUNTIFS(d_Cust,A159,d_Year,'Customer Analytics'!$P$4,d_City,'Customer Analytics'!$Q$4,d_Cuisine,'Customer Analytics'!$R$4,d_Pay,'Customer Analytics'!$S$4,d_Type,'Customer Analytics'!$T$4)</f>
        <v>3</v>
      </c>
      <c r="C159" s="98" t="n">
        <f aca="false">COUNTIFS(d_Cust,A159,d_Status,"Delivered",d_Year,'Customer Analytics'!$P$4,d_City,'Customer Analytics'!$Q$4,d_Cuisine,'Customer Analytics'!$R$4,d_Pay,'Customer Analytics'!$S$4,d_Type,'Customer Analytics'!$T$4)</f>
        <v>3</v>
      </c>
      <c r="D159" s="99" t="n">
        <f aca="false">SUMIFS(d_Net,d_Cust,A159,d_Status,"Delivered",d_Year,'Customer Analytics'!$P$4,d_City,'Customer Analytics'!$Q$4,d_Cuisine,'Customer Analytics'!$R$4,d_Pay,'Customer Analytics'!$S$4,d_Type,'Customer Analytics'!$T$4)</f>
        <v>2543</v>
      </c>
      <c r="E159" s="100" t="n">
        <f aca="false">IFERROR(AVERAGEIFS(d_CRating,d_Cust,A159,d_Year,'Customer Analytics'!$P$4,d_City,'Customer Analytics'!$Q$4,d_Cuisine,'Customer Analytics'!$R$4,d_Pay,'Customer Analytics'!$S$4,d_Type,'Customer Analytics'!$T$4),0)</f>
        <v>4</v>
      </c>
      <c r="F159" s="98" t="n">
        <f aca="false">D159+ROW()/1000000</f>
        <v>2543.000159</v>
      </c>
      <c r="G159" s="98" t="n">
        <f aca="false">RANK(F159,$F$2:$F$351)</f>
        <v>111</v>
      </c>
    </row>
    <row r="160" customFormat="false" ht="15" hidden="false" customHeight="false" outlineLevel="0" collapsed="false">
      <c r="A160" s="98" t="s">
        <v>498</v>
      </c>
      <c r="B160" s="98" t="n">
        <f aca="false">COUNTIFS(d_Cust,A160,d_Year,'Customer Analytics'!$P$4,d_City,'Customer Analytics'!$Q$4,d_Cuisine,'Customer Analytics'!$R$4,d_Pay,'Customer Analytics'!$S$4,d_Type,'Customer Analytics'!$T$4)</f>
        <v>3</v>
      </c>
      <c r="C160" s="98" t="n">
        <f aca="false">COUNTIFS(d_Cust,A160,d_Status,"Delivered",d_Year,'Customer Analytics'!$P$4,d_City,'Customer Analytics'!$Q$4,d_Cuisine,'Customer Analytics'!$R$4,d_Pay,'Customer Analytics'!$S$4,d_Type,'Customer Analytics'!$T$4)</f>
        <v>1</v>
      </c>
      <c r="D160" s="99" t="n">
        <f aca="false">SUMIFS(d_Net,d_Cust,A160,d_Status,"Delivered",d_Year,'Customer Analytics'!$P$4,d_City,'Customer Analytics'!$Q$4,d_Cuisine,'Customer Analytics'!$R$4,d_Pay,'Customer Analytics'!$S$4,d_Type,'Customer Analytics'!$T$4)</f>
        <v>289</v>
      </c>
      <c r="E160" s="100" t="n">
        <f aca="false">IFERROR(AVERAGEIFS(d_CRating,d_Cust,A160,d_Year,'Customer Analytics'!$P$4,d_City,'Customer Analytics'!$Q$4,d_Cuisine,'Customer Analytics'!$R$4,d_Pay,'Customer Analytics'!$S$4,d_Type,'Customer Analytics'!$T$4),0)</f>
        <v>3</v>
      </c>
      <c r="F160" s="98" t="n">
        <f aca="false">D160+ROW()/1000000</f>
        <v>289.00016</v>
      </c>
      <c r="G160" s="98" t="n">
        <f aca="false">RANK(F160,$F$2:$F$351)</f>
        <v>338</v>
      </c>
    </row>
    <row r="161" customFormat="false" ht="15" hidden="false" customHeight="false" outlineLevel="0" collapsed="false">
      <c r="A161" s="98" t="s">
        <v>499</v>
      </c>
      <c r="B161" s="98" t="n">
        <f aca="false">COUNTIFS(d_Cust,A161,d_Year,'Customer Analytics'!$P$4,d_City,'Customer Analytics'!$Q$4,d_Cuisine,'Customer Analytics'!$R$4,d_Pay,'Customer Analytics'!$S$4,d_Type,'Customer Analytics'!$T$4)</f>
        <v>3</v>
      </c>
      <c r="C161" s="98" t="n">
        <f aca="false">COUNTIFS(d_Cust,A161,d_Status,"Delivered",d_Year,'Customer Analytics'!$P$4,d_City,'Customer Analytics'!$Q$4,d_Cuisine,'Customer Analytics'!$R$4,d_Pay,'Customer Analytics'!$S$4,d_Type,'Customer Analytics'!$T$4)</f>
        <v>2</v>
      </c>
      <c r="D161" s="99" t="n">
        <f aca="false">SUMIFS(d_Net,d_Cust,A161,d_Status,"Delivered",d_Year,'Customer Analytics'!$P$4,d_City,'Customer Analytics'!$Q$4,d_Cuisine,'Customer Analytics'!$R$4,d_Pay,'Customer Analytics'!$S$4,d_Type,'Customer Analytics'!$T$4)</f>
        <v>1653</v>
      </c>
      <c r="E161" s="100" t="n">
        <f aca="false">IFERROR(AVERAGEIFS(d_CRating,d_Cust,A161,d_Year,'Customer Analytics'!$P$4,d_City,'Customer Analytics'!$Q$4,d_Cuisine,'Customer Analytics'!$R$4,d_Pay,'Customer Analytics'!$S$4,d_Type,'Customer Analytics'!$T$4),0)</f>
        <v>4.33333333333333</v>
      </c>
      <c r="F161" s="98" t="n">
        <f aca="false">D161+ROW()/1000000</f>
        <v>1653.000161</v>
      </c>
      <c r="G161" s="98" t="n">
        <f aca="false">RANK(F161,$F$2:$F$351)</f>
        <v>212</v>
      </c>
    </row>
    <row r="162" customFormat="false" ht="15" hidden="false" customHeight="false" outlineLevel="0" collapsed="false">
      <c r="A162" s="98" t="s">
        <v>500</v>
      </c>
      <c r="B162" s="98" t="n">
        <f aca="false">COUNTIFS(d_Cust,A162,d_Year,'Customer Analytics'!$P$4,d_City,'Customer Analytics'!$Q$4,d_Cuisine,'Customer Analytics'!$R$4,d_Pay,'Customer Analytics'!$S$4,d_Type,'Customer Analytics'!$T$4)</f>
        <v>3</v>
      </c>
      <c r="C162" s="98" t="n">
        <f aca="false">COUNTIFS(d_Cust,A162,d_Status,"Delivered",d_Year,'Customer Analytics'!$P$4,d_City,'Customer Analytics'!$Q$4,d_Cuisine,'Customer Analytics'!$R$4,d_Pay,'Customer Analytics'!$S$4,d_Type,'Customer Analytics'!$T$4)</f>
        <v>1</v>
      </c>
      <c r="D162" s="99" t="n">
        <f aca="false">SUMIFS(d_Net,d_Cust,A162,d_Status,"Delivered",d_Year,'Customer Analytics'!$P$4,d_City,'Customer Analytics'!$Q$4,d_Cuisine,'Customer Analytics'!$R$4,d_Pay,'Customer Analytics'!$S$4,d_Type,'Customer Analytics'!$T$4)</f>
        <v>630</v>
      </c>
      <c r="E162" s="100" t="n">
        <f aca="false">IFERROR(AVERAGEIFS(d_CRating,d_Cust,A162,d_Year,'Customer Analytics'!$P$4,d_City,'Customer Analytics'!$Q$4,d_Cuisine,'Customer Analytics'!$R$4,d_Pay,'Customer Analytics'!$S$4,d_Type,'Customer Analytics'!$T$4),0)</f>
        <v>3.33333333333333</v>
      </c>
      <c r="F162" s="98" t="n">
        <f aca="false">D162+ROW()/1000000</f>
        <v>630.000162</v>
      </c>
      <c r="G162" s="98" t="n">
        <f aca="false">RANK(F162,$F$2:$F$351)</f>
        <v>318</v>
      </c>
    </row>
    <row r="163" customFormat="false" ht="15" hidden="false" customHeight="false" outlineLevel="0" collapsed="false">
      <c r="A163" s="98" t="s">
        <v>501</v>
      </c>
      <c r="B163" s="98" t="n">
        <f aca="false">COUNTIFS(d_Cust,A163,d_Year,'Customer Analytics'!$P$4,d_City,'Customer Analytics'!$Q$4,d_Cuisine,'Customer Analytics'!$R$4,d_Pay,'Customer Analytics'!$S$4,d_Type,'Customer Analytics'!$T$4)</f>
        <v>3</v>
      </c>
      <c r="C163" s="98" t="n">
        <f aca="false">COUNTIFS(d_Cust,A163,d_Status,"Delivered",d_Year,'Customer Analytics'!$P$4,d_City,'Customer Analytics'!$Q$4,d_Cuisine,'Customer Analytics'!$R$4,d_Pay,'Customer Analytics'!$S$4,d_Type,'Customer Analytics'!$T$4)</f>
        <v>2</v>
      </c>
      <c r="D163" s="99" t="n">
        <f aca="false">SUMIFS(d_Net,d_Cust,A163,d_Status,"Delivered",d_Year,'Customer Analytics'!$P$4,d_City,'Customer Analytics'!$Q$4,d_Cuisine,'Customer Analytics'!$R$4,d_Pay,'Customer Analytics'!$S$4,d_Type,'Customer Analytics'!$T$4)</f>
        <v>2005</v>
      </c>
      <c r="E163" s="100" t="n">
        <f aca="false">IFERROR(AVERAGEIFS(d_CRating,d_Cust,A163,d_Year,'Customer Analytics'!$P$4,d_City,'Customer Analytics'!$Q$4,d_Cuisine,'Customer Analytics'!$R$4,d_Pay,'Customer Analytics'!$S$4,d_Type,'Customer Analytics'!$T$4),0)</f>
        <v>2</v>
      </c>
      <c r="F163" s="98" t="n">
        <f aca="false">D163+ROW()/1000000</f>
        <v>2005.000163</v>
      </c>
      <c r="G163" s="98" t="n">
        <f aca="false">RANK(F163,$F$2:$F$351)</f>
        <v>167</v>
      </c>
    </row>
    <row r="164" customFormat="false" ht="15" hidden="false" customHeight="false" outlineLevel="0" collapsed="false">
      <c r="A164" s="98" t="s">
        <v>502</v>
      </c>
      <c r="B164" s="98" t="n">
        <f aca="false">COUNTIFS(d_Cust,A164,d_Year,'Customer Analytics'!$P$4,d_City,'Customer Analytics'!$Q$4,d_Cuisine,'Customer Analytics'!$R$4,d_Pay,'Customer Analytics'!$S$4,d_Type,'Customer Analytics'!$T$4)</f>
        <v>3</v>
      </c>
      <c r="C164" s="98" t="n">
        <f aca="false">COUNTIFS(d_Cust,A164,d_Status,"Delivered",d_Year,'Customer Analytics'!$P$4,d_City,'Customer Analytics'!$Q$4,d_Cuisine,'Customer Analytics'!$R$4,d_Pay,'Customer Analytics'!$S$4,d_Type,'Customer Analytics'!$T$4)</f>
        <v>1</v>
      </c>
      <c r="D164" s="99" t="n">
        <f aca="false">SUMIFS(d_Net,d_Cust,A164,d_Status,"Delivered",d_Year,'Customer Analytics'!$P$4,d_City,'Customer Analytics'!$Q$4,d_Cuisine,'Customer Analytics'!$R$4,d_Pay,'Customer Analytics'!$S$4,d_Type,'Customer Analytics'!$T$4)</f>
        <v>1271</v>
      </c>
      <c r="E164" s="100" t="n">
        <f aca="false">IFERROR(AVERAGEIFS(d_CRating,d_Cust,A164,d_Year,'Customer Analytics'!$P$4,d_City,'Customer Analytics'!$Q$4,d_Cuisine,'Customer Analytics'!$R$4,d_Pay,'Customer Analytics'!$S$4,d_Type,'Customer Analytics'!$T$4),0)</f>
        <v>2.66666666666667</v>
      </c>
      <c r="F164" s="98" t="n">
        <f aca="false">D164+ROW()/1000000</f>
        <v>1271.000164</v>
      </c>
      <c r="G164" s="98" t="n">
        <f aca="false">RANK(F164,$F$2:$F$351)</f>
        <v>259</v>
      </c>
    </row>
    <row r="165" customFormat="false" ht="15" hidden="false" customHeight="false" outlineLevel="0" collapsed="false">
      <c r="A165" s="98" t="s">
        <v>503</v>
      </c>
      <c r="B165" s="98" t="n">
        <f aca="false">COUNTIFS(d_Cust,A165,d_Year,'Customer Analytics'!$P$4,d_City,'Customer Analytics'!$Q$4,d_Cuisine,'Customer Analytics'!$R$4,d_Pay,'Customer Analytics'!$S$4,d_Type,'Customer Analytics'!$T$4)</f>
        <v>3</v>
      </c>
      <c r="C165" s="98" t="n">
        <f aca="false">COUNTIFS(d_Cust,A165,d_Status,"Delivered",d_Year,'Customer Analytics'!$P$4,d_City,'Customer Analytics'!$Q$4,d_Cuisine,'Customer Analytics'!$R$4,d_Pay,'Customer Analytics'!$S$4,d_Type,'Customer Analytics'!$T$4)</f>
        <v>2</v>
      </c>
      <c r="D165" s="99" t="n">
        <f aca="false">SUMIFS(d_Net,d_Cust,A165,d_Status,"Delivered",d_Year,'Customer Analytics'!$P$4,d_City,'Customer Analytics'!$Q$4,d_Cuisine,'Customer Analytics'!$R$4,d_Pay,'Customer Analytics'!$S$4,d_Type,'Customer Analytics'!$T$4)</f>
        <v>882</v>
      </c>
      <c r="E165" s="100" t="n">
        <f aca="false">IFERROR(AVERAGEIFS(d_CRating,d_Cust,A165,d_Year,'Customer Analytics'!$P$4,d_City,'Customer Analytics'!$Q$4,d_Cuisine,'Customer Analytics'!$R$4,d_Pay,'Customer Analytics'!$S$4,d_Type,'Customer Analytics'!$T$4),0)</f>
        <v>5</v>
      </c>
      <c r="F165" s="98" t="n">
        <f aca="false">D165+ROW()/1000000</f>
        <v>882.000165</v>
      </c>
      <c r="G165" s="98" t="n">
        <f aca="false">RANK(F165,$F$2:$F$351)</f>
        <v>291</v>
      </c>
    </row>
    <row r="166" customFormat="false" ht="15" hidden="false" customHeight="false" outlineLevel="0" collapsed="false">
      <c r="A166" s="98" t="s">
        <v>504</v>
      </c>
      <c r="B166" s="98" t="n">
        <f aca="false">COUNTIFS(d_Cust,A166,d_Year,'Customer Analytics'!$P$4,d_City,'Customer Analytics'!$Q$4,d_Cuisine,'Customer Analytics'!$R$4,d_Pay,'Customer Analytics'!$S$4,d_Type,'Customer Analytics'!$T$4)</f>
        <v>3</v>
      </c>
      <c r="C166" s="98" t="n">
        <f aca="false">COUNTIFS(d_Cust,A166,d_Status,"Delivered",d_Year,'Customer Analytics'!$P$4,d_City,'Customer Analytics'!$Q$4,d_Cuisine,'Customer Analytics'!$R$4,d_Pay,'Customer Analytics'!$S$4,d_Type,'Customer Analytics'!$T$4)</f>
        <v>3</v>
      </c>
      <c r="D166" s="99" t="n">
        <f aca="false">SUMIFS(d_Net,d_Cust,A166,d_Status,"Delivered",d_Year,'Customer Analytics'!$P$4,d_City,'Customer Analytics'!$Q$4,d_Cuisine,'Customer Analytics'!$R$4,d_Pay,'Customer Analytics'!$S$4,d_Type,'Customer Analytics'!$T$4)</f>
        <v>1710</v>
      </c>
      <c r="E166" s="100" t="n">
        <f aca="false">IFERROR(AVERAGEIFS(d_CRating,d_Cust,A166,d_Year,'Customer Analytics'!$P$4,d_City,'Customer Analytics'!$Q$4,d_Cuisine,'Customer Analytics'!$R$4,d_Pay,'Customer Analytics'!$S$4,d_Type,'Customer Analytics'!$T$4),0)</f>
        <v>4.66666666666667</v>
      </c>
      <c r="F166" s="98" t="n">
        <f aca="false">D166+ROW()/1000000</f>
        <v>1710.000166</v>
      </c>
      <c r="G166" s="98" t="n">
        <f aca="false">RANK(F166,$F$2:$F$351)</f>
        <v>200</v>
      </c>
    </row>
    <row r="167" customFormat="false" ht="15" hidden="false" customHeight="false" outlineLevel="0" collapsed="false">
      <c r="A167" s="98" t="s">
        <v>505</v>
      </c>
      <c r="B167" s="98" t="n">
        <f aca="false">COUNTIFS(d_Cust,A167,d_Year,'Customer Analytics'!$P$4,d_City,'Customer Analytics'!$Q$4,d_Cuisine,'Customer Analytics'!$R$4,d_Pay,'Customer Analytics'!$S$4,d_Type,'Customer Analytics'!$T$4)</f>
        <v>3</v>
      </c>
      <c r="C167" s="98" t="n">
        <f aca="false">COUNTIFS(d_Cust,A167,d_Status,"Delivered",d_Year,'Customer Analytics'!$P$4,d_City,'Customer Analytics'!$Q$4,d_Cuisine,'Customer Analytics'!$R$4,d_Pay,'Customer Analytics'!$S$4,d_Type,'Customer Analytics'!$T$4)</f>
        <v>2</v>
      </c>
      <c r="D167" s="99" t="n">
        <f aca="false">SUMIFS(d_Net,d_Cust,A167,d_Status,"Delivered",d_Year,'Customer Analytics'!$P$4,d_City,'Customer Analytics'!$Q$4,d_Cuisine,'Customer Analytics'!$R$4,d_Pay,'Customer Analytics'!$S$4,d_Type,'Customer Analytics'!$T$4)</f>
        <v>2339</v>
      </c>
      <c r="E167" s="100" t="n">
        <f aca="false">IFERROR(AVERAGEIFS(d_CRating,d_Cust,A167,d_Year,'Customer Analytics'!$P$4,d_City,'Customer Analytics'!$Q$4,d_Cuisine,'Customer Analytics'!$R$4,d_Pay,'Customer Analytics'!$S$4,d_Type,'Customer Analytics'!$T$4),0)</f>
        <v>4</v>
      </c>
      <c r="F167" s="98" t="n">
        <f aca="false">D167+ROW()/1000000</f>
        <v>2339.000167</v>
      </c>
      <c r="G167" s="98" t="n">
        <f aca="false">RANK(F167,$F$2:$F$351)</f>
        <v>132</v>
      </c>
    </row>
    <row r="168" customFormat="false" ht="15" hidden="false" customHeight="false" outlineLevel="0" collapsed="false">
      <c r="A168" s="98" t="s">
        <v>506</v>
      </c>
      <c r="B168" s="98" t="n">
        <f aca="false">COUNTIFS(d_Cust,A168,d_Year,'Customer Analytics'!$P$4,d_City,'Customer Analytics'!$Q$4,d_Cuisine,'Customer Analytics'!$R$4,d_Pay,'Customer Analytics'!$S$4,d_Type,'Customer Analytics'!$T$4)</f>
        <v>3</v>
      </c>
      <c r="C168" s="98" t="n">
        <f aca="false">COUNTIFS(d_Cust,A168,d_Status,"Delivered",d_Year,'Customer Analytics'!$P$4,d_City,'Customer Analytics'!$Q$4,d_Cuisine,'Customer Analytics'!$R$4,d_Pay,'Customer Analytics'!$S$4,d_Type,'Customer Analytics'!$T$4)</f>
        <v>1</v>
      </c>
      <c r="D168" s="99" t="n">
        <f aca="false">SUMIFS(d_Net,d_Cust,A168,d_Status,"Delivered",d_Year,'Customer Analytics'!$P$4,d_City,'Customer Analytics'!$Q$4,d_Cuisine,'Customer Analytics'!$R$4,d_Pay,'Customer Analytics'!$S$4,d_Type,'Customer Analytics'!$T$4)</f>
        <v>1417</v>
      </c>
      <c r="E168" s="100" t="n">
        <f aca="false">IFERROR(AVERAGEIFS(d_CRating,d_Cust,A168,d_Year,'Customer Analytics'!$P$4,d_City,'Customer Analytics'!$Q$4,d_Cuisine,'Customer Analytics'!$R$4,d_Pay,'Customer Analytics'!$S$4,d_Type,'Customer Analytics'!$T$4),0)</f>
        <v>5</v>
      </c>
      <c r="F168" s="98" t="n">
        <f aca="false">D168+ROW()/1000000</f>
        <v>1417.000168</v>
      </c>
      <c r="G168" s="98" t="n">
        <f aca="false">RANK(F168,$F$2:$F$351)</f>
        <v>246</v>
      </c>
    </row>
    <row r="169" customFormat="false" ht="15" hidden="false" customHeight="false" outlineLevel="0" collapsed="false">
      <c r="A169" s="98" t="s">
        <v>507</v>
      </c>
      <c r="B169" s="98" t="n">
        <f aca="false">COUNTIFS(d_Cust,A169,d_Year,'Customer Analytics'!$P$4,d_City,'Customer Analytics'!$Q$4,d_Cuisine,'Customer Analytics'!$R$4,d_Pay,'Customer Analytics'!$S$4,d_Type,'Customer Analytics'!$T$4)</f>
        <v>3</v>
      </c>
      <c r="C169" s="98" t="n">
        <f aca="false">COUNTIFS(d_Cust,A169,d_Status,"Delivered",d_Year,'Customer Analytics'!$P$4,d_City,'Customer Analytics'!$Q$4,d_Cuisine,'Customer Analytics'!$R$4,d_Pay,'Customer Analytics'!$S$4,d_Type,'Customer Analytics'!$T$4)</f>
        <v>1</v>
      </c>
      <c r="D169" s="99" t="n">
        <f aca="false">SUMIFS(d_Net,d_Cust,A169,d_Status,"Delivered",d_Year,'Customer Analytics'!$P$4,d_City,'Customer Analytics'!$Q$4,d_Cuisine,'Customer Analytics'!$R$4,d_Pay,'Customer Analytics'!$S$4,d_Type,'Customer Analytics'!$T$4)</f>
        <v>556</v>
      </c>
      <c r="E169" s="100" t="n">
        <f aca="false">IFERROR(AVERAGEIFS(d_CRating,d_Cust,A169,d_Year,'Customer Analytics'!$P$4,d_City,'Customer Analytics'!$Q$4,d_Cuisine,'Customer Analytics'!$R$4,d_Pay,'Customer Analytics'!$S$4,d_Type,'Customer Analytics'!$T$4),0)</f>
        <v>3</v>
      </c>
      <c r="F169" s="98" t="n">
        <f aca="false">D169+ROW()/1000000</f>
        <v>556.000169</v>
      </c>
      <c r="G169" s="98" t="n">
        <f aca="false">RANK(F169,$F$2:$F$351)</f>
        <v>325</v>
      </c>
    </row>
    <row r="170" customFormat="false" ht="15" hidden="false" customHeight="false" outlineLevel="0" collapsed="false">
      <c r="A170" s="98" t="s">
        <v>508</v>
      </c>
      <c r="B170" s="98" t="n">
        <f aca="false">COUNTIFS(d_Cust,A170,d_Year,'Customer Analytics'!$P$4,d_City,'Customer Analytics'!$Q$4,d_Cuisine,'Customer Analytics'!$R$4,d_Pay,'Customer Analytics'!$S$4,d_Type,'Customer Analytics'!$T$4)</f>
        <v>3</v>
      </c>
      <c r="C170" s="98" t="n">
        <f aca="false">COUNTIFS(d_Cust,A170,d_Status,"Delivered",d_Year,'Customer Analytics'!$P$4,d_City,'Customer Analytics'!$Q$4,d_Cuisine,'Customer Analytics'!$R$4,d_Pay,'Customer Analytics'!$S$4,d_Type,'Customer Analytics'!$T$4)</f>
        <v>1</v>
      </c>
      <c r="D170" s="99" t="n">
        <f aca="false">SUMIFS(d_Net,d_Cust,A170,d_Status,"Delivered",d_Year,'Customer Analytics'!$P$4,d_City,'Customer Analytics'!$Q$4,d_Cuisine,'Customer Analytics'!$R$4,d_Pay,'Customer Analytics'!$S$4,d_Type,'Customer Analytics'!$T$4)</f>
        <v>871</v>
      </c>
      <c r="E170" s="100" t="n">
        <f aca="false">IFERROR(AVERAGEIFS(d_CRating,d_Cust,A170,d_Year,'Customer Analytics'!$P$4,d_City,'Customer Analytics'!$Q$4,d_Cuisine,'Customer Analytics'!$R$4,d_Pay,'Customer Analytics'!$S$4,d_Type,'Customer Analytics'!$T$4),0)</f>
        <v>4.33333333333333</v>
      </c>
      <c r="F170" s="98" t="n">
        <f aca="false">D170+ROW()/1000000</f>
        <v>871.00017</v>
      </c>
      <c r="G170" s="98" t="n">
        <f aca="false">RANK(F170,$F$2:$F$351)</f>
        <v>294</v>
      </c>
    </row>
    <row r="171" customFormat="false" ht="15" hidden="false" customHeight="false" outlineLevel="0" collapsed="false">
      <c r="A171" s="98" t="s">
        <v>509</v>
      </c>
      <c r="B171" s="98" t="n">
        <f aca="false">COUNTIFS(d_Cust,A171,d_Year,'Customer Analytics'!$P$4,d_City,'Customer Analytics'!$Q$4,d_Cuisine,'Customer Analytics'!$R$4,d_Pay,'Customer Analytics'!$S$4,d_Type,'Customer Analytics'!$T$4)</f>
        <v>3</v>
      </c>
      <c r="C171" s="98" t="n">
        <f aca="false">COUNTIFS(d_Cust,A171,d_Status,"Delivered",d_Year,'Customer Analytics'!$P$4,d_City,'Customer Analytics'!$Q$4,d_Cuisine,'Customer Analytics'!$R$4,d_Pay,'Customer Analytics'!$S$4,d_Type,'Customer Analytics'!$T$4)</f>
        <v>1</v>
      </c>
      <c r="D171" s="99" t="n">
        <f aca="false">SUMIFS(d_Net,d_Cust,A171,d_Status,"Delivered",d_Year,'Customer Analytics'!$P$4,d_City,'Customer Analytics'!$Q$4,d_Cuisine,'Customer Analytics'!$R$4,d_Pay,'Customer Analytics'!$S$4,d_Type,'Customer Analytics'!$T$4)</f>
        <v>599</v>
      </c>
      <c r="E171" s="100" t="n">
        <f aca="false">IFERROR(AVERAGEIFS(d_CRating,d_Cust,A171,d_Year,'Customer Analytics'!$P$4,d_City,'Customer Analytics'!$Q$4,d_Cuisine,'Customer Analytics'!$R$4,d_Pay,'Customer Analytics'!$S$4,d_Type,'Customer Analytics'!$T$4),0)</f>
        <v>3.33333333333333</v>
      </c>
      <c r="F171" s="98" t="n">
        <f aca="false">D171+ROW()/1000000</f>
        <v>599.000171</v>
      </c>
      <c r="G171" s="98" t="n">
        <f aca="false">RANK(F171,$F$2:$F$351)</f>
        <v>322</v>
      </c>
    </row>
    <row r="172" customFormat="false" ht="15" hidden="false" customHeight="false" outlineLevel="0" collapsed="false">
      <c r="A172" s="98" t="s">
        <v>510</v>
      </c>
      <c r="B172" s="98" t="n">
        <f aca="false">COUNTIFS(d_Cust,A172,d_Year,'Customer Analytics'!$P$4,d_City,'Customer Analytics'!$Q$4,d_Cuisine,'Customer Analytics'!$R$4,d_Pay,'Customer Analytics'!$S$4,d_Type,'Customer Analytics'!$T$4)</f>
        <v>3</v>
      </c>
      <c r="C172" s="98" t="n">
        <f aca="false">COUNTIFS(d_Cust,A172,d_Status,"Delivered",d_Year,'Customer Analytics'!$P$4,d_City,'Customer Analytics'!$Q$4,d_Cuisine,'Customer Analytics'!$R$4,d_Pay,'Customer Analytics'!$S$4,d_Type,'Customer Analytics'!$T$4)</f>
        <v>3</v>
      </c>
      <c r="D172" s="99" t="n">
        <f aca="false">SUMIFS(d_Net,d_Cust,A172,d_Status,"Delivered",d_Year,'Customer Analytics'!$P$4,d_City,'Customer Analytics'!$Q$4,d_Cuisine,'Customer Analytics'!$R$4,d_Pay,'Customer Analytics'!$S$4,d_Type,'Customer Analytics'!$T$4)</f>
        <v>2830</v>
      </c>
      <c r="E172" s="100" t="n">
        <f aca="false">IFERROR(AVERAGEIFS(d_CRating,d_Cust,A172,d_Year,'Customer Analytics'!$P$4,d_City,'Customer Analytics'!$Q$4,d_Cuisine,'Customer Analytics'!$R$4,d_Pay,'Customer Analytics'!$S$4,d_Type,'Customer Analytics'!$T$4),0)</f>
        <v>4.66666666666667</v>
      </c>
      <c r="F172" s="98" t="n">
        <f aca="false">D172+ROW()/1000000</f>
        <v>2830.000172</v>
      </c>
      <c r="G172" s="98" t="n">
        <f aca="false">RANK(F172,$F$2:$F$351)</f>
        <v>78</v>
      </c>
    </row>
    <row r="173" customFormat="false" ht="15" hidden="false" customHeight="false" outlineLevel="0" collapsed="false">
      <c r="A173" s="98" t="s">
        <v>511</v>
      </c>
      <c r="B173" s="98" t="n">
        <f aca="false">COUNTIFS(d_Cust,A173,d_Year,'Customer Analytics'!$P$4,d_City,'Customer Analytics'!$Q$4,d_Cuisine,'Customer Analytics'!$R$4,d_Pay,'Customer Analytics'!$S$4,d_Type,'Customer Analytics'!$T$4)</f>
        <v>3</v>
      </c>
      <c r="C173" s="98" t="n">
        <f aca="false">COUNTIFS(d_Cust,A173,d_Status,"Delivered",d_Year,'Customer Analytics'!$P$4,d_City,'Customer Analytics'!$Q$4,d_Cuisine,'Customer Analytics'!$R$4,d_Pay,'Customer Analytics'!$S$4,d_Type,'Customer Analytics'!$T$4)</f>
        <v>1</v>
      </c>
      <c r="D173" s="99" t="n">
        <f aca="false">SUMIFS(d_Net,d_Cust,A173,d_Status,"Delivered",d_Year,'Customer Analytics'!$P$4,d_City,'Customer Analytics'!$Q$4,d_Cuisine,'Customer Analytics'!$R$4,d_Pay,'Customer Analytics'!$S$4,d_Type,'Customer Analytics'!$T$4)</f>
        <v>823</v>
      </c>
      <c r="E173" s="100" t="n">
        <f aca="false">IFERROR(AVERAGEIFS(d_CRating,d_Cust,A173,d_Year,'Customer Analytics'!$P$4,d_City,'Customer Analytics'!$Q$4,d_Cuisine,'Customer Analytics'!$R$4,d_Pay,'Customer Analytics'!$S$4,d_Type,'Customer Analytics'!$T$4),0)</f>
        <v>5</v>
      </c>
      <c r="F173" s="98" t="n">
        <f aca="false">D173+ROW()/1000000</f>
        <v>823.000173</v>
      </c>
      <c r="G173" s="98" t="n">
        <f aca="false">RANK(F173,$F$2:$F$351)</f>
        <v>300</v>
      </c>
    </row>
    <row r="174" customFormat="false" ht="15" hidden="false" customHeight="false" outlineLevel="0" collapsed="false">
      <c r="A174" s="98" t="s">
        <v>512</v>
      </c>
      <c r="B174" s="98" t="n">
        <f aca="false">COUNTIFS(d_Cust,A174,d_Year,'Customer Analytics'!$P$4,d_City,'Customer Analytics'!$Q$4,d_Cuisine,'Customer Analytics'!$R$4,d_Pay,'Customer Analytics'!$S$4,d_Type,'Customer Analytics'!$T$4)</f>
        <v>3</v>
      </c>
      <c r="C174" s="98" t="n">
        <f aca="false">COUNTIFS(d_Cust,A174,d_Status,"Delivered",d_Year,'Customer Analytics'!$P$4,d_City,'Customer Analytics'!$Q$4,d_Cuisine,'Customer Analytics'!$R$4,d_Pay,'Customer Analytics'!$S$4,d_Type,'Customer Analytics'!$T$4)</f>
        <v>0</v>
      </c>
      <c r="D174" s="99" t="n">
        <f aca="false">SUMIFS(d_Net,d_Cust,A174,d_Status,"Delivered",d_Year,'Customer Analytics'!$P$4,d_City,'Customer Analytics'!$Q$4,d_Cuisine,'Customer Analytics'!$R$4,d_Pay,'Customer Analytics'!$S$4,d_Type,'Customer Analytics'!$T$4)</f>
        <v>0</v>
      </c>
      <c r="E174" s="100" t="n">
        <f aca="false">IFERROR(AVERAGEIFS(d_CRating,d_Cust,A174,d_Year,'Customer Analytics'!$P$4,d_City,'Customer Analytics'!$Q$4,d_Cuisine,'Customer Analytics'!$R$4,d_Pay,'Customer Analytics'!$S$4,d_Type,'Customer Analytics'!$T$4),0)</f>
        <v>3.33333333333333</v>
      </c>
      <c r="F174" s="98" t="n">
        <f aca="false">D174+ROW()/1000000</f>
        <v>0.000174</v>
      </c>
      <c r="G174" s="98" t="n">
        <f aca="false">RANK(F174,$F$2:$F$351)</f>
        <v>349</v>
      </c>
    </row>
    <row r="175" customFormat="false" ht="15" hidden="false" customHeight="false" outlineLevel="0" collapsed="false">
      <c r="A175" s="98" t="s">
        <v>513</v>
      </c>
      <c r="B175" s="98" t="n">
        <f aca="false">COUNTIFS(d_Cust,A175,d_Year,'Customer Analytics'!$P$4,d_City,'Customer Analytics'!$Q$4,d_Cuisine,'Customer Analytics'!$R$4,d_Pay,'Customer Analytics'!$S$4,d_Type,'Customer Analytics'!$T$4)</f>
        <v>3</v>
      </c>
      <c r="C175" s="98" t="n">
        <f aca="false">COUNTIFS(d_Cust,A175,d_Status,"Delivered",d_Year,'Customer Analytics'!$P$4,d_City,'Customer Analytics'!$Q$4,d_Cuisine,'Customer Analytics'!$R$4,d_Pay,'Customer Analytics'!$S$4,d_Type,'Customer Analytics'!$T$4)</f>
        <v>3</v>
      </c>
      <c r="D175" s="99" t="n">
        <f aca="false">SUMIFS(d_Net,d_Cust,A175,d_Status,"Delivered",d_Year,'Customer Analytics'!$P$4,d_City,'Customer Analytics'!$Q$4,d_Cuisine,'Customer Analytics'!$R$4,d_Pay,'Customer Analytics'!$S$4,d_Type,'Customer Analytics'!$T$4)</f>
        <v>2849</v>
      </c>
      <c r="E175" s="100" t="n">
        <f aca="false">IFERROR(AVERAGEIFS(d_CRating,d_Cust,A175,d_Year,'Customer Analytics'!$P$4,d_City,'Customer Analytics'!$Q$4,d_Cuisine,'Customer Analytics'!$R$4,d_Pay,'Customer Analytics'!$S$4,d_Type,'Customer Analytics'!$T$4),0)</f>
        <v>3.66666666666667</v>
      </c>
      <c r="F175" s="98" t="n">
        <f aca="false">D175+ROW()/1000000</f>
        <v>2849.000175</v>
      </c>
      <c r="G175" s="98" t="n">
        <f aca="false">RANK(F175,$F$2:$F$351)</f>
        <v>72</v>
      </c>
    </row>
    <row r="176" customFormat="false" ht="15" hidden="false" customHeight="false" outlineLevel="0" collapsed="false">
      <c r="A176" s="98" t="s">
        <v>514</v>
      </c>
      <c r="B176" s="98" t="n">
        <f aca="false">COUNTIFS(d_Cust,A176,d_Year,'Customer Analytics'!$P$4,d_City,'Customer Analytics'!$Q$4,d_Cuisine,'Customer Analytics'!$R$4,d_Pay,'Customer Analytics'!$S$4,d_Type,'Customer Analytics'!$T$4)</f>
        <v>3</v>
      </c>
      <c r="C176" s="98" t="n">
        <f aca="false">COUNTIFS(d_Cust,A176,d_Status,"Delivered",d_Year,'Customer Analytics'!$P$4,d_City,'Customer Analytics'!$Q$4,d_Cuisine,'Customer Analytics'!$R$4,d_Pay,'Customer Analytics'!$S$4,d_Type,'Customer Analytics'!$T$4)</f>
        <v>1</v>
      </c>
      <c r="D176" s="99" t="n">
        <f aca="false">SUMIFS(d_Net,d_Cust,A176,d_Status,"Delivered",d_Year,'Customer Analytics'!$P$4,d_City,'Customer Analytics'!$Q$4,d_Cuisine,'Customer Analytics'!$R$4,d_Pay,'Customer Analytics'!$S$4,d_Type,'Customer Analytics'!$T$4)</f>
        <v>0</v>
      </c>
      <c r="E176" s="100" t="n">
        <f aca="false">IFERROR(AVERAGEIFS(d_CRating,d_Cust,A176,d_Year,'Customer Analytics'!$P$4,d_City,'Customer Analytics'!$Q$4,d_Cuisine,'Customer Analytics'!$R$4,d_Pay,'Customer Analytics'!$S$4,d_Type,'Customer Analytics'!$T$4),0)</f>
        <v>4</v>
      </c>
      <c r="F176" s="98" t="n">
        <f aca="false">D176+ROW()/1000000</f>
        <v>0.000176</v>
      </c>
      <c r="G176" s="98" t="n">
        <f aca="false">RANK(F176,$F$2:$F$351)</f>
        <v>348</v>
      </c>
    </row>
    <row r="177" customFormat="false" ht="15" hidden="false" customHeight="false" outlineLevel="0" collapsed="false">
      <c r="A177" s="98" t="s">
        <v>515</v>
      </c>
      <c r="B177" s="98" t="n">
        <f aca="false">COUNTIFS(d_Cust,A177,d_Year,'Customer Analytics'!$P$4,d_City,'Customer Analytics'!$Q$4,d_Cuisine,'Customer Analytics'!$R$4,d_Pay,'Customer Analytics'!$S$4,d_Type,'Customer Analytics'!$T$4)</f>
        <v>3</v>
      </c>
      <c r="C177" s="98" t="n">
        <f aca="false">COUNTIFS(d_Cust,A177,d_Status,"Delivered",d_Year,'Customer Analytics'!$P$4,d_City,'Customer Analytics'!$Q$4,d_Cuisine,'Customer Analytics'!$R$4,d_Pay,'Customer Analytics'!$S$4,d_Type,'Customer Analytics'!$T$4)</f>
        <v>2</v>
      </c>
      <c r="D177" s="99" t="n">
        <f aca="false">SUMIFS(d_Net,d_Cust,A177,d_Status,"Delivered",d_Year,'Customer Analytics'!$P$4,d_City,'Customer Analytics'!$Q$4,d_Cuisine,'Customer Analytics'!$R$4,d_Pay,'Customer Analytics'!$S$4,d_Type,'Customer Analytics'!$T$4)</f>
        <v>442</v>
      </c>
      <c r="E177" s="100" t="n">
        <f aca="false">IFERROR(AVERAGEIFS(d_CRating,d_Cust,A177,d_Year,'Customer Analytics'!$P$4,d_City,'Customer Analytics'!$Q$4,d_Cuisine,'Customer Analytics'!$R$4,d_Pay,'Customer Analytics'!$S$4,d_Type,'Customer Analytics'!$T$4),0)</f>
        <v>3.33333333333333</v>
      </c>
      <c r="F177" s="98" t="n">
        <f aca="false">D177+ROW()/1000000</f>
        <v>442.000177</v>
      </c>
      <c r="G177" s="98" t="n">
        <f aca="false">RANK(F177,$F$2:$F$351)</f>
        <v>333</v>
      </c>
    </row>
    <row r="178" customFormat="false" ht="15" hidden="false" customHeight="false" outlineLevel="0" collapsed="false">
      <c r="A178" s="98" t="s">
        <v>516</v>
      </c>
      <c r="B178" s="98" t="n">
        <f aca="false">COUNTIFS(d_Cust,A178,d_Year,'Customer Analytics'!$P$4,d_City,'Customer Analytics'!$Q$4,d_Cuisine,'Customer Analytics'!$R$4,d_Pay,'Customer Analytics'!$S$4,d_Type,'Customer Analytics'!$T$4)</f>
        <v>3</v>
      </c>
      <c r="C178" s="98" t="n">
        <f aca="false">COUNTIFS(d_Cust,A178,d_Status,"Delivered",d_Year,'Customer Analytics'!$P$4,d_City,'Customer Analytics'!$Q$4,d_Cuisine,'Customer Analytics'!$R$4,d_Pay,'Customer Analytics'!$S$4,d_Type,'Customer Analytics'!$T$4)</f>
        <v>3</v>
      </c>
      <c r="D178" s="99" t="n">
        <f aca="false">SUMIFS(d_Net,d_Cust,A178,d_Status,"Delivered",d_Year,'Customer Analytics'!$P$4,d_City,'Customer Analytics'!$Q$4,d_Cuisine,'Customer Analytics'!$R$4,d_Pay,'Customer Analytics'!$S$4,d_Type,'Customer Analytics'!$T$4)</f>
        <v>2710</v>
      </c>
      <c r="E178" s="100" t="n">
        <f aca="false">IFERROR(AVERAGEIFS(d_CRating,d_Cust,A178,d_Year,'Customer Analytics'!$P$4,d_City,'Customer Analytics'!$Q$4,d_Cuisine,'Customer Analytics'!$R$4,d_Pay,'Customer Analytics'!$S$4,d_Type,'Customer Analytics'!$T$4),0)</f>
        <v>4.66666666666667</v>
      </c>
      <c r="F178" s="98" t="n">
        <f aca="false">D178+ROW()/1000000</f>
        <v>2710.000178</v>
      </c>
      <c r="G178" s="98" t="n">
        <f aca="false">RANK(F178,$F$2:$F$351)</f>
        <v>88</v>
      </c>
    </row>
    <row r="179" customFormat="false" ht="15" hidden="false" customHeight="false" outlineLevel="0" collapsed="false">
      <c r="A179" s="98" t="s">
        <v>517</v>
      </c>
      <c r="B179" s="98" t="n">
        <f aca="false">COUNTIFS(d_Cust,A179,d_Year,'Customer Analytics'!$P$4,d_City,'Customer Analytics'!$Q$4,d_Cuisine,'Customer Analytics'!$R$4,d_Pay,'Customer Analytics'!$S$4,d_Type,'Customer Analytics'!$T$4)</f>
        <v>3</v>
      </c>
      <c r="C179" s="98" t="n">
        <f aca="false">COUNTIFS(d_Cust,A179,d_Status,"Delivered",d_Year,'Customer Analytics'!$P$4,d_City,'Customer Analytics'!$Q$4,d_Cuisine,'Customer Analytics'!$R$4,d_Pay,'Customer Analytics'!$S$4,d_Type,'Customer Analytics'!$T$4)</f>
        <v>2</v>
      </c>
      <c r="D179" s="99" t="n">
        <f aca="false">SUMIFS(d_Net,d_Cust,A179,d_Status,"Delivered",d_Year,'Customer Analytics'!$P$4,d_City,'Customer Analytics'!$Q$4,d_Cuisine,'Customer Analytics'!$R$4,d_Pay,'Customer Analytics'!$S$4,d_Type,'Customer Analytics'!$T$4)</f>
        <v>1497</v>
      </c>
      <c r="E179" s="100" t="n">
        <f aca="false">IFERROR(AVERAGEIFS(d_CRating,d_Cust,A179,d_Year,'Customer Analytics'!$P$4,d_City,'Customer Analytics'!$Q$4,d_Cuisine,'Customer Analytics'!$R$4,d_Pay,'Customer Analytics'!$S$4,d_Type,'Customer Analytics'!$T$4),0)</f>
        <v>3.33333333333333</v>
      </c>
      <c r="F179" s="98" t="n">
        <f aca="false">D179+ROW()/1000000</f>
        <v>1497.000179</v>
      </c>
      <c r="G179" s="98" t="n">
        <f aca="false">RANK(F179,$F$2:$F$351)</f>
        <v>235</v>
      </c>
    </row>
    <row r="180" customFormat="false" ht="15" hidden="false" customHeight="false" outlineLevel="0" collapsed="false">
      <c r="A180" s="98" t="s">
        <v>518</v>
      </c>
      <c r="B180" s="98" t="n">
        <f aca="false">COUNTIFS(d_Cust,A180,d_Year,'Customer Analytics'!$P$4,d_City,'Customer Analytics'!$Q$4,d_Cuisine,'Customer Analytics'!$R$4,d_Pay,'Customer Analytics'!$S$4,d_Type,'Customer Analytics'!$T$4)</f>
        <v>3</v>
      </c>
      <c r="C180" s="98" t="n">
        <f aca="false">COUNTIFS(d_Cust,A180,d_Status,"Delivered",d_Year,'Customer Analytics'!$P$4,d_City,'Customer Analytics'!$Q$4,d_Cuisine,'Customer Analytics'!$R$4,d_Pay,'Customer Analytics'!$S$4,d_Type,'Customer Analytics'!$T$4)</f>
        <v>2</v>
      </c>
      <c r="D180" s="99" t="n">
        <f aca="false">SUMIFS(d_Net,d_Cust,A180,d_Status,"Delivered",d_Year,'Customer Analytics'!$P$4,d_City,'Customer Analytics'!$Q$4,d_Cuisine,'Customer Analytics'!$R$4,d_Pay,'Customer Analytics'!$S$4,d_Type,'Customer Analytics'!$T$4)</f>
        <v>3402</v>
      </c>
      <c r="E180" s="100" t="n">
        <f aca="false">IFERROR(AVERAGEIFS(d_CRating,d_Cust,A180,d_Year,'Customer Analytics'!$P$4,d_City,'Customer Analytics'!$Q$4,d_Cuisine,'Customer Analytics'!$R$4,d_Pay,'Customer Analytics'!$S$4,d_Type,'Customer Analytics'!$T$4),0)</f>
        <v>4.33333333333333</v>
      </c>
      <c r="F180" s="98" t="n">
        <f aca="false">D180+ROW()/1000000</f>
        <v>3402.00018</v>
      </c>
      <c r="G180" s="98" t="n">
        <f aca="false">RANK(F180,$F$2:$F$351)</f>
        <v>39</v>
      </c>
    </row>
    <row r="181" customFormat="false" ht="15" hidden="false" customHeight="false" outlineLevel="0" collapsed="false">
      <c r="A181" s="98" t="s">
        <v>519</v>
      </c>
      <c r="B181" s="98" t="n">
        <f aca="false">COUNTIFS(d_Cust,A181,d_Year,'Customer Analytics'!$P$4,d_City,'Customer Analytics'!$Q$4,d_Cuisine,'Customer Analytics'!$R$4,d_Pay,'Customer Analytics'!$S$4,d_Type,'Customer Analytics'!$T$4)</f>
        <v>3</v>
      </c>
      <c r="C181" s="98" t="n">
        <f aca="false">COUNTIFS(d_Cust,A181,d_Status,"Delivered",d_Year,'Customer Analytics'!$P$4,d_City,'Customer Analytics'!$Q$4,d_Cuisine,'Customer Analytics'!$R$4,d_Pay,'Customer Analytics'!$S$4,d_Type,'Customer Analytics'!$T$4)</f>
        <v>1</v>
      </c>
      <c r="D181" s="99" t="n">
        <f aca="false">SUMIFS(d_Net,d_Cust,A181,d_Status,"Delivered",d_Year,'Customer Analytics'!$P$4,d_City,'Customer Analytics'!$Q$4,d_Cuisine,'Customer Analytics'!$R$4,d_Pay,'Customer Analytics'!$S$4,d_Type,'Customer Analytics'!$T$4)</f>
        <v>879</v>
      </c>
      <c r="E181" s="100" t="n">
        <f aca="false">IFERROR(AVERAGEIFS(d_CRating,d_Cust,A181,d_Year,'Customer Analytics'!$P$4,d_City,'Customer Analytics'!$Q$4,d_Cuisine,'Customer Analytics'!$R$4,d_Pay,'Customer Analytics'!$S$4,d_Type,'Customer Analytics'!$T$4),0)</f>
        <v>3.66666666666667</v>
      </c>
      <c r="F181" s="98" t="n">
        <f aca="false">D181+ROW()/1000000</f>
        <v>879.000181</v>
      </c>
      <c r="G181" s="98" t="n">
        <f aca="false">RANK(F181,$F$2:$F$351)</f>
        <v>292</v>
      </c>
    </row>
    <row r="182" customFormat="false" ht="15" hidden="false" customHeight="false" outlineLevel="0" collapsed="false">
      <c r="A182" s="98" t="s">
        <v>520</v>
      </c>
      <c r="B182" s="98" t="n">
        <f aca="false">COUNTIFS(d_Cust,A182,d_Year,'Customer Analytics'!$P$4,d_City,'Customer Analytics'!$Q$4,d_Cuisine,'Customer Analytics'!$R$4,d_Pay,'Customer Analytics'!$S$4,d_Type,'Customer Analytics'!$T$4)</f>
        <v>3</v>
      </c>
      <c r="C182" s="98" t="n">
        <f aca="false">COUNTIFS(d_Cust,A182,d_Status,"Delivered",d_Year,'Customer Analytics'!$P$4,d_City,'Customer Analytics'!$Q$4,d_Cuisine,'Customer Analytics'!$R$4,d_Pay,'Customer Analytics'!$S$4,d_Type,'Customer Analytics'!$T$4)</f>
        <v>2</v>
      </c>
      <c r="D182" s="99" t="n">
        <f aca="false">SUMIFS(d_Net,d_Cust,A182,d_Status,"Delivered",d_Year,'Customer Analytics'!$P$4,d_City,'Customer Analytics'!$Q$4,d_Cuisine,'Customer Analytics'!$R$4,d_Pay,'Customer Analytics'!$S$4,d_Type,'Customer Analytics'!$T$4)</f>
        <v>2809</v>
      </c>
      <c r="E182" s="100" t="n">
        <f aca="false">IFERROR(AVERAGEIFS(d_CRating,d_Cust,A182,d_Year,'Customer Analytics'!$P$4,d_City,'Customer Analytics'!$Q$4,d_Cuisine,'Customer Analytics'!$R$4,d_Pay,'Customer Analytics'!$S$4,d_Type,'Customer Analytics'!$T$4),0)</f>
        <v>4</v>
      </c>
      <c r="F182" s="98" t="n">
        <f aca="false">D182+ROW()/1000000</f>
        <v>2809.000182</v>
      </c>
      <c r="G182" s="98" t="n">
        <f aca="false">RANK(F182,$F$2:$F$351)</f>
        <v>81</v>
      </c>
    </row>
    <row r="183" customFormat="false" ht="15" hidden="false" customHeight="false" outlineLevel="0" collapsed="false">
      <c r="A183" s="98" t="s">
        <v>521</v>
      </c>
      <c r="B183" s="98" t="n">
        <f aca="false">COUNTIFS(d_Cust,A183,d_Year,'Customer Analytics'!$P$4,d_City,'Customer Analytics'!$Q$4,d_Cuisine,'Customer Analytics'!$R$4,d_Pay,'Customer Analytics'!$S$4,d_Type,'Customer Analytics'!$T$4)</f>
        <v>3</v>
      </c>
      <c r="C183" s="98" t="n">
        <f aca="false">COUNTIFS(d_Cust,A183,d_Status,"Delivered",d_Year,'Customer Analytics'!$P$4,d_City,'Customer Analytics'!$Q$4,d_Cuisine,'Customer Analytics'!$R$4,d_Pay,'Customer Analytics'!$S$4,d_Type,'Customer Analytics'!$T$4)</f>
        <v>2</v>
      </c>
      <c r="D183" s="99" t="n">
        <f aca="false">SUMIFS(d_Net,d_Cust,A183,d_Status,"Delivered",d_Year,'Customer Analytics'!$P$4,d_City,'Customer Analytics'!$Q$4,d_Cuisine,'Customer Analytics'!$R$4,d_Pay,'Customer Analytics'!$S$4,d_Type,'Customer Analytics'!$T$4)</f>
        <v>2629</v>
      </c>
      <c r="E183" s="100" t="n">
        <f aca="false">IFERROR(AVERAGEIFS(d_CRating,d_Cust,A183,d_Year,'Customer Analytics'!$P$4,d_City,'Customer Analytics'!$Q$4,d_Cuisine,'Customer Analytics'!$R$4,d_Pay,'Customer Analytics'!$S$4,d_Type,'Customer Analytics'!$T$4),0)</f>
        <v>4.66666666666667</v>
      </c>
      <c r="F183" s="98" t="n">
        <f aca="false">D183+ROW()/1000000</f>
        <v>2629.000183</v>
      </c>
      <c r="G183" s="98" t="n">
        <f aca="false">RANK(F183,$F$2:$F$351)</f>
        <v>98</v>
      </c>
    </row>
    <row r="184" customFormat="false" ht="15" hidden="false" customHeight="false" outlineLevel="0" collapsed="false">
      <c r="A184" s="98" t="s">
        <v>522</v>
      </c>
      <c r="B184" s="98" t="n">
        <f aca="false">COUNTIFS(d_Cust,A184,d_Year,'Customer Analytics'!$P$4,d_City,'Customer Analytics'!$Q$4,d_Cuisine,'Customer Analytics'!$R$4,d_Pay,'Customer Analytics'!$S$4,d_Type,'Customer Analytics'!$T$4)</f>
        <v>3</v>
      </c>
      <c r="C184" s="98" t="n">
        <f aca="false">COUNTIFS(d_Cust,A184,d_Status,"Delivered",d_Year,'Customer Analytics'!$P$4,d_City,'Customer Analytics'!$Q$4,d_Cuisine,'Customer Analytics'!$R$4,d_Pay,'Customer Analytics'!$S$4,d_Type,'Customer Analytics'!$T$4)</f>
        <v>2</v>
      </c>
      <c r="D184" s="99" t="n">
        <f aca="false">SUMIFS(d_Net,d_Cust,A184,d_Status,"Delivered",d_Year,'Customer Analytics'!$P$4,d_City,'Customer Analytics'!$Q$4,d_Cuisine,'Customer Analytics'!$R$4,d_Pay,'Customer Analytics'!$S$4,d_Type,'Customer Analytics'!$T$4)</f>
        <v>1521</v>
      </c>
      <c r="E184" s="100" t="n">
        <f aca="false">IFERROR(AVERAGEIFS(d_CRating,d_Cust,A184,d_Year,'Customer Analytics'!$P$4,d_City,'Customer Analytics'!$Q$4,d_Cuisine,'Customer Analytics'!$R$4,d_Pay,'Customer Analytics'!$S$4,d_Type,'Customer Analytics'!$T$4),0)</f>
        <v>5</v>
      </c>
      <c r="F184" s="98" t="n">
        <f aca="false">D184+ROW()/1000000</f>
        <v>1521.000184</v>
      </c>
      <c r="G184" s="98" t="n">
        <f aca="false">RANK(F184,$F$2:$F$351)</f>
        <v>233</v>
      </c>
    </row>
    <row r="185" customFormat="false" ht="15" hidden="false" customHeight="false" outlineLevel="0" collapsed="false">
      <c r="A185" s="98" t="s">
        <v>523</v>
      </c>
      <c r="B185" s="98" t="n">
        <f aca="false">COUNTIFS(d_Cust,A185,d_Year,'Customer Analytics'!$P$4,d_City,'Customer Analytics'!$Q$4,d_Cuisine,'Customer Analytics'!$R$4,d_Pay,'Customer Analytics'!$S$4,d_Type,'Customer Analytics'!$T$4)</f>
        <v>3</v>
      </c>
      <c r="C185" s="98" t="n">
        <f aca="false">COUNTIFS(d_Cust,A185,d_Status,"Delivered",d_Year,'Customer Analytics'!$P$4,d_City,'Customer Analytics'!$Q$4,d_Cuisine,'Customer Analytics'!$R$4,d_Pay,'Customer Analytics'!$S$4,d_Type,'Customer Analytics'!$T$4)</f>
        <v>3</v>
      </c>
      <c r="D185" s="99" t="n">
        <f aca="false">SUMIFS(d_Net,d_Cust,A185,d_Status,"Delivered",d_Year,'Customer Analytics'!$P$4,d_City,'Customer Analytics'!$Q$4,d_Cuisine,'Customer Analytics'!$R$4,d_Pay,'Customer Analytics'!$S$4,d_Type,'Customer Analytics'!$T$4)</f>
        <v>1648</v>
      </c>
      <c r="E185" s="100" t="n">
        <f aca="false">IFERROR(AVERAGEIFS(d_CRating,d_Cust,A185,d_Year,'Customer Analytics'!$P$4,d_City,'Customer Analytics'!$Q$4,d_Cuisine,'Customer Analytics'!$R$4,d_Pay,'Customer Analytics'!$S$4,d_Type,'Customer Analytics'!$T$4),0)</f>
        <v>3.66666666666667</v>
      </c>
      <c r="F185" s="98" t="n">
        <f aca="false">D185+ROW()/1000000</f>
        <v>1648.000185</v>
      </c>
      <c r="G185" s="98" t="n">
        <f aca="false">RANK(F185,$F$2:$F$351)</f>
        <v>213</v>
      </c>
    </row>
    <row r="186" customFormat="false" ht="15" hidden="false" customHeight="false" outlineLevel="0" collapsed="false">
      <c r="A186" s="98" t="s">
        <v>524</v>
      </c>
      <c r="B186" s="98" t="n">
        <f aca="false">COUNTIFS(d_Cust,A186,d_Year,'Customer Analytics'!$P$4,d_City,'Customer Analytics'!$Q$4,d_Cuisine,'Customer Analytics'!$R$4,d_Pay,'Customer Analytics'!$S$4,d_Type,'Customer Analytics'!$T$4)</f>
        <v>3</v>
      </c>
      <c r="C186" s="98" t="n">
        <f aca="false">COUNTIFS(d_Cust,A186,d_Status,"Delivered",d_Year,'Customer Analytics'!$P$4,d_City,'Customer Analytics'!$Q$4,d_Cuisine,'Customer Analytics'!$R$4,d_Pay,'Customer Analytics'!$S$4,d_Type,'Customer Analytics'!$T$4)</f>
        <v>1</v>
      </c>
      <c r="D186" s="99" t="n">
        <f aca="false">SUMIFS(d_Net,d_Cust,A186,d_Status,"Delivered",d_Year,'Customer Analytics'!$P$4,d_City,'Customer Analytics'!$Q$4,d_Cuisine,'Customer Analytics'!$R$4,d_Pay,'Customer Analytics'!$S$4,d_Type,'Customer Analytics'!$T$4)</f>
        <v>1585</v>
      </c>
      <c r="E186" s="100" t="n">
        <f aca="false">IFERROR(AVERAGEIFS(d_CRating,d_Cust,A186,d_Year,'Customer Analytics'!$P$4,d_City,'Customer Analytics'!$Q$4,d_Cuisine,'Customer Analytics'!$R$4,d_Pay,'Customer Analytics'!$S$4,d_Type,'Customer Analytics'!$T$4),0)</f>
        <v>4.66666666666667</v>
      </c>
      <c r="F186" s="98" t="n">
        <f aca="false">D186+ROW()/1000000</f>
        <v>1585.000186</v>
      </c>
      <c r="G186" s="98" t="n">
        <f aca="false">RANK(F186,$F$2:$F$351)</f>
        <v>222</v>
      </c>
    </row>
    <row r="187" customFormat="false" ht="15" hidden="false" customHeight="false" outlineLevel="0" collapsed="false">
      <c r="A187" s="98" t="s">
        <v>525</v>
      </c>
      <c r="B187" s="98" t="n">
        <f aca="false">COUNTIFS(d_Cust,A187,d_Year,'Customer Analytics'!$P$4,d_City,'Customer Analytics'!$Q$4,d_Cuisine,'Customer Analytics'!$R$4,d_Pay,'Customer Analytics'!$S$4,d_Type,'Customer Analytics'!$T$4)</f>
        <v>3</v>
      </c>
      <c r="C187" s="98" t="n">
        <f aca="false">COUNTIFS(d_Cust,A187,d_Status,"Delivered",d_Year,'Customer Analytics'!$P$4,d_City,'Customer Analytics'!$Q$4,d_Cuisine,'Customer Analytics'!$R$4,d_Pay,'Customer Analytics'!$S$4,d_Type,'Customer Analytics'!$T$4)</f>
        <v>2</v>
      </c>
      <c r="D187" s="99" t="n">
        <f aca="false">SUMIFS(d_Net,d_Cust,A187,d_Status,"Delivered",d_Year,'Customer Analytics'!$P$4,d_City,'Customer Analytics'!$Q$4,d_Cuisine,'Customer Analytics'!$R$4,d_Pay,'Customer Analytics'!$S$4,d_Type,'Customer Analytics'!$T$4)</f>
        <v>1443</v>
      </c>
      <c r="E187" s="100" t="n">
        <f aca="false">IFERROR(AVERAGEIFS(d_CRating,d_Cust,A187,d_Year,'Customer Analytics'!$P$4,d_City,'Customer Analytics'!$Q$4,d_Cuisine,'Customer Analytics'!$R$4,d_Pay,'Customer Analytics'!$S$4,d_Type,'Customer Analytics'!$T$4),0)</f>
        <v>4.66666666666667</v>
      </c>
      <c r="F187" s="98" t="n">
        <f aca="false">D187+ROW()/1000000</f>
        <v>1443.000187</v>
      </c>
      <c r="G187" s="98" t="n">
        <f aca="false">RANK(F187,$F$2:$F$351)</f>
        <v>242</v>
      </c>
    </row>
    <row r="188" customFormat="false" ht="15" hidden="false" customHeight="false" outlineLevel="0" collapsed="false">
      <c r="A188" s="98" t="s">
        <v>526</v>
      </c>
      <c r="B188" s="98" t="n">
        <f aca="false">COUNTIFS(d_Cust,A188,d_Year,'Customer Analytics'!$P$4,d_City,'Customer Analytics'!$Q$4,d_Cuisine,'Customer Analytics'!$R$4,d_Pay,'Customer Analytics'!$S$4,d_Type,'Customer Analytics'!$T$4)</f>
        <v>3</v>
      </c>
      <c r="C188" s="98" t="n">
        <f aca="false">COUNTIFS(d_Cust,A188,d_Status,"Delivered",d_Year,'Customer Analytics'!$P$4,d_City,'Customer Analytics'!$Q$4,d_Cuisine,'Customer Analytics'!$R$4,d_Pay,'Customer Analytics'!$S$4,d_Type,'Customer Analytics'!$T$4)</f>
        <v>1</v>
      </c>
      <c r="D188" s="99" t="n">
        <f aca="false">SUMIFS(d_Net,d_Cust,A188,d_Status,"Delivered",d_Year,'Customer Analytics'!$P$4,d_City,'Customer Analytics'!$Q$4,d_Cuisine,'Customer Analytics'!$R$4,d_Pay,'Customer Analytics'!$S$4,d_Type,'Customer Analytics'!$T$4)</f>
        <v>834</v>
      </c>
      <c r="E188" s="100" t="n">
        <f aca="false">IFERROR(AVERAGEIFS(d_CRating,d_Cust,A188,d_Year,'Customer Analytics'!$P$4,d_City,'Customer Analytics'!$Q$4,d_Cuisine,'Customer Analytics'!$R$4,d_Pay,'Customer Analytics'!$S$4,d_Type,'Customer Analytics'!$T$4),0)</f>
        <v>4</v>
      </c>
      <c r="F188" s="98" t="n">
        <f aca="false">D188+ROW()/1000000</f>
        <v>834.000188</v>
      </c>
      <c r="G188" s="98" t="n">
        <f aca="false">RANK(F188,$F$2:$F$351)</f>
        <v>297</v>
      </c>
    </row>
    <row r="189" customFormat="false" ht="15" hidden="false" customHeight="false" outlineLevel="0" collapsed="false">
      <c r="A189" s="98" t="s">
        <v>527</v>
      </c>
      <c r="B189" s="98" t="n">
        <f aca="false">COUNTIFS(d_Cust,A189,d_Year,'Customer Analytics'!$P$4,d_City,'Customer Analytics'!$Q$4,d_Cuisine,'Customer Analytics'!$R$4,d_Pay,'Customer Analytics'!$S$4,d_Type,'Customer Analytics'!$T$4)</f>
        <v>3</v>
      </c>
      <c r="C189" s="98" t="n">
        <f aca="false">COUNTIFS(d_Cust,A189,d_Status,"Delivered",d_Year,'Customer Analytics'!$P$4,d_City,'Customer Analytics'!$Q$4,d_Cuisine,'Customer Analytics'!$R$4,d_Pay,'Customer Analytics'!$S$4,d_Type,'Customer Analytics'!$T$4)</f>
        <v>3</v>
      </c>
      <c r="D189" s="99" t="n">
        <f aca="false">SUMIFS(d_Net,d_Cust,A189,d_Status,"Delivered",d_Year,'Customer Analytics'!$P$4,d_City,'Customer Analytics'!$Q$4,d_Cuisine,'Customer Analytics'!$R$4,d_Pay,'Customer Analytics'!$S$4,d_Type,'Customer Analytics'!$T$4)</f>
        <v>3642</v>
      </c>
      <c r="E189" s="100" t="n">
        <f aca="false">IFERROR(AVERAGEIFS(d_CRating,d_Cust,A189,d_Year,'Customer Analytics'!$P$4,d_City,'Customer Analytics'!$Q$4,d_Cuisine,'Customer Analytics'!$R$4,d_Pay,'Customer Analytics'!$S$4,d_Type,'Customer Analytics'!$T$4),0)</f>
        <v>3</v>
      </c>
      <c r="F189" s="98" t="n">
        <f aca="false">D189+ROW()/1000000</f>
        <v>3642.000189</v>
      </c>
      <c r="G189" s="98" t="n">
        <f aca="false">RANK(F189,$F$2:$F$351)</f>
        <v>21</v>
      </c>
    </row>
    <row r="190" customFormat="false" ht="15" hidden="false" customHeight="false" outlineLevel="0" collapsed="false">
      <c r="A190" s="98" t="s">
        <v>528</v>
      </c>
      <c r="B190" s="98" t="n">
        <f aca="false">COUNTIFS(d_Cust,A190,d_Year,'Customer Analytics'!$P$4,d_City,'Customer Analytics'!$Q$4,d_Cuisine,'Customer Analytics'!$R$4,d_Pay,'Customer Analytics'!$S$4,d_Type,'Customer Analytics'!$T$4)</f>
        <v>3</v>
      </c>
      <c r="C190" s="98" t="n">
        <f aca="false">COUNTIFS(d_Cust,A190,d_Status,"Delivered",d_Year,'Customer Analytics'!$P$4,d_City,'Customer Analytics'!$Q$4,d_Cuisine,'Customer Analytics'!$R$4,d_Pay,'Customer Analytics'!$S$4,d_Type,'Customer Analytics'!$T$4)</f>
        <v>2</v>
      </c>
      <c r="D190" s="99" t="n">
        <f aca="false">SUMIFS(d_Net,d_Cust,A190,d_Status,"Delivered",d_Year,'Customer Analytics'!$P$4,d_City,'Customer Analytics'!$Q$4,d_Cuisine,'Customer Analytics'!$R$4,d_Pay,'Customer Analytics'!$S$4,d_Type,'Customer Analytics'!$T$4)</f>
        <v>1715</v>
      </c>
      <c r="E190" s="100" t="n">
        <f aca="false">IFERROR(AVERAGEIFS(d_CRating,d_Cust,A190,d_Year,'Customer Analytics'!$P$4,d_City,'Customer Analytics'!$Q$4,d_Cuisine,'Customer Analytics'!$R$4,d_Pay,'Customer Analytics'!$S$4,d_Type,'Customer Analytics'!$T$4),0)</f>
        <v>3</v>
      </c>
      <c r="F190" s="98" t="n">
        <f aca="false">D190+ROW()/1000000</f>
        <v>1715.00019</v>
      </c>
      <c r="G190" s="98" t="n">
        <f aca="false">RANK(F190,$F$2:$F$351)</f>
        <v>199</v>
      </c>
    </row>
    <row r="191" customFormat="false" ht="15" hidden="false" customHeight="false" outlineLevel="0" collapsed="false">
      <c r="A191" s="98" t="s">
        <v>529</v>
      </c>
      <c r="B191" s="98" t="n">
        <f aca="false">COUNTIFS(d_Cust,A191,d_Year,'Customer Analytics'!$P$4,d_City,'Customer Analytics'!$Q$4,d_Cuisine,'Customer Analytics'!$R$4,d_Pay,'Customer Analytics'!$S$4,d_Type,'Customer Analytics'!$T$4)</f>
        <v>3</v>
      </c>
      <c r="C191" s="98" t="n">
        <f aca="false">COUNTIFS(d_Cust,A191,d_Status,"Delivered",d_Year,'Customer Analytics'!$P$4,d_City,'Customer Analytics'!$Q$4,d_Cuisine,'Customer Analytics'!$R$4,d_Pay,'Customer Analytics'!$S$4,d_Type,'Customer Analytics'!$T$4)</f>
        <v>3</v>
      </c>
      <c r="D191" s="99" t="n">
        <f aca="false">SUMIFS(d_Net,d_Cust,A191,d_Status,"Delivered",d_Year,'Customer Analytics'!$P$4,d_City,'Customer Analytics'!$Q$4,d_Cuisine,'Customer Analytics'!$R$4,d_Pay,'Customer Analytics'!$S$4,d_Type,'Customer Analytics'!$T$4)</f>
        <v>3169</v>
      </c>
      <c r="E191" s="100" t="n">
        <f aca="false">IFERROR(AVERAGEIFS(d_CRating,d_Cust,A191,d_Year,'Customer Analytics'!$P$4,d_City,'Customer Analytics'!$Q$4,d_Cuisine,'Customer Analytics'!$R$4,d_Pay,'Customer Analytics'!$S$4,d_Type,'Customer Analytics'!$T$4),0)</f>
        <v>2.66666666666667</v>
      </c>
      <c r="F191" s="98" t="n">
        <f aca="false">D191+ROW()/1000000</f>
        <v>3169.000191</v>
      </c>
      <c r="G191" s="98" t="n">
        <f aca="false">RANK(F191,$F$2:$F$351)</f>
        <v>48</v>
      </c>
    </row>
    <row r="192" customFormat="false" ht="15" hidden="false" customHeight="false" outlineLevel="0" collapsed="false">
      <c r="A192" s="98" t="s">
        <v>530</v>
      </c>
      <c r="B192" s="98" t="n">
        <f aca="false">COUNTIFS(d_Cust,A192,d_Year,'Customer Analytics'!$P$4,d_City,'Customer Analytics'!$Q$4,d_Cuisine,'Customer Analytics'!$R$4,d_Pay,'Customer Analytics'!$S$4,d_Type,'Customer Analytics'!$T$4)</f>
        <v>3</v>
      </c>
      <c r="C192" s="98" t="n">
        <f aca="false">COUNTIFS(d_Cust,A192,d_Status,"Delivered",d_Year,'Customer Analytics'!$P$4,d_City,'Customer Analytics'!$Q$4,d_Cuisine,'Customer Analytics'!$R$4,d_Pay,'Customer Analytics'!$S$4,d_Type,'Customer Analytics'!$T$4)</f>
        <v>1</v>
      </c>
      <c r="D192" s="99" t="n">
        <f aca="false">SUMIFS(d_Net,d_Cust,A192,d_Status,"Delivered",d_Year,'Customer Analytics'!$P$4,d_City,'Customer Analytics'!$Q$4,d_Cuisine,'Customer Analytics'!$R$4,d_Pay,'Customer Analytics'!$S$4,d_Type,'Customer Analytics'!$T$4)</f>
        <v>685</v>
      </c>
      <c r="E192" s="100" t="n">
        <f aca="false">IFERROR(AVERAGEIFS(d_CRating,d_Cust,A192,d_Year,'Customer Analytics'!$P$4,d_City,'Customer Analytics'!$Q$4,d_Cuisine,'Customer Analytics'!$R$4,d_Pay,'Customer Analytics'!$S$4,d_Type,'Customer Analytics'!$T$4),0)</f>
        <v>3.66666666666667</v>
      </c>
      <c r="F192" s="98" t="n">
        <f aca="false">D192+ROW()/1000000</f>
        <v>685.000192</v>
      </c>
      <c r="G192" s="98" t="n">
        <f aca="false">RANK(F192,$F$2:$F$351)</f>
        <v>314</v>
      </c>
    </row>
    <row r="193" customFormat="false" ht="15" hidden="false" customHeight="false" outlineLevel="0" collapsed="false">
      <c r="A193" s="98" t="s">
        <v>531</v>
      </c>
      <c r="B193" s="98" t="n">
        <f aca="false">COUNTIFS(d_Cust,A193,d_Year,'Customer Analytics'!$P$4,d_City,'Customer Analytics'!$Q$4,d_Cuisine,'Customer Analytics'!$R$4,d_Pay,'Customer Analytics'!$S$4,d_Type,'Customer Analytics'!$T$4)</f>
        <v>3</v>
      </c>
      <c r="C193" s="98" t="n">
        <f aca="false">COUNTIFS(d_Cust,A193,d_Status,"Delivered",d_Year,'Customer Analytics'!$P$4,d_City,'Customer Analytics'!$Q$4,d_Cuisine,'Customer Analytics'!$R$4,d_Pay,'Customer Analytics'!$S$4,d_Type,'Customer Analytics'!$T$4)</f>
        <v>2</v>
      </c>
      <c r="D193" s="99" t="n">
        <f aca="false">SUMIFS(d_Net,d_Cust,A193,d_Status,"Delivered",d_Year,'Customer Analytics'!$P$4,d_City,'Customer Analytics'!$Q$4,d_Cuisine,'Customer Analytics'!$R$4,d_Pay,'Customer Analytics'!$S$4,d_Type,'Customer Analytics'!$T$4)</f>
        <v>3082</v>
      </c>
      <c r="E193" s="100" t="n">
        <f aca="false">IFERROR(AVERAGEIFS(d_CRating,d_Cust,A193,d_Year,'Customer Analytics'!$P$4,d_City,'Customer Analytics'!$Q$4,d_Cuisine,'Customer Analytics'!$R$4,d_Pay,'Customer Analytics'!$S$4,d_Type,'Customer Analytics'!$T$4),0)</f>
        <v>4</v>
      </c>
      <c r="F193" s="98" t="n">
        <f aca="false">D193+ROW()/1000000</f>
        <v>3082.000193</v>
      </c>
      <c r="G193" s="98" t="n">
        <f aca="false">RANK(F193,$F$2:$F$351)</f>
        <v>53</v>
      </c>
    </row>
    <row r="194" customFormat="false" ht="15" hidden="false" customHeight="false" outlineLevel="0" collapsed="false">
      <c r="A194" s="98" t="s">
        <v>532</v>
      </c>
      <c r="B194" s="98" t="n">
        <f aca="false">COUNTIFS(d_Cust,A194,d_Year,'Customer Analytics'!$P$4,d_City,'Customer Analytics'!$Q$4,d_Cuisine,'Customer Analytics'!$R$4,d_Pay,'Customer Analytics'!$S$4,d_Type,'Customer Analytics'!$T$4)</f>
        <v>3</v>
      </c>
      <c r="C194" s="98" t="n">
        <f aca="false">COUNTIFS(d_Cust,A194,d_Status,"Delivered",d_Year,'Customer Analytics'!$P$4,d_City,'Customer Analytics'!$Q$4,d_Cuisine,'Customer Analytics'!$R$4,d_Pay,'Customer Analytics'!$S$4,d_Type,'Customer Analytics'!$T$4)</f>
        <v>2</v>
      </c>
      <c r="D194" s="99" t="n">
        <f aca="false">SUMIFS(d_Net,d_Cust,A194,d_Status,"Delivered",d_Year,'Customer Analytics'!$P$4,d_City,'Customer Analytics'!$Q$4,d_Cuisine,'Customer Analytics'!$R$4,d_Pay,'Customer Analytics'!$S$4,d_Type,'Customer Analytics'!$T$4)</f>
        <v>1446</v>
      </c>
      <c r="E194" s="100" t="n">
        <f aca="false">IFERROR(AVERAGEIFS(d_CRating,d_Cust,A194,d_Year,'Customer Analytics'!$P$4,d_City,'Customer Analytics'!$Q$4,d_Cuisine,'Customer Analytics'!$R$4,d_Pay,'Customer Analytics'!$S$4,d_Type,'Customer Analytics'!$T$4),0)</f>
        <v>3.66666666666667</v>
      </c>
      <c r="F194" s="98" t="n">
        <f aca="false">D194+ROW()/1000000</f>
        <v>1446.000194</v>
      </c>
      <c r="G194" s="98" t="n">
        <f aca="false">RANK(F194,$F$2:$F$351)</f>
        <v>239</v>
      </c>
    </row>
    <row r="195" customFormat="false" ht="15" hidden="false" customHeight="false" outlineLevel="0" collapsed="false">
      <c r="A195" s="98" t="s">
        <v>533</v>
      </c>
      <c r="B195" s="98" t="n">
        <f aca="false">COUNTIFS(d_Cust,A195,d_Year,'Customer Analytics'!$P$4,d_City,'Customer Analytics'!$Q$4,d_Cuisine,'Customer Analytics'!$R$4,d_Pay,'Customer Analytics'!$S$4,d_Type,'Customer Analytics'!$T$4)</f>
        <v>3</v>
      </c>
      <c r="C195" s="98" t="n">
        <f aca="false">COUNTIFS(d_Cust,A195,d_Status,"Delivered",d_Year,'Customer Analytics'!$P$4,d_City,'Customer Analytics'!$Q$4,d_Cuisine,'Customer Analytics'!$R$4,d_Pay,'Customer Analytics'!$S$4,d_Type,'Customer Analytics'!$T$4)</f>
        <v>2</v>
      </c>
      <c r="D195" s="99" t="n">
        <f aca="false">SUMIFS(d_Net,d_Cust,A195,d_Status,"Delivered",d_Year,'Customer Analytics'!$P$4,d_City,'Customer Analytics'!$Q$4,d_Cuisine,'Customer Analytics'!$R$4,d_Pay,'Customer Analytics'!$S$4,d_Type,'Customer Analytics'!$T$4)</f>
        <v>2586</v>
      </c>
      <c r="E195" s="100" t="n">
        <f aca="false">IFERROR(AVERAGEIFS(d_CRating,d_Cust,A195,d_Year,'Customer Analytics'!$P$4,d_City,'Customer Analytics'!$Q$4,d_Cuisine,'Customer Analytics'!$R$4,d_Pay,'Customer Analytics'!$S$4,d_Type,'Customer Analytics'!$T$4),0)</f>
        <v>4</v>
      </c>
      <c r="F195" s="98" t="n">
        <f aca="false">D195+ROW()/1000000</f>
        <v>2586.000195</v>
      </c>
      <c r="G195" s="98" t="n">
        <f aca="false">RANK(F195,$F$2:$F$351)</f>
        <v>101</v>
      </c>
    </row>
    <row r="196" customFormat="false" ht="15" hidden="false" customHeight="false" outlineLevel="0" collapsed="false">
      <c r="A196" s="98" t="s">
        <v>534</v>
      </c>
      <c r="B196" s="98" t="n">
        <f aca="false">COUNTIFS(d_Cust,A196,d_Year,'Customer Analytics'!$P$4,d_City,'Customer Analytics'!$Q$4,d_Cuisine,'Customer Analytics'!$R$4,d_Pay,'Customer Analytics'!$S$4,d_Type,'Customer Analytics'!$T$4)</f>
        <v>3</v>
      </c>
      <c r="C196" s="98" t="n">
        <f aca="false">COUNTIFS(d_Cust,A196,d_Status,"Delivered",d_Year,'Customer Analytics'!$P$4,d_City,'Customer Analytics'!$Q$4,d_Cuisine,'Customer Analytics'!$R$4,d_Pay,'Customer Analytics'!$S$4,d_Type,'Customer Analytics'!$T$4)</f>
        <v>3</v>
      </c>
      <c r="D196" s="99" t="n">
        <f aca="false">SUMIFS(d_Net,d_Cust,A196,d_Status,"Delivered",d_Year,'Customer Analytics'!$P$4,d_City,'Customer Analytics'!$Q$4,d_Cuisine,'Customer Analytics'!$R$4,d_Pay,'Customer Analytics'!$S$4,d_Type,'Customer Analytics'!$T$4)</f>
        <v>3240</v>
      </c>
      <c r="E196" s="100" t="n">
        <f aca="false">IFERROR(AVERAGEIFS(d_CRating,d_Cust,A196,d_Year,'Customer Analytics'!$P$4,d_City,'Customer Analytics'!$Q$4,d_Cuisine,'Customer Analytics'!$R$4,d_Pay,'Customer Analytics'!$S$4,d_Type,'Customer Analytics'!$T$4),0)</f>
        <v>4.33333333333333</v>
      </c>
      <c r="F196" s="98" t="n">
        <f aca="false">D196+ROW()/1000000</f>
        <v>3240.000196</v>
      </c>
      <c r="G196" s="98" t="n">
        <f aca="false">RANK(F196,$F$2:$F$351)</f>
        <v>44</v>
      </c>
    </row>
    <row r="197" customFormat="false" ht="15" hidden="false" customHeight="false" outlineLevel="0" collapsed="false">
      <c r="A197" s="98" t="s">
        <v>535</v>
      </c>
      <c r="B197" s="98" t="n">
        <f aca="false">COUNTIFS(d_Cust,A197,d_Year,'Customer Analytics'!$P$4,d_City,'Customer Analytics'!$Q$4,d_Cuisine,'Customer Analytics'!$R$4,d_Pay,'Customer Analytics'!$S$4,d_Type,'Customer Analytics'!$T$4)</f>
        <v>3</v>
      </c>
      <c r="C197" s="98" t="n">
        <f aca="false">COUNTIFS(d_Cust,A197,d_Status,"Delivered",d_Year,'Customer Analytics'!$P$4,d_City,'Customer Analytics'!$Q$4,d_Cuisine,'Customer Analytics'!$R$4,d_Pay,'Customer Analytics'!$S$4,d_Type,'Customer Analytics'!$T$4)</f>
        <v>3</v>
      </c>
      <c r="D197" s="99" t="n">
        <f aca="false">SUMIFS(d_Net,d_Cust,A197,d_Status,"Delivered",d_Year,'Customer Analytics'!$P$4,d_City,'Customer Analytics'!$Q$4,d_Cuisine,'Customer Analytics'!$R$4,d_Pay,'Customer Analytics'!$S$4,d_Type,'Customer Analytics'!$T$4)</f>
        <v>3745</v>
      </c>
      <c r="E197" s="100" t="n">
        <f aca="false">IFERROR(AVERAGEIFS(d_CRating,d_Cust,A197,d_Year,'Customer Analytics'!$P$4,d_City,'Customer Analytics'!$Q$4,d_Cuisine,'Customer Analytics'!$R$4,d_Pay,'Customer Analytics'!$S$4,d_Type,'Customer Analytics'!$T$4),0)</f>
        <v>4.33333333333333</v>
      </c>
      <c r="F197" s="98" t="n">
        <f aca="false">D197+ROW()/1000000</f>
        <v>3745.000197</v>
      </c>
      <c r="G197" s="98" t="n">
        <f aca="false">RANK(F197,$F$2:$F$351)</f>
        <v>16</v>
      </c>
    </row>
    <row r="198" customFormat="false" ht="15" hidden="false" customHeight="false" outlineLevel="0" collapsed="false">
      <c r="A198" s="98" t="s">
        <v>536</v>
      </c>
      <c r="B198" s="98" t="n">
        <f aca="false">COUNTIFS(d_Cust,A198,d_Year,'Customer Analytics'!$P$4,d_City,'Customer Analytics'!$Q$4,d_Cuisine,'Customer Analytics'!$R$4,d_Pay,'Customer Analytics'!$S$4,d_Type,'Customer Analytics'!$T$4)</f>
        <v>3</v>
      </c>
      <c r="C198" s="98" t="n">
        <f aca="false">COUNTIFS(d_Cust,A198,d_Status,"Delivered",d_Year,'Customer Analytics'!$P$4,d_City,'Customer Analytics'!$Q$4,d_Cuisine,'Customer Analytics'!$R$4,d_Pay,'Customer Analytics'!$S$4,d_Type,'Customer Analytics'!$T$4)</f>
        <v>3</v>
      </c>
      <c r="D198" s="99" t="n">
        <f aca="false">SUMIFS(d_Net,d_Cust,A198,d_Status,"Delivered",d_Year,'Customer Analytics'!$P$4,d_City,'Customer Analytics'!$Q$4,d_Cuisine,'Customer Analytics'!$R$4,d_Pay,'Customer Analytics'!$S$4,d_Type,'Customer Analytics'!$T$4)</f>
        <v>1748</v>
      </c>
      <c r="E198" s="100" t="n">
        <f aca="false">IFERROR(AVERAGEIFS(d_CRating,d_Cust,A198,d_Year,'Customer Analytics'!$P$4,d_City,'Customer Analytics'!$Q$4,d_Cuisine,'Customer Analytics'!$R$4,d_Pay,'Customer Analytics'!$S$4,d_Type,'Customer Analytics'!$T$4),0)</f>
        <v>4</v>
      </c>
      <c r="F198" s="98" t="n">
        <f aca="false">D198+ROW()/1000000</f>
        <v>1748.000198</v>
      </c>
      <c r="G198" s="98" t="n">
        <f aca="false">RANK(F198,$F$2:$F$351)</f>
        <v>194</v>
      </c>
    </row>
    <row r="199" customFormat="false" ht="15" hidden="false" customHeight="false" outlineLevel="0" collapsed="false">
      <c r="A199" s="98" t="s">
        <v>537</v>
      </c>
      <c r="B199" s="98" t="n">
        <f aca="false">COUNTIFS(d_Cust,A199,d_Year,'Customer Analytics'!$P$4,d_City,'Customer Analytics'!$Q$4,d_Cuisine,'Customer Analytics'!$R$4,d_Pay,'Customer Analytics'!$S$4,d_Type,'Customer Analytics'!$T$4)</f>
        <v>3</v>
      </c>
      <c r="C199" s="98" t="n">
        <f aca="false">COUNTIFS(d_Cust,A199,d_Status,"Delivered",d_Year,'Customer Analytics'!$P$4,d_City,'Customer Analytics'!$Q$4,d_Cuisine,'Customer Analytics'!$R$4,d_Pay,'Customer Analytics'!$S$4,d_Type,'Customer Analytics'!$T$4)</f>
        <v>2</v>
      </c>
      <c r="D199" s="99" t="n">
        <f aca="false">SUMIFS(d_Net,d_Cust,A199,d_Status,"Delivered",d_Year,'Customer Analytics'!$P$4,d_City,'Customer Analytics'!$Q$4,d_Cuisine,'Customer Analytics'!$R$4,d_Pay,'Customer Analytics'!$S$4,d_Type,'Customer Analytics'!$T$4)</f>
        <v>1835</v>
      </c>
      <c r="E199" s="100" t="n">
        <f aca="false">IFERROR(AVERAGEIFS(d_CRating,d_Cust,A199,d_Year,'Customer Analytics'!$P$4,d_City,'Customer Analytics'!$Q$4,d_Cuisine,'Customer Analytics'!$R$4,d_Pay,'Customer Analytics'!$S$4,d_Type,'Customer Analytics'!$T$4),0)</f>
        <v>5</v>
      </c>
      <c r="F199" s="98" t="n">
        <f aca="false">D199+ROW()/1000000</f>
        <v>1835.000199</v>
      </c>
      <c r="G199" s="98" t="n">
        <f aca="false">RANK(F199,$F$2:$F$351)</f>
        <v>182</v>
      </c>
    </row>
    <row r="200" customFormat="false" ht="15" hidden="false" customHeight="false" outlineLevel="0" collapsed="false">
      <c r="A200" s="98" t="s">
        <v>538</v>
      </c>
      <c r="B200" s="98" t="n">
        <f aca="false">COUNTIFS(d_Cust,A200,d_Year,'Customer Analytics'!$P$4,d_City,'Customer Analytics'!$Q$4,d_Cuisine,'Customer Analytics'!$R$4,d_Pay,'Customer Analytics'!$S$4,d_Type,'Customer Analytics'!$T$4)</f>
        <v>3</v>
      </c>
      <c r="C200" s="98" t="n">
        <f aca="false">COUNTIFS(d_Cust,A200,d_Status,"Delivered",d_Year,'Customer Analytics'!$P$4,d_City,'Customer Analytics'!$Q$4,d_Cuisine,'Customer Analytics'!$R$4,d_Pay,'Customer Analytics'!$S$4,d_Type,'Customer Analytics'!$T$4)</f>
        <v>1</v>
      </c>
      <c r="D200" s="99" t="n">
        <f aca="false">SUMIFS(d_Net,d_Cust,A200,d_Status,"Delivered",d_Year,'Customer Analytics'!$P$4,d_City,'Customer Analytics'!$Q$4,d_Cuisine,'Customer Analytics'!$R$4,d_Pay,'Customer Analytics'!$S$4,d_Type,'Customer Analytics'!$T$4)</f>
        <v>637</v>
      </c>
      <c r="E200" s="100" t="n">
        <f aca="false">IFERROR(AVERAGEIFS(d_CRating,d_Cust,A200,d_Year,'Customer Analytics'!$P$4,d_City,'Customer Analytics'!$Q$4,d_Cuisine,'Customer Analytics'!$R$4,d_Pay,'Customer Analytics'!$S$4,d_Type,'Customer Analytics'!$T$4),0)</f>
        <v>4.33333333333333</v>
      </c>
      <c r="F200" s="98" t="n">
        <f aca="false">D200+ROW()/1000000</f>
        <v>637.0002</v>
      </c>
      <c r="G200" s="98" t="n">
        <f aca="false">RANK(F200,$F$2:$F$351)</f>
        <v>317</v>
      </c>
    </row>
    <row r="201" customFormat="false" ht="15" hidden="false" customHeight="false" outlineLevel="0" collapsed="false">
      <c r="A201" s="98" t="s">
        <v>539</v>
      </c>
      <c r="B201" s="98" t="n">
        <f aca="false">COUNTIFS(d_Cust,A201,d_Year,'Customer Analytics'!$P$4,d_City,'Customer Analytics'!$Q$4,d_Cuisine,'Customer Analytics'!$R$4,d_Pay,'Customer Analytics'!$S$4,d_Type,'Customer Analytics'!$T$4)</f>
        <v>3</v>
      </c>
      <c r="C201" s="98" t="n">
        <f aca="false">COUNTIFS(d_Cust,A201,d_Status,"Delivered",d_Year,'Customer Analytics'!$P$4,d_City,'Customer Analytics'!$Q$4,d_Cuisine,'Customer Analytics'!$R$4,d_Pay,'Customer Analytics'!$S$4,d_Type,'Customer Analytics'!$T$4)</f>
        <v>2</v>
      </c>
      <c r="D201" s="99" t="n">
        <f aca="false">SUMIFS(d_Net,d_Cust,A201,d_Status,"Delivered",d_Year,'Customer Analytics'!$P$4,d_City,'Customer Analytics'!$Q$4,d_Cuisine,'Customer Analytics'!$R$4,d_Pay,'Customer Analytics'!$S$4,d_Type,'Customer Analytics'!$T$4)</f>
        <v>2797</v>
      </c>
      <c r="E201" s="100" t="n">
        <f aca="false">IFERROR(AVERAGEIFS(d_CRating,d_Cust,A201,d_Year,'Customer Analytics'!$P$4,d_City,'Customer Analytics'!$Q$4,d_Cuisine,'Customer Analytics'!$R$4,d_Pay,'Customer Analytics'!$S$4,d_Type,'Customer Analytics'!$T$4),0)</f>
        <v>3</v>
      </c>
      <c r="F201" s="98" t="n">
        <f aca="false">D201+ROW()/1000000</f>
        <v>2797.000201</v>
      </c>
      <c r="G201" s="98" t="n">
        <f aca="false">RANK(F201,$F$2:$F$351)</f>
        <v>82</v>
      </c>
    </row>
    <row r="202" customFormat="false" ht="15" hidden="false" customHeight="false" outlineLevel="0" collapsed="false">
      <c r="A202" s="98" t="s">
        <v>540</v>
      </c>
      <c r="B202" s="98" t="n">
        <f aca="false">COUNTIFS(d_Cust,A202,d_Year,'Customer Analytics'!$P$4,d_City,'Customer Analytics'!$Q$4,d_Cuisine,'Customer Analytics'!$R$4,d_Pay,'Customer Analytics'!$S$4,d_Type,'Customer Analytics'!$T$4)</f>
        <v>3</v>
      </c>
      <c r="C202" s="98" t="n">
        <f aca="false">COUNTIFS(d_Cust,A202,d_Status,"Delivered",d_Year,'Customer Analytics'!$P$4,d_City,'Customer Analytics'!$Q$4,d_Cuisine,'Customer Analytics'!$R$4,d_Pay,'Customer Analytics'!$S$4,d_Type,'Customer Analytics'!$T$4)</f>
        <v>3</v>
      </c>
      <c r="D202" s="99" t="n">
        <f aca="false">SUMIFS(d_Net,d_Cust,A202,d_Status,"Delivered",d_Year,'Customer Analytics'!$P$4,d_City,'Customer Analytics'!$Q$4,d_Cuisine,'Customer Analytics'!$R$4,d_Pay,'Customer Analytics'!$S$4,d_Type,'Customer Analytics'!$T$4)</f>
        <v>3068</v>
      </c>
      <c r="E202" s="100" t="n">
        <f aca="false">IFERROR(AVERAGEIFS(d_CRating,d_Cust,A202,d_Year,'Customer Analytics'!$P$4,d_City,'Customer Analytics'!$Q$4,d_Cuisine,'Customer Analytics'!$R$4,d_Pay,'Customer Analytics'!$S$4,d_Type,'Customer Analytics'!$T$4),0)</f>
        <v>2.33333333333333</v>
      </c>
      <c r="F202" s="98" t="n">
        <f aca="false">D202+ROW()/1000000</f>
        <v>3068.000202</v>
      </c>
      <c r="G202" s="98" t="n">
        <f aca="false">RANK(F202,$F$2:$F$351)</f>
        <v>56</v>
      </c>
    </row>
    <row r="203" customFormat="false" ht="15" hidden="false" customHeight="false" outlineLevel="0" collapsed="false">
      <c r="A203" s="98" t="s">
        <v>541</v>
      </c>
      <c r="B203" s="98" t="n">
        <f aca="false">COUNTIFS(d_Cust,A203,d_Year,'Customer Analytics'!$P$4,d_City,'Customer Analytics'!$Q$4,d_Cuisine,'Customer Analytics'!$R$4,d_Pay,'Customer Analytics'!$S$4,d_Type,'Customer Analytics'!$T$4)</f>
        <v>3</v>
      </c>
      <c r="C203" s="98" t="n">
        <f aca="false">COUNTIFS(d_Cust,A203,d_Status,"Delivered",d_Year,'Customer Analytics'!$P$4,d_City,'Customer Analytics'!$Q$4,d_Cuisine,'Customer Analytics'!$R$4,d_Pay,'Customer Analytics'!$S$4,d_Type,'Customer Analytics'!$T$4)</f>
        <v>2</v>
      </c>
      <c r="D203" s="99" t="n">
        <f aca="false">SUMIFS(d_Net,d_Cust,A203,d_Status,"Delivered",d_Year,'Customer Analytics'!$P$4,d_City,'Customer Analytics'!$Q$4,d_Cuisine,'Customer Analytics'!$R$4,d_Pay,'Customer Analytics'!$S$4,d_Type,'Customer Analytics'!$T$4)</f>
        <v>3073</v>
      </c>
      <c r="E203" s="100" t="n">
        <f aca="false">IFERROR(AVERAGEIFS(d_CRating,d_Cust,A203,d_Year,'Customer Analytics'!$P$4,d_City,'Customer Analytics'!$Q$4,d_Cuisine,'Customer Analytics'!$R$4,d_Pay,'Customer Analytics'!$S$4,d_Type,'Customer Analytics'!$T$4),0)</f>
        <v>2.66666666666667</v>
      </c>
      <c r="F203" s="98" t="n">
        <f aca="false">D203+ROW()/1000000</f>
        <v>3073.000203</v>
      </c>
      <c r="G203" s="98" t="n">
        <f aca="false">RANK(F203,$F$2:$F$351)</f>
        <v>55</v>
      </c>
    </row>
    <row r="204" customFormat="false" ht="15" hidden="false" customHeight="false" outlineLevel="0" collapsed="false">
      <c r="A204" s="98" t="s">
        <v>542</v>
      </c>
      <c r="B204" s="98" t="n">
        <f aca="false">COUNTIFS(d_Cust,A204,d_Year,'Customer Analytics'!$P$4,d_City,'Customer Analytics'!$Q$4,d_Cuisine,'Customer Analytics'!$R$4,d_Pay,'Customer Analytics'!$S$4,d_Type,'Customer Analytics'!$T$4)</f>
        <v>3</v>
      </c>
      <c r="C204" s="98" t="n">
        <f aca="false">COUNTIFS(d_Cust,A204,d_Status,"Delivered",d_Year,'Customer Analytics'!$P$4,d_City,'Customer Analytics'!$Q$4,d_Cuisine,'Customer Analytics'!$R$4,d_Pay,'Customer Analytics'!$S$4,d_Type,'Customer Analytics'!$T$4)</f>
        <v>3</v>
      </c>
      <c r="D204" s="99" t="n">
        <f aca="false">SUMIFS(d_Net,d_Cust,A204,d_Status,"Delivered",d_Year,'Customer Analytics'!$P$4,d_City,'Customer Analytics'!$Q$4,d_Cuisine,'Customer Analytics'!$R$4,d_Pay,'Customer Analytics'!$S$4,d_Type,'Customer Analytics'!$T$4)</f>
        <v>2772</v>
      </c>
      <c r="E204" s="100" t="n">
        <f aca="false">IFERROR(AVERAGEIFS(d_CRating,d_Cust,A204,d_Year,'Customer Analytics'!$P$4,d_City,'Customer Analytics'!$Q$4,d_Cuisine,'Customer Analytics'!$R$4,d_Pay,'Customer Analytics'!$S$4,d_Type,'Customer Analytics'!$T$4),0)</f>
        <v>4.33333333333333</v>
      </c>
      <c r="F204" s="98" t="n">
        <f aca="false">D204+ROW()/1000000</f>
        <v>2772.000204</v>
      </c>
      <c r="G204" s="98" t="n">
        <f aca="false">RANK(F204,$F$2:$F$351)</f>
        <v>84</v>
      </c>
    </row>
    <row r="205" customFormat="false" ht="15" hidden="false" customHeight="false" outlineLevel="0" collapsed="false">
      <c r="A205" s="98" t="s">
        <v>543</v>
      </c>
      <c r="B205" s="98" t="n">
        <f aca="false">COUNTIFS(d_Cust,A205,d_Year,'Customer Analytics'!$P$4,d_City,'Customer Analytics'!$Q$4,d_Cuisine,'Customer Analytics'!$R$4,d_Pay,'Customer Analytics'!$S$4,d_Type,'Customer Analytics'!$T$4)</f>
        <v>3</v>
      </c>
      <c r="C205" s="98" t="n">
        <f aca="false">COUNTIFS(d_Cust,A205,d_Status,"Delivered",d_Year,'Customer Analytics'!$P$4,d_City,'Customer Analytics'!$Q$4,d_Cuisine,'Customer Analytics'!$R$4,d_Pay,'Customer Analytics'!$S$4,d_Type,'Customer Analytics'!$T$4)</f>
        <v>3</v>
      </c>
      <c r="D205" s="99" t="n">
        <f aca="false">SUMIFS(d_Net,d_Cust,A205,d_Status,"Delivered",d_Year,'Customer Analytics'!$P$4,d_City,'Customer Analytics'!$Q$4,d_Cuisine,'Customer Analytics'!$R$4,d_Pay,'Customer Analytics'!$S$4,d_Type,'Customer Analytics'!$T$4)</f>
        <v>3480</v>
      </c>
      <c r="E205" s="100" t="n">
        <f aca="false">IFERROR(AVERAGEIFS(d_CRating,d_Cust,A205,d_Year,'Customer Analytics'!$P$4,d_City,'Customer Analytics'!$Q$4,d_Cuisine,'Customer Analytics'!$R$4,d_Pay,'Customer Analytics'!$S$4,d_Type,'Customer Analytics'!$T$4),0)</f>
        <v>4.33333333333333</v>
      </c>
      <c r="F205" s="98" t="n">
        <f aca="false">D205+ROW()/1000000</f>
        <v>3480.000205</v>
      </c>
      <c r="G205" s="98" t="n">
        <f aca="false">RANK(F205,$F$2:$F$351)</f>
        <v>31</v>
      </c>
    </row>
    <row r="206" customFormat="false" ht="15" hidden="false" customHeight="false" outlineLevel="0" collapsed="false">
      <c r="A206" s="98" t="s">
        <v>544</v>
      </c>
      <c r="B206" s="98" t="n">
        <f aca="false">COUNTIFS(d_Cust,A206,d_Year,'Customer Analytics'!$P$4,d_City,'Customer Analytics'!$Q$4,d_Cuisine,'Customer Analytics'!$R$4,d_Pay,'Customer Analytics'!$S$4,d_Type,'Customer Analytics'!$T$4)</f>
        <v>3</v>
      </c>
      <c r="C206" s="98" t="n">
        <f aca="false">COUNTIFS(d_Cust,A206,d_Status,"Delivered",d_Year,'Customer Analytics'!$P$4,d_City,'Customer Analytics'!$Q$4,d_Cuisine,'Customer Analytics'!$R$4,d_Pay,'Customer Analytics'!$S$4,d_Type,'Customer Analytics'!$T$4)</f>
        <v>2</v>
      </c>
      <c r="D206" s="99" t="n">
        <f aca="false">SUMIFS(d_Net,d_Cust,A206,d_Status,"Delivered",d_Year,'Customer Analytics'!$P$4,d_City,'Customer Analytics'!$Q$4,d_Cuisine,'Customer Analytics'!$R$4,d_Pay,'Customer Analytics'!$S$4,d_Type,'Customer Analytics'!$T$4)</f>
        <v>540</v>
      </c>
      <c r="E206" s="100" t="n">
        <f aca="false">IFERROR(AVERAGEIFS(d_CRating,d_Cust,A206,d_Year,'Customer Analytics'!$P$4,d_City,'Customer Analytics'!$Q$4,d_Cuisine,'Customer Analytics'!$R$4,d_Pay,'Customer Analytics'!$S$4,d_Type,'Customer Analytics'!$T$4),0)</f>
        <v>4.33333333333333</v>
      </c>
      <c r="F206" s="98" t="n">
        <f aca="false">D206+ROW()/1000000</f>
        <v>540.000206</v>
      </c>
      <c r="G206" s="98" t="n">
        <f aca="false">RANK(F206,$F$2:$F$351)</f>
        <v>326</v>
      </c>
    </row>
    <row r="207" customFormat="false" ht="15" hidden="false" customHeight="false" outlineLevel="0" collapsed="false">
      <c r="A207" s="98" t="s">
        <v>545</v>
      </c>
      <c r="B207" s="98" t="n">
        <f aca="false">COUNTIFS(d_Cust,A207,d_Year,'Customer Analytics'!$P$4,d_City,'Customer Analytics'!$Q$4,d_Cuisine,'Customer Analytics'!$R$4,d_Pay,'Customer Analytics'!$S$4,d_Type,'Customer Analytics'!$T$4)</f>
        <v>3</v>
      </c>
      <c r="C207" s="98" t="n">
        <f aca="false">COUNTIFS(d_Cust,A207,d_Status,"Delivered",d_Year,'Customer Analytics'!$P$4,d_City,'Customer Analytics'!$Q$4,d_Cuisine,'Customer Analytics'!$R$4,d_Pay,'Customer Analytics'!$S$4,d_Type,'Customer Analytics'!$T$4)</f>
        <v>3</v>
      </c>
      <c r="D207" s="99" t="n">
        <f aca="false">SUMIFS(d_Net,d_Cust,A207,d_Status,"Delivered",d_Year,'Customer Analytics'!$P$4,d_City,'Customer Analytics'!$Q$4,d_Cuisine,'Customer Analytics'!$R$4,d_Pay,'Customer Analytics'!$S$4,d_Type,'Customer Analytics'!$T$4)</f>
        <v>1921</v>
      </c>
      <c r="E207" s="100" t="n">
        <f aca="false">IFERROR(AVERAGEIFS(d_CRating,d_Cust,A207,d_Year,'Customer Analytics'!$P$4,d_City,'Customer Analytics'!$Q$4,d_Cuisine,'Customer Analytics'!$R$4,d_Pay,'Customer Analytics'!$S$4,d_Type,'Customer Analytics'!$T$4),0)</f>
        <v>4.33333333333333</v>
      </c>
      <c r="F207" s="98" t="n">
        <f aca="false">D207+ROW()/1000000</f>
        <v>1921.000207</v>
      </c>
      <c r="G207" s="98" t="n">
        <f aca="false">RANK(F207,$F$2:$F$351)</f>
        <v>174</v>
      </c>
    </row>
    <row r="208" customFormat="false" ht="15" hidden="false" customHeight="false" outlineLevel="0" collapsed="false">
      <c r="A208" s="98" t="s">
        <v>546</v>
      </c>
      <c r="B208" s="98" t="n">
        <f aca="false">COUNTIFS(d_Cust,A208,d_Year,'Customer Analytics'!$P$4,d_City,'Customer Analytics'!$Q$4,d_Cuisine,'Customer Analytics'!$R$4,d_Pay,'Customer Analytics'!$S$4,d_Type,'Customer Analytics'!$T$4)</f>
        <v>3</v>
      </c>
      <c r="C208" s="98" t="n">
        <f aca="false">COUNTIFS(d_Cust,A208,d_Status,"Delivered",d_Year,'Customer Analytics'!$P$4,d_City,'Customer Analytics'!$Q$4,d_Cuisine,'Customer Analytics'!$R$4,d_Pay,'Customer Analytics'!$S$4,d_Type,'Customer Analytics'!$T$4)</f>
        <v>2</v>
      </c>
      <c r="D208" s="99" t="n">
        <f aca="false">SUMIFS(d_Net,d_Cust,A208,d_Status,"Delivered",d_Year,'Customer Analytics'!$P$4,d_City,'Customer Analytics'!$Q$4,d_Cuisine,'Customer Analytics'!$R$4,d_Pay,'Customer Analytics'!$S$4,d_Type,'Customer Analytics'!$T$4)</f>
        <v>1634</v>
      </c>
      <c r="E208" s="100" t="n">
        <f aca="false">IFERROR(AVERAGEIFS(d_CRating,d_Cust,A208,d_Year,'Customer Analytics'!$P$4,d_City,'Customer Analytics'!$Q$4,d_Cuisine,'Customer Analytics'!$R$4,d_Pay,'Customer Analytics'!$S$4,d_Type,'Customer Analytics'!$T$4),0)</f>
        <v>3.66666666666667</v>
      </c>
      <c r="F208" s="98" t="n">
        <f aca="false">D208+ROW()/1000000</f>
        <v>1634.000208</v>
      </c>
      <c r="G208" s="98" t="n">
        <f aca="false">RANK(F208,$F$2:$F$351)</f>
        <v>215</v>
      </c>
    </row>
    <row r="209" customFormat="false" ht="15" hidden="false" customHeight="false" outlineLevel="0" collapsed="false">
      <c r="A209" s="98" t="s">
        <v>547</v>
      </c>
      <c r="B209" s="98" t="n">
        <f aca="false">COUNTIFS(d_Cust,A209,d_Year,'Customer Analytics'!$P$4,d_City,'Customer Analytics'!$Q$4,d_Cuisine,'Customer Analytics'!$R$4,d_Pay,'Customer Analytics'!$S$4,d_Type,'Customer Analytics'!$T$4)</f>
        <v>3</v>
      </c>
      <c r="C209" s="98" t="n">
        <f aca="false">COUNTIFS(d_Cust,A209,d_Status,"Delivered",d_Year,'Customer Analytics'!$P$4,d_City,'Customer Analytics'!$Q$4,d_Cuisine,'Customer Analytics'!$R$4,d_Pay,'Customer Analytics'!$S$4,d_Type,'Customer Analytics'!$T$4)</f>
        <v>3</v>
      </c>
      <c r="D209" s="99" t="n">
        <f aca="false">SUMIFS(d_Net,d_Cust,A209,d_Status,"Delivered",d_Year,'Customer Analytics'!$P$4,d_City,'Customer Analytics'!$Q$4,d_Cuisine,'Customer Analytics'!$R$4,d_Pay,'Customer Analytics'!$S$4,d_Type,'Customer Analytics'!$T$4)</f>
        <v>1120</v>
      </c>
      <c r="E209" s="100" t="n">
        <f aca="false">IFERROR(AVERAGEIFS(d_CRating,d_Cust,A209,d_Year,'Customer Analytics'!$P$4,d_City,'Customer Analytics'!$Q$4,d_Cuisine,'Customer Analytics'!$R$4,d_Pay,'Customer Analytics'!$S$4,d_Type,'Customer Analytics'!$T$4),0)</f>
        <v>4</v>
      </c>
      <c r="F209" s="98" t="n">
        <f aca="false">D209+ROW()/1000000</f>
        <v>1120.000209</v>
      </c>
      <c r="G209" s="98" t="n">
        <f aca="false">RANK(F209,$F$2:$F$351)</f>
        <v>277</v>
      </c>
    </row>
    <row r="210" customFormat="false" ht="15" hidden="false" customHeight="false" outlineLevel="0" collapsed="false">
      <c r="A210" s="98" t="s">
        <v>548</v>
      </c>
      <c r="B210" s="98" t="n">
        <f aca="false">COUNTIFS(d_Cust,A210,d_Year,'Customer Analytics'!$P$4,d_City,'Customer Analytics'!$Q$4,d_Cuisine,'Customer Analytics'!$R$4,d_Pay,'Customer Analytics'!$S$4,d_Type,'Customer Analytics'!$T$4)</f>
        <v>3</v>
      </c>
      <c r="C210" s="98" t="n">
        <f aca="false">COUNTIFS(d_Cust,A210,d_Status,"Delivered",d_Year,'Customer Analytics'!$P$4,d_City,'Customer Analytics'!$Q$4,d_Cuisine,'Customer Analytics'!$R$4,d_Pay,'Customer Analytics'!$S$4,d_Type,'Customer Analytics'!$T$4)</f>
        <v>1</v>
      </c>
      <c r="D210" s="99" t="n">
        <f aca="false">SUMIFS(d_Net,d_Cust,A210,d_Status,"Delivered",d_Year,'Customer Analytics'!$P$4,d_City,'Customer Analytics'!$Q$4,d_Cuisine,'Customer Analytics'!$R$4,d_Pay,'Customer Analytics'!$S$4,d_Type,'Customer Analytics'!$T$4)</f>
        <v>1110</v>
      </c>
      <c r="E210" s="100" t="n">
        <f aca="false">IFERROR(AVERAGEIFS(d_CRating,d_Cust,A210,d_Year,'Customer Analytics'!$P$4,d_City,'Customer Analytics'!$Q$4,d_Cuisine,'Customer Analytics'!$R$4,d_Pay,'Customer Analytics'!$S$4,d_Type,'Customer Analytics'!$T$4),0)</f>
        <v>3.33333333333333</v>
      </c>
      <c r="F210" s="98" t="n">
        <f aca="false">D210+ROW()/1000000</f>
        <v>1110.00021</v>
      </c>
      <c r="G210" s="98" t="n">
        <f aca="false">RANK(F210,$F$2:$F$351)</f>
        <v>278</v>
      </c>
    </row>
    <row r="211" customFormat="false" ht="15" hidden="false" customHeight="false" outlineLevel="0" collapsed="false">
      <c r="A211" s="98" t="s">
        <v>549</v>
      </c>
      <c r="B211" s="98" t="n">
        <f aca="false">COUNTIFS(d_Cust,A211,d_Year,'Customer Analytics'!$P$4,d_City,'Customer Analytics'!$Q$4,d_Cuisine,'Customer Analytics'!$R$4,d_Pay,'Customer Analytics'!$S$4,d_Type,'Customer Analytics'!$T$4)</f>
        <v>3</v>
      </c>
      <c r="C211" s="98" t="n">
        <f aca="false">COUNTIFS(d_Cust,A211,d_Status,"Delivered",d_Year,'Customer Analytics'!$P$4,d_City,'Customer Analytics'!$Q$4,d_Cuisine,'Customer Analytics'!$R$4,d_Pay,'Customer Analytics'!$S$4,d_Type,'Customer Analytics'!$T$4)</f>
        <v>2</v>
      </c>
      <c r="D211" s="99" t="n">
        <f aca="false">SUMIFS(d_Net,d_Cust,A211,d_Status,"Delivered",d_Year,'Customer Analytics'!$P$4,d_City,'Customer Analytics'!$Q$4,d_Cuisine,'Customer Analytics'!$R$4,d_Pay,'Customer Analytics'!$S$4,d_Type,'Customer Analytics'!$T$4)</f>
        <v>2178</v>
      </c>
      <c r="E211" s="100" t="n">
        <f aca="false">IFERROR(AVERAGEIFS(d_CRating,d_Cust,A211,d_Year,'Customer Analytics'!$P$4,d_City,'Customer Analytics'!$Q$4,d_Cuisine,'Customer Analytics'!$R$4,d_Pay,'Customer Analytics'!$S$4,d_Type,'Customer Analytics'!$T$4),0)</f>
        <v>5</v>
      </c>
      <c r="F211" s="98" t="n">
        <f aca="false">D211+ROW()/1000000</f>
        <v>2178.000211</v>
      </c>
      <c r="G211" s="98" t="n">
        <f aca="false">RANK(F211,$F$2:$F$351)</f>
        <v>146</v>
      </c>
    </row>
    <row r="212" customFormat="false" ht="15" hidden="false" customHeight="false" outlineLevel="0" collapsed="false">
      <c r="A212" s="98" t="s">
        <v>550</v>
      </c>
      <c r="B212" s="98" t="n">
        <f aca="false">COUNTIFS(d_Cust,A212,d_Year,'Customer Analytics'!$P$4,d_City,'Customer Analytics'!$Q$4,d_Cuisine,'Customer Analytics'!$R$4,d_Pay,'Customer Analytics'!$S$4,d_Type,'Customer Analytics'!$T$4)</f>
        <v>3</v>
      </c>
      <c r="C212" s="98" t="n">
        <f aca="false">COUNTIFS(d_Cust,A212,d_Status,"Delivered",d_Year,'Customer Analytics'!$P$4,d_City,'Customer Analytics'!$Q$4,d_Cuisine,'Customer Analytics'!$R$4,d_Pay,'Customer Analytics'!$S$4,d_Type,'Customer Analytics'!$T$4)</f>
        <v>2</v>
      </c>
      <c r="D212" s="99" t="n">
        <f aca="false">SUMIFS(d_Net,d_Cust,A212,d_Status,"Delivered",d_Year,'Customer Analytics'!$P$4,d_City,'Customer Analytics'!$Q$4,d_Cuisine,'Customer Analytics'!$R$4,d_Pay,'Customer Analytics'!$S$4,d_Type,'Customer Analytics'!$T$4)</f>
        <v>1554</v>
      </c>
      <c r="E212" s="100" t="n">
        <f aca="false">IFERROR(AVERAGEIFS(d_CRating,d_Cust,A212,d_Year,'Customer Analytics'!$P$4,d_City,'Customer Analytics'!$Q$4,d_Cuisine,'Customer Analytics'!$R$4,d_Pay,'Customer Analytics'!$S$4,d_Type,'Customer Analytics'!$T$4),0)</f>
        <v>4.33333333333333</v>
      </c>
      <c r="F212" s="98" t="n">
        <f aca="false">D212+ROW()/1000000</f>
        <v>1554.000212</v>
      </c>
      <c r="G212" s="98" t="n">
        <f aca="false">RANK(F212,$F$2:$F$351)</f>
        <v>228</v>
      </c>
    </row>
    <row r="213" customFormat="false" ht="15" hidden="false" customHeight="false" outlineLevel="0" collapsed="false">
      <c r="A213" s="98" t="s">
        <v>551</v>
      </c>
      <c r="B213" s="98" t="n">
        <f aca="false">COUNTIFS(d_Cust,A213,d_Year,'Customer Analytics'!$P$4,d_City,'Customer Analytics'!$Q$4,d_Cuisine,'Customer Analytics'!$R$4,d_Pay,'Customer Analytics'!$S$4,d_Type,'Customer Analytics'!$T$4)</f>
        <v>3</v>
      </c>
      <c r="C213" s="98" t="n">
        <f aca="false">COUNTIFS(d_Cust,A213,d_Status,"Delivered",d_Year,'Customer Analytics'!$P$4,d_City,'Customer Analytics'!$Q$4,d_Cuisine,'Customer Analytics'!$R$4,d_Pay,'Customer Analytics'!$S$4,d_Type,'Customer Analytics'!$T$4)</f>
        <v>3</v>
      </c>
      <c r="D213" s="99" t="n">
        <f aca="false">SUMIFS(d_Net,d_Cust,A213,d_Status,"Delivered",d_Year,'Customer Analytics'!$P$4,d_City,'Customer Analytics'!$Q$4,d_Cuisine,'Customer Analytics'!$R$4,d_Pay,'Customer Analytics'!$S$4,d_Type,'Customer Analytics'!$T$4)</f>
        <v>2673</v>
      </c>
      <c r="E213" s="100" t="n">
        <f aca="false">IFERROR(AVERAGEIFS(d_CRating,d_Cust,A213,d_Year,'Customer Analytics'!$P$4,d_City,'Customer Analytics'!$Q$4,d_Cuisine,'Customer Analytics'!$R$4,d_Pay,'Customer Analytics'!$S$4,d_Type,'Customer Analytics'!$T$4),0)</f>
        <v>4.33333333333333</v>
      </c>
      <c r="F213" s="98" t="n">
        <f aca="false">D213+ROW()/1000000</f>
        <v>2673.000213</v>
      </c>
      <c r="G213" s="98" t="n">
        <f aca="false">RANK(F213,$F$2:$F$351)</f>
        <v>94</v>
      </c>
    </row>
    <row r="214" customFormat="false" ht="15" hidden="false" customHeight="false" outlineLevel="0" collapsed="false">
      <c r="A214" s="98" t="s">
        <v>552</v>
      </c>
      <c r="B214" s="98" t="n">
        <f aca="false">COUNTIFS(d_Cust,A214,d_Year,'Customer Analytics'!$P$4,d_City,'Customer Analytics'!$Q$4,d_Cuisine,'Customer Analytics'!$R$4,d_Pay,'Customer Analytics'!$S$4,d_Type,'Customer Analytics'!$T$4)</f>
        <v>3</v>
      </c>
      <c r="C214" s="98" t="n">
        <f aca="false">COUNTIFS(d_Cust,A214,d_Status,"Delivered",d_Year,'Customer Analytics'!$P$4,d_City,'Customer Analytics'!$Q$4,d_Cuisine,'Customer Analytics'!$R$4,d_Pay,'Customer Analytics'!$S$4,d_Type,'Customer Analytics'!$T$4)</f>
        <v>2</v>
      </c>
      <c r="D214" s="99" t="n">
        <f aca="false">SUMIFS(d_Net,d_Cust,A214,d_Status,"Delivered",d_Year,'Customer Analytics'!$P$4,d_City,'Customer Analytics'!$Q$4,d_Cuisine,'Customer Analytics'!$R$4,d_Pay,'Customer Analytics'!$S$4,d_Type,'Customer Analytics'!$T$4)</f>
        <v>2178</v>
      </c>
      <c r="E214" s="100" t="n">
        <f aca="false">IFERROR(AVERAGEIFS(d_CRating,d_Cust,A214,d_Year,'Customer Analytics'!$P$4,d_City,'Customer Analytics'!$Q$4,d_Cuisine,'Customer Analytics'!$R$4,d_Pay,'Customer Analytics'!$S$4,d_Type,'Customer Analytics'!$T$4),0)</f>
        <v>5</v>
      </c>
      <c r="F214" s="98" t="n">
        <f aca="false">D214+ROW()/1000000</f>
        <v>2178.000214</v>
      </c>
      <c r="G214" s="98" t="n">
        <f aca="false">RANK(F214,$F$2:$F$351)</f>
        <v>145</v>
      </c>
    </row>
    <row r="215" customFormat="false" ht="15" hidden="false" customHeight="false" outlineLevel="0" collapsed="false">
      <c r="A215" s="98" t="s">
        <v>553</v>
      </c>
      <c r="B215" s="98" t="n">
        <f aca="false">COUNTIFS(d_Cust,A215,d_Year,'Customer Analytics'!$P$4,d_City,'Customer Analytics'!$Q$4,d_Cuisine,'Customer Analytics'!$R$4,d_Pay,'Customer Analytics'!$S$4,d_Type,'Customer Analytics'!$T$4)</f>
        <v>3</v>
      </c>
      <c r="C215" s="98" t="n">
        <f aca="false">COUNTIFS(d_Cust,A215,d_Status,"Delivered",d_Year,'Customer Analytics'!$P$4,d_City,'Customer Analytics'!$Q$4,d_Cuisine,'Customer Analytics'!$R$4,d_Pay,'Customer Analytics'!$S$4,d_Type,'Customer Analytics'!$T$4)</f>
        <v>2</v>
      </c>
      <c r="D215" s="99" t="n">
        <f aca="false">SUMIFS(d_Net,d_Cust,A215,d_Status,"Delivered",d_Year,'Customer Analytics'!$P$4,d_City,'Customer Analytics'!$Q$4,d_Cuisine,'Customer Analytics'!$R$4,d_Pay,'Customer Analytics'!$S$4,d_Type,'Customer Analytics'!$T$4)</f>
        <v>802</v>
      </c>
      <c r="E215" s="100" t="n">
        <f aca="false">IFERROR(AVERAGEIFS(d_CRating,d_Cust,A215,d_Year,'Customer Analytics'!$P$4,d_City,'Customer Analytics'!$Q$4,d_Cuisine,'Customer Analytics'!$R$4,d_Pay,'Customer Analytics'!$S$4,d_Type,'Customer Analytics'!$T$4),0)</f>
        <v>3</v>
      </c>
      <c r="F215" s="98" t="n">
        <f aca="false">D215+ROW()/1000000</f>
        <v>802.000215</v>
      </c>
      <c r="G215" s="98" t="n">
        <f aca="false">RANK(F215,$F$2:$F$351)</f>
        <v>303</v>
      </c>
    </row>
    <row r="216" customFormat="false" ht="15" hidden="false" customHeight="false" outlineLevel="0" collapsed="false">
      <c r="A216" s="98" t="s">
        <v>554</v>
      </c>
      <c r="B216" s="98" t="n">
        <f aca="false">COUNTIFS(d_Cust,A216,d_Year,'Customer Analytics'!$P$4,d_City,'Customer Analytics'!$Q$4,d_Cuisine,'Customer Analytics'!$R$4,d_Pay,'Customer Analytics'!$S$4,d_Type,'Customer Analytics'!$T$4)</f>
        <v>3</v>
      </c>
      <c r="C216" s="98" t="n">
        <f aca="false">COUNTIFS(d_Cust,A216,d_Status,"Delivered",d_Year,'Customer Analytics'!$P$4,d_City,'Customer Analytics'!$Q$4,d_Cuisine,'Customer Analytics'!$R$4,d_Pay,'Customer Analytics'!$S$4,d_Type,'Customer Analytics'!$T$4)</f>
        <v>2</v>
      </c>
      <c r="D216" s="99" t="n">
        <f aca="false">SUMIFS(d_Net,d_Cust,A216,d_Status,"Delivered",d_Year,'Customer Analytics'!$P$4,d_City,'Customer Analytics'!$Q$4,d_Cuisine,'Customer Analytics'!$R$4,d_Pay,'Customer Analytics'!$S$4,d_Type,'Customer Analytics'!$T$4)</f>
        <v>2126</v>
      </c>
      <c r="E216" s="100" t="n">
        <f aca="false">IFERROR(AVERAGEIFS(d_CRating,d_Cust,A216,d_Year,'Customer Analytics'!$P$4,d_City,'Customer Analytics'!$Q$4,d_Cuisine,'Customer Analytics'!$R$4,d_Pay,'Customer Analytics'!$S$4,d_Type,'Customer Analytics'!$T$4),0)</f>
        <v>4</v>
      </c>
      <c r="F216" s="98" t="n">
        <f aca="false">D216+ROW()/1000000</f>
        <v>2126.000216</v>
      </c>
      <c r="G216" s="98" t="n">
        <f aca="false">RANK(F216,$F$2:$F$351)</f>
        <v>149</v>
      </c>
    </row>
    <row r="217" customFormat="false" ht="15" hidden="false" customHeight="false" outlineLevel="0" collapsed="false">
      <c r="A217" s="98" t="s">
        <v>555</v>
      </c>
      <c r="B217" s="98" t="n">
        <f aca="false">COUNTIFS(d_Cust,A217,d_Year,'Customer Analytics'!$P$4,d_City,'Customer Analytics'!$Q$4,d_Cuisine,'Customer Analytics'!$R$4,d_Pay,'Customer Analytics'!$S$4,d_Type,'Customer Analytics'!$T$4)</f>
        <v>3</v>
      </c>
      <c r="C217" s="98" t="n">
        <f aca="false">COUNTIFS(d_Cust,A217,d_Status,"Delivered",d_Year,'Customer Analytics'!$P$4,d_City,'Customer Analytics'!$Q$4,d_Cuisine,'Customer Analytics'!$R$4,d_Pay,'Customer Analytics'!$S$4,d_Type,'Customer Analytics'!$T$4)</f>
        <v>2</v>
      </c>
      <c r="D217" s="99" t="n">
        <f aca="false">SUMIFS(d_Net,d_Cust,A217,d_Status,"Delivered",d_Year,'Customer Analytics'!$P$4,d_City,'Customer Analytics'!$Q$4,d_Cuisine,'Customer Analytics'!$R$4,d_Pay,'Customer Analytics'!$S$4,d_Type,'Customer Analytics'!$T$4)</f>
        <v>1799</v>
      </c>
      <c r="E217" s="100" t="n">
        <f aca="false">IFERROR(AVERAGEIFS(d_CRating,d_Cust,A217,d_Year,'Customer Analytics'!$P$4,d_City,'Customer Analytics'!$Q$4,d_Cuisine,'Customer Analytics'!$R$4,d_Pay,'Customer Analytics'!$S$4,d_Type,'Customer Analytics'!$T$4),0)</f>
        <v>3</v>
      </c>
      <c r="F217" s="98" t="n">
        <f aca="false">D217+ROW()/1000000</f>
        <v>1799.000217</v>
      </c>
      <c r="G217" s="98" t="n">
        <f aca="false">RANK(F217,$F$2:$F$351)</f>
        <v>187</v>
      </c>
    </row>
    <row r="218" customFormat="false" ht="15" hidden="false" customHeight="false" outlineLevel="0" collapsed="false">
      <c r="A218" s="98" t="s">
        <v>556</v>
      </c>
      <c r="B218" s="98" t="n">
        <f aca="false">COUNTIFS(d_Cust,A218,d_Year,'Customer Analytics'!$P$4,d_City,'Customer Analytics'!$Q$4,d_Cuisine,'Customer Analytics'!$R$4,d_Pay,'Customer Analytics'!$S$4,d_Type,'Customer Analytics'!$T$4)</f>
        <v>3</v>
      </c>
      <c r="C218" s="98" t="n">
        <f aca="false">COUNTIFS(d_Cust,A218,d_Status,"Delivered",d_Year,'Customer Analytics'!$P$4,d_City,'Customer Analytics'!$Q$4,d_Cuisine,'Customer Analytics'!$R$4,d_Pay,'Customer Analytics'!$S$4,d_Type,'Customer Analytics'!$T$4)</f>
        <v>2</v>
      </c>
      <c r="D218" s="99" t="n">
        <f aca="false">SUMIFS(d_Net,d_Cust,A218,d_Status,"Delivered",d_Year,'Customer Analytics'!$P$4,d_City,'Customer Analytics'!$Q$4,d_Cuisine,'Customer Analytics'!$R$4,d_Pay,'Customer Analytics'!$S$4,d_Type,'Customer Analytics'!$T$4)</f>
        <v>1549</v>
      </c>
      <c r="E218" s="100" t="n">
        <f aca="false">IFERROR(AVERAGEIFS(d_CRating,d_Cust,A218,d_Year,'Customer Analytics'!$P$4,d_City,'Customer Analytics'!$Q$4,d_Cuisine,'Customer Analytics'!$R$4,d_Pay,'Customer Analytics'!$S$4,d_Type,'Customer Analytics'!$T$4),0)</f>
        <v>3.66666666666667</v>
      </c>
      <c r="F218" s="98" t="n">
        <f aca="false">D218+ROW()/1000000</f>
        <v>1549.000218</v>
      </c>
      <c r="G218" s="98" t="n">
        <f aca="false">RANK(F218,$F$2:$F$351)</f>
        <v>229</v>
      </c>
    </row>
    <row r="219" customFormat="false" ht="15" hidden="false" customHeight="false" outlineLevel="0" collapsed="false">
      <c r="A219" s="98" t="s">
        <v>557</v>
      </c>
      <c r="B219" s="98" t="n">
        <f aca="false">COUNTIFS(d_Cust,A219,d_Year,'Customer Analytics'!$P$4,d_City,'Customer Analytics'!$Q$4,d_Cuisine,'Customer Analytics'!$R$4,d_Pay,'Customer Analytics'!$S$4,d_Type,'Customer Analytics'!$T$4)</f>
        <v>3</v>
      </c>
      <c r="C219" s="98" t="n">
        <f aca="false">COUNTIFS(d_Cust,A219,d_Status,"Delivered",d_Year,'Customer Analytics'!$P$4,d_City,'Customer Analytics'!$Q$4,d_Cuisine,'Customer Analytics'!$R$4,d_Pay,'Customer Analytics'!$S$4,d_Type,'Customer Analytics'!$T$4)</f>
        <v>1</v>
      </c>
      <c r="D219" s="99" t="n">
        <f aca="false">SUMIFS(d_Net,d_Cust,A219,d_Status,"Delivered",d_Year,'Customer Analytics'!$P$4,d_City,'Customer Analytics'!$Q$4,d_Cuisine,'Customer Analytics'!$R$4,d_Pay,'Customer Analytics'!$S$4,d_Type,'Customer Analytics'!$T$4)</f>
        <v>974</v>
      </c>
      <c r="E219" s="100" t="n">
        <f aca="false">IFERROR(AVERAGEIFS(d_CRating,d_Cust,A219,d_Year,'Customer Analytics'!$P$4,d_City,'Customer Analytics'!$Q$4,d_Cuisine,'Customer Analytics'!$R$4,d_Pay,'Customer Analytics'!$S$4,d_Type,'Customer Analytics'!$T$4),0)</f>
        <v>3</v>
      </c>
      <c r="F219" s="98" t="n">
        <f aca="false">D219+ROW()/1000000</f>
        <v>974.000219</v>
      </c>
      <c r="G219" s="98" t="n">
        <f aca="false">RANK(F219,$F$2:$F$351)</f>
        <v>283</v>
      </c>
    </row>
    <row r="220" customFormat="false" ht="15" hidden="false" customHeight="false" outlineLevel="0" collapsed="false">
      <c r="A220" s="98" t="s">
        <v>558</v>
      </c>
      <c r="B220" s="98" t="n">
        <f aca="false">COUNTIFS(d_Cust,A220,d_Year,'Customer Analytics'!$P$4,d_City,'Customer Analytics'!$Q$4,d_Cuisine,'Customer Analytics'!$R$4,d_Pay,'Customer Analytics'!$S$4,d_Type,'Customer Analytics'!$T$4)</f>
        <v>3</v>
      </c>
      <c r="C220" s="98" t="n">
        <f aca="false">COUNTIFS(d_Cust,A220,d_Status,"Delivered",d_Year,'Customer Analytics'!$P$4,d_City,'Customer Analytics'!$Q$4,d_Cuisine,'Customer Analytics'!$R$4,d_Pay,'Customer Analytics'!$S$4,d_Type,'Customer Analytics'!$T$4)</f>
        <v>3</v>
      </c>
      <c r="D220" s="99" t="n">
        <f aca="false">SUMIFS(d_Net,d_Cust,A220,d_Status,"Delivered",d_Year,'Customer Analytics'!$P$4,d_City,'Customer Analytics'!$Q$4,d_Cuisine,'Customer Analytics'!$R$4,d_Pay,'Customer Analytics'!$S$4,d_Type,'Customer Analytics'!$T$4)</f>
        <v>1416</v>
      </c>
      <c r="E220" s="100" t="n">
        <f aca="false">IFERROR(AVERAGEIFS(d_CRating,d_Cust,A220,d_Year,'Customer Analytics'!$P$4,d_City,'Customer Analytics'!$Q$4,d_Cuisine,'Customer Analytics'!$R$4,d_Pay,'Customer Analytics'!$S$4,d_Type,'Customer Analytics'!$T$4),0)</f>
        <v>3.66666666666667</v>
      </c>
      <c r="F220" s="98" t="n">
        <f aca="false">D220+ROW()/1000000</f>
        <v>1416.00022</v>
      </c>
      <c r="G220" s="98" t="n">
        <f aca="false">RANK(F220,$F$2:$F$351)</f>
        <v>247</v>
      </c>
    </row>
    <row r="221" customFormat="false" ht="15" hidden="false" customHeight="false" outlineLevel="0" collapsed="false">
      <c r="A221" s="98" t="s">
        <v>559</v>
      </c>
      <c r="B221" s="98" t="n">
        <f aca="false">COUNTIFS(d_Cust,A221,d_Year,'Customer Analytics'!$P$4,d_City,'Customer Analytics'!$Q$4,d_Cuisine,'Customer Analytics'!$R$4,d_Pay,'Customer Analytics'!$S$4,d_Type,'Customer Analytics'!$T$4)</f>
        <v>3</v>
      </c>
      <c r="C221" s="98" t="n">
        <f aca="false">COUNTIFS(d_Cust,A221,d_Status,"Delivered",d_Year,'Customer Analytics'!$P$4,d_City,'Customer Analytics'!$Q$4,d_Cuisine,'Customer Analytics'!$R$4,d_Pay,'Customer Analytics'!$S$4,d_Type,'Customer Analytics'!$T$4)</f>
        <v>1</v>
      </c>
      <c r="D221" s="99" t="n">
        <f aca="false">SUMIFS(d_Net,d_Cust,A221,d_Status,"Delivered",d_Year,'Customer Analytics'!$P$4,d_City,'Customer Analytics'!$Q$4,d_Cuisine,'Customer Analytics'!$R$4,d_Pay,'Customer Analytics'!$S$4,d_Type,'Customer Analytics'!$T$4)</f>
        <v>247</v>
      </c>
      <c r="E221" s="100" t="n">
        <f aca="false">IFERROR(AVERAGEIFS(d_CRating,d_Cust,A221,d_Year,'Customer Analytics'!$P$4,d_City,'Customer Analytics'!$Q$4,d_Cuisine,'Customer Analytics'!$R$4,d_Pay,'Customer Analytics'!$S$4,d_Type,'Customer Analytics'!$T$4),0)</f>
        <v>3.66666666666667</v>
      </c>
      <c r="F221" s="98" t="n">
        <f aca="false">D221+ROW()/1000000</f>
        <v>247.000221</v>
      </c>
      <c r="G221" s="98" t="n">
        <f aca="false">RANK(F221,$F$2:$F$351)</f>
        <v>341</v>
      </c>
    </row>
    <row r="222" customFormat="false" ht="15" hidden="false" customHeight="false" outlineLevel="0" collapsed="false">
      <c r="A222" s="98" t="s">
        <v>560</v>
      </c>
      <c r="B222" s="98" t="n">
        <f aca="false">COUNTIFS(d_Cust,A222,d_Year,'Customer Analytics'!$P$4,d_City,'Customer Analytics'!$Q$4,d_Cuisine,'Customer Analytics'!$R$4,d_Pay,'Customer Analytics'!$S$4,d_Type,'Customer Analytics'!$T$4)</f>
        <v>3</v>
      </c>
      <c r="C222" s="98" t="n">
        <f aca="false">COUNTIFS(d_Cust,A222,d_Status,"Delivered",d_Year,'Customer Analytics'!$P$4,d_City,'Customer Analytics'!$Q$4,d_Cuisine,'Customer Analytics'!$R$4,d_Pay,'Customer Analytics'!$S$4,d_Type,'Customer Analytics'!$T$4)</f>
        <v>1</v>
      </c>
      <c r="D222" s="99" t="n">
        <f aca="false">SUMIFS(d_Net,d_Cust,A222,d_Status,"Delivered",d_Year,'Customer Analytics'!$P$4,d_City,'Customer Analytics'!$Q$4,d_Cuisine,'Customer Analytics'!$R$4,d_Pay,'Customer Analytics'!$S$4,d_Type,'Customer Analytics'!$T$4)</f>
        <v>935</v>
      </c>
      <c r="E222" s="100" t="n">
        <f aca="false">IFERROR(AVERAGEIFS(d_CRating,d_Cust,A222,d_Year,'Customer Analytics'!$P$4,d_City,'Customer Analytics'!$Q$4,d_Cuisine,'Customer Analytics'!$R$4,d_Pay,'Customer Analytics'!$S$4,d_Type,'Customer Analytics'!$T$4),0)</f>
        <v>4</v>
      </c>
      <c r="F222" s="98" t="n">
        <f aca="false">D222+ROW()/1000000</f>
        <v>935.000222</v>
      </c>
      <c r="G222" s="98" t="n">
        <f aca="false">RANK(F222,$F$2:$F$351)</f>
        <v>288</v>
      </c>
    </row>
    <row r="223" customFormat="false" ht="15" hidden="false" customHeight="false" outlineLevel="0" collapsed="false">
      <c r="A223" s="98" t="s">
        <v>561</v>
      </c>
      <c r="B223" s="98" t="n">
        <f aca="false">COUNTIFS(d_Cust,A223,d_Year,'Customer Analytics'!$P$4,d_City,'Customer Analytics'!$Q$4,d_Cuisine,'Customer Analytics'!$R$4,d_Pay,'Customer Analytics'!$S$4,d_Type,'Customer Analytics'!$T$4)</f>
        <v>3</v>
      </c>
      <c r="C223" s="98" t="n">
        <f aca="false">COUNTIFS(d_Cust,A223,d_Status,"Delivered",d_Year,'Customer Analytics'!$P$4,d_City,'Customer Analytics'!$Q$4,d_Cuisine,'Customer Analytics'!$R$4,d_Pay,'Customer Analytics'!$S$4,d_Type,'Customer Analytics'!$T$4)</f>
        <v>2</v>
      </c>
      <c r="D223" s="99" t="n">
        <f aca="false">SUMIFS(d_Net,d_Cust,A223,d_Status,"Delivered",d_Year,'Customer Analytics'!$P$4,d_City,'Customer Analytics'!$Q$4,d_Cuisine,'Customer Analytics'!$R$4,d_Pay,'Customer Analytics'!$S$4,d_Type,'Customer Analytics'!$T$4)</f>
        <v>2348</v>
      </c>
      <c r="E223" s="100" t="n">
        <f aca="false">IFERROR(AVERAGEIFS(d_CRating,d_Cust,A223,d_Year,'Customer Analytics'!$P$4,d_City,'Customer Analytics'!$Q$4,d_Cuisine,'Customer Analytics'!$R$4,d_Pay,'Customer Analytics'!$S$4,d_Type,'Customer Analytics'!$T$4),0)</f>
        <v>4.66666666666667</v>
      </c>
      <c r="F223" s="98" t="n">
        <f aca="false">D223+ROW()/1000000</f>
        <v>2348.000223</v>
      </c>
      <c r="G223" s="98" t="n">
        <f aca="false">RANK(F223,$F$2:$F$351)</f>
        <v>130</v>
      </c>
    </row>
    <row r="224" customFormat="false" ht="15" hidden="false" customHeight="false" outlineLevel="0" collapsed="false">
      <c r="A224" s="98" t="s">
        <v>562</v>
      </c>
      <c r="B224" s="98" t="n">
        <f aca="false">COUNTIFS(d_Cust,A224,d_Year,'Customer Analytics'!$P$4,d_City,'Customer Analytics'!$Q$4,d_Cuisine,'Customer Analytics'!$R$4,d_Pay,'Customer Analytics'!$S$4,d_Type,'Customer Analytics'!$T$4)</f>
        <v>3</v>
      </c>
      <c r="C224" s="98" t="n">
        <f aca="false">COUNTIFS(d_Cust,A224,d_Status,"Delivered",d_Year,'Customer Analytics'!$P$4,d_City,'Customer Analytics'!$Q$4,d_Cuisine,'Customer Analytics'!$R$4,d_Pay,'Customer Analytics'!$S$4,d_Type,'Customer Analytics'!$T$4)</f>
        <v>2</v>
      </c>
      <c r="D224" s="99" t="n">
        <f aca="false">SUMIFS(d_Net,d_Cust,A224,d_Status,"Delivered",d_Year,'Customer Analytics'!$P$4,d_City,'Customer Analytics'!$Q$4,d_Cuisine,'Customer Analytics'!$R$4,d_Pay,'Customer Analytics'!$S$4,d_Type,'Customer Analytics'!$T$4)</f>
        <v>1779</v>
      </c>
      <c r="E224" s="100" t="n">
        <f aca="false">IFERROR(AVERAGEIFS(d_CRating,d_Cust,A224,d_Year,'Customer Analytics'!$P$4,d_City,'Customer Analytics'!$Q$4,d_Cuisine,'Customer Analytics'!$R$4,d_Pay,'Customer Analytics'!$S$4,d_Type,'Customer Analytics'!$T$4),0)</f>
        <v>4</v>
      </c>
      <c r="F224" s="98" t="n">
        <f aca="false">D224+ROW()/1000000</f>
        <v>1779.000224</v>
      </c>
      <c r="G224" s="98" t="n">
        <f aca="false">RANK(F224,$F$2:$F$351)</f>
        <v>190</v>
      </c>
    </row>
    <row r="225" customFormat="false" ht="15" hidden="false" customHeight="false" outlineLevel="0" collapsed="false">
      <c r="A225" s="98" t="s">
        <v>563</v>
      </c>
      <c r="B225" s="98" t="n">
        <f aca="false">COUNTIFS(d_Cust,A225,d_Year,'Customer Analytics'!$P$4,d_City,'Customer Analytics'!$Q$4,d_Cuisine,'Customer Analytics'!$R$4,d_Pay,'Customer Analytics'!$S$4,d_Type,'Customer Analytics'!$T$4)</f>
        <v>3</v>
      </c>
      <c r="C225" s="98" t="n">
        <f aca="false">COUNTIFS(d_Cust,A225,d_Status,"Delivered",d_Year,'Customer Analytics'!$P$4,d_City,'Customer Analytics'!$Q$4,d_Cuisine,'Customer Analytics'!$R$4,d_Pay,'Customer Analytics'!$S$4,d_Type,'Customer Analytics'!$T$4)</f>
        <v>3</v>
      </c>
      <c r="D225" s="99" t="n">
        <f aca="false">SUMIFS(d_Net,d_Cust,A225,d_Status,"Delivered",d_Year,'Customer Analytics'!$P$4,d_City,'Customer Analytics'!$Q$4,d_Cuisine,'Customer Analytics'!$R$4,d_Pay,'Customer Analytics'!$S$4,d_Type,'Customer Analytics'!$T$4)</f>
        <v>2723</v>
      </c>
      <c r="E225" s="100" t="n">
        <f aca="false">IFERROR(AVERAGEIFS(d_CRating,d_Cust,A225,d_Year,'Customer Analytics'!$P$4,d_City,'Customer Analytics'!$Q$4,d_Cuisine,'Customer Analytics'!$R$4,d_Pay,'Customer Analytics'!$S$4,d_Type,'Customer Analytics'!$T$4),0)</f>
        <v>4.66666666666667</v>
      </c>
      <c r="F225" s="98" t="n">
        <f aca="false">D225+ROW()/1000000</f>
        <v>2723.000225</v>
      </c>
      <c r="G225" s="98" t="n">
        <f aca="false">RANK(F225,$F$2:$F$351)</f>
        <v>86</v>
      </c>
    </row>
    <row r="226" customFormat="false" ht="15" hidden="false" customHeight="false" outlineLevel="0" collapsed="false">
      <c r="A226" s="98" t="s">
        <v>564</v>
      </c>
      <c r="B226" s="98" t="n">
        <f aca="false">COUNTIFS(d_Cust,A226,d_Year,'Customer Analytics'!$P$4,d_City,'Customer Analytics'!$Q$4,d_Cuisine,'Customer Analytics'!$R$4,d_Pay,'Customer Analytics'!$S$4,d_Type,'Customer Analytics'!$T$4)</f>
        <v>3</v>
      </c>
      <c r="C226" s="98" t="n">
        <f aca="false">COUNTIFS(d_Cust,A226,d_Status,"Delivered",d_Year,'Customer Analytics'!$P$4,d_City,'Customer Analytics'!$Q$4,d_Cuisine,'Customer Analytics'!$R$4,d_Pay,'Customer Analytics'!$S$4,d_Type,'Customer Analytics'!$T$4)</f>
        <v>1</v>
      </c>
      <c r="D226" s="99" t="n">
        <f aca="false">SUMIFS(d_Net,d_Cust,A226,d_Status,"Delivered",d_Year,'Customer Analytics'!$P$4,d_City,'Customer Analytics'!$Q$4,d_Cuisine,'Customer Analytics'!$R$4,d_Pay,'Customer Analytics'!$S$4,d_Type,'Customer Analytics'!$T$4)</f>
        <v>638</v>
      </c>
      <c r="E226" s="100" t="n">
        <f aca="false">IFERROR(AVERAGEIFS(d_CRating,d_Cust,A226,d_Year,'Customer Analytics'!$P$4,d_City,'Customer Analytics'!$Q$4,d_Cuisine,'Customer Analytics'!$R$4,d_Pay,'Customer Analytics'!$S$4,d_Type,'Customer Analytics'!$T$4),0)</f>
        <v>4.33333333333333</v>
      </c>
      <c r="F226" s="98" t="n">
        <f aca="false">D226+ROW()/1000000</f>
        <v>638.000226</v>
      </c>
      <c r="G226" s="98" t="n">
        <f aca="false">RANK(F226,$F$2:$F$351)</f>
        <v>315</v>
      </c>
    </row>
    <row r="227" customFormat="false" ht="15" hidden="false" customHeight="false" outlineLevel="0" collapsed="false">
      <c r="A227" s="98" t="s">
        <v>565</v>
      </c>
      <c r="B227" s="98" t="n">
        <f aca="false">COUNTIFS(d_Cust,A227,d_Year,'Customer Analytics'!$P$4,d_City,'Customer Analytics'!$Q$4,d_Cuisine,'Customer Analytics'!$R$4,d_Pay,'Customer Analytics'!$S$4,d_Type,'Customer Analytics'!$T$4)</f>
        <v>3</v>
      </c>
      <c r="C227" s="98" t="n">
        <f aca="false">COUNTIFS(d_Cust,A227,d_Status,"Delivered",d_Year,'Customer Analytics'!$P$4,d_City,'Customer Analytics'!$Q$4,d_Cuisine,'Customer Analytics'!$R$4,d_Pay,'Customer Analytics'!$S$4,d_Type,'Customer Analytics'!$T$4)</f>
        <v>2</v>
      </c>
      <c r="D227" s="99" t="n">
        <f aca="false">SUMIFS(d_Net,d_Cust,A227,d_Status,"Delivered",d_Year,'Customer Analytics'!$P$4,d_City,'Customer Analytics'!$Q$4,d_Cuisine,'Customer Analytics'!$R$4,d_Pay,'Customer Analytics'!$S$4,d_Type,'Customer Analytics'!$T$4)</f>
        <v>1204</v>
      </c>
      <c r="E227" s="100" t="n">
        <f aca="false">IFERROR(AVERAGEIFS(d_CRating,d_Cust,A227,d_Year,'Customer Analytics'!$P$4,d_City,'Customer Analytics'!$Q$4,d_Cuisine,'Customer Analytics'!$R$4,d_Pay,'Customer Analytics'!$S$4,d_Type,'Customer Analytics'!$T$4),0)</f>
        <v>4.33333333333333</v>
      </c>
      <c r="F227" s="98" t="n">
        <f aca="false">D227+ROW()/1000000</f>
        <v>1204.000227</v>
      </c>
      <c r="G227" s="98" t="n">
        <f aca="false">RANK(F227,$F$2:$F$351)</f>
        <v>271</v>
      </c>
    </row>
    <row r="228" customFormat="false" ht="15" hidden="false" customHeight="false" outlineLevel="0" collapsed="false">
      <c r="A228" s="98" t="s">
        <v>566</v>
      </c>
      <c r="B228" s="98" t="n">
        <f aca="false">COUNTIFS(d_Cust,A228,d_Year,'Customer Analytics'!$P$4,d_City,'Customer Analytics'!$Q$4,d_Cuisine,'Customer Analytics'!$R$4,d_Pay,'Customer Analytics'!$S$4,d_Type,'Customer Analytics'!$T$4)</f>
        <v>3</v>
      </c>
      <c r="C228" s="98" t="n">
        <f aca="false">COUNTIFS(d_Cust,A228,d_Status,"Delivered",d_Year,'Customer Analytics'!$P$4,d_City,'Customer Analytics'!$Q$4,d_Cuisine,'Customer Analytics'!$R$4,d_Pay,'Customer Analytics'!$S$4,d_Type,'Customer Analytics'!$T$4)</f>
        <v>1</v>
      </c>
      <c r="D228" s="99" t="n">
        <f aca="false">SUMIFS(d_Net,d_Cust,A228,d_Status,"Delivered",d_Year,'Customer Analytics'!$P$4,d_City,'Customer Analytics'!$Q$4,d_Cuisine,'Customer Analytics'!$R$4,d_Pay,'Customer Analytics'!$S$4,d_Type,'Customer Analytics'!$T$4)</f>
        <v>801</v>
      </c>
      <c r="E228" s="100" t="n">
        <f aca="false">IFERROR(AVERAGEIFS(d_CRating,d_Cust,A228,d_Year,'Customer Analytics'!$P$4,d_City,'Customer Analytics'!$Q$4,d_Cuisine,'Customer Analytics'!$R$4,d_Pay,'Customer Analytics'!$S$4,d_Type,'Customer Analytics'!$T$4),0)</f>
        <v>4.66666666666667</v>
      </c>
      <c r="F228" s="98" t="n">
        <f aca="false">D228+ROW()/1000000</f>
        <v>801.000228</v>
      </c>
      <c r="G228" s="98" t="n">
        <f aca="false">RANK(F228,$F$2:$F$351)</f>
        <v>304</v>
      </c>
    </row>
    <row r="229" customFormat="false" ht="15" hidden="false" customHeight="false" outlineLevel="0" collapsed="false">
      <c r="A229" s="98" t="s">
        <v>567</v>
      </c>
      <c r="B229" s="98" t="n">
        <f aca="false">COUNTIFS(d_Cust,A229,d_Year,'Customer Analytics'!$P$4,d_City,'Customer Analytics'!$Q$4,d_Cuisine,'Customer Analytics'!$R$4,d_Pay,'Customer Analytics'!$S$4,d_Type,'Customer Analytics'!$T$4)</f>
        <v>3</v>
      </c>
      <c r="C229" s="98" t="n">
        <f aca="false">COUNTIFS(d_Cust,A229,d_Status,"Delivered",d_Year,'Customer Analytics'!$P$4,d_City,'Customer Analytics'!$Q$4,d_Cuisine,'Customer Analytics'!$R$4,d_Pay,'Customer Analytics'!$S$4,d_Type,'Customer Analytics'!$T$4)</f>
        <v>1</v>
      </c>
      <c r="D229" s="99" t="n">
        <f aca="false">SUMIFS(d_Net,d_Cust,A229,d_Status,"Delivered",d_Year,'Customer Analytics'!$P$4,d_City,'Customer Analytics'!$Q$4,d_Cuisine,'Customer Analytics'!$R$4,d_Pay,'Customer Analytics'!$S$4,d_Type,'Customer Analytics'!$T$4)</f>
        <v>373</v>
      </c>
      <c r="E229" s="100" t="n">
        <f aca="false">IFERROR(AVERAGEIFS(d_CRating,d_Cust,A229,d_Year,'Customer Analytics'!$P$4,d_City,'Customer Analytics'!$Q$4,d_Cuisine,'Customer Analytics'!$R$4,d_Pay,'Customer Analytics'!$S$4,d_Type,'Customer Analytics'!$T$4),0)</f>
        <v>4.66666666666667</v>
      </c>
      <c r="F229" s="98" t="n">
        <f aca="false">D229+ROW()/1000000</f>
        <v>373.000229</v>
      </c>
      <c r="G229" s="98" t="n">
        <f aca="false">RANK(F229,$F$2:$F$351)</f>
        <v>336</v>
      </c>
    </row>
    <row r="230" customFormat="false" ht="15" hidden="false" customHeight="false" outlineLevel="0" collapsed="false">
      <c r="A230" s="98" t="s">
        <v>568</v>
      </c>
      <c r="B230" s="98" t="n">
        <f aca="false">COUNTIFS(d_Cust,A230,d_Year,'Customer Analytics'!$P$4,d_City,'Customer Analytics'!$Q$4,d_Cuisine,'Customer Analytics'!$R$4,d_Pay,'Customer Analytics'!$S$4,d_Type,'Customer Analytics'!$T$4)</f>
        <v>3</v>
      </c>
      <c r="C230" s="98" t="n">
        <f aca="false">COUNTIFS(d_Cust,A230,d_Status,"Delivered",d_Year,'Customer Analytics'!$P$4,d_City,'Customer Analytics'!$Q$4,d_Cuisine,'Customer Analytics'!$R$4,d_Pay,'Customer Analytics'!$S$4,d_Type,'Customer Analytics'!$T$4)</f>
        <v>2</v>
      </c>
      <c r="D230" s="99" t="n">
        <f aca="false">SUMIFS(d_Net,d_Cust,A230,d_Status,"Delivered",d_Year,'Customer Analytics'!$P$4,d_City,'Customer Analytics'!$Q$4,d_Cuisine,'Customer Analytics'!$R$4,d_Pay,'Customer Analytics'!$S$4,d_Type,'Customer Analytics'!$T$4)</f>
        <v>2378</v>
      </c>
      <c r="E230" s="100" t="n">
        <f aca="false">IFERROR(AVERAGEIFS(d_CRating,d_Cust,A230,d_Year,'Customer Analytics'!$P$4,d_City,'Customer Analytics'!$Q$4,d_Cuisine,'Customer Analytics'!$R$4,d_Pay,'Customer Analytics'!$S$4,d_Type,'Customer Analytics'!$T$4),0)</f>
        <v>2.66666666666667</v>
      </c>
      <c r="F230" s="98" t="n">
        <f aca="false">D230+ROW()/1000000</f>
        <v>2378.00023</v>
      </c>
      <c r="G230" s="98" t="n">
        <f aca="false">RANK(F230,$F$2:$F$351)</f>
        <v>128</v>
      </c>
    </row>
    <row r="231" customFormat="false" ht="15" hidden="false" customHeight="false" outlineLevel="0" collapsed="false">
      <c r="A231" s="98" t="s">
        <v>569</v>
      </c>
      <c r="B231" s="98" t="n">
        <f aca="false">COUNTIFS(d_Cust,A231,d_Year,'Customer Analytics'!$P$4,d_City,'Customer Analytics'!$Q$4,d_Cuisine,'Customer Analytics'!$R$4,d_Pay,'Customer Analytics'!$S$4,d_Type,'Customer Analytics'!$T$4)</f>
        <v>3</v>
      </c>
      <c r="C231" s="98" t="n">
        <f aca="false">COUNTIFS(d_Cust,A231,d_Status,"Delivered",d_Year,'Customer Analytics'!$P$4,d_City,'Customer Analytics'!$Q$4,d_Cuisine,'Customer Analytics'!$R$4,d_Pay,'Customer Analytics'!$S$4,d_Type,'Customer Analytics'!$T$4)</f>
        <v>3</v>
      </c>
      <c r="D231" s="99" t="n">
        <f aca="false">SUMIFS(d_Net,d_Cust,A231,d_Status,"Delivered",d_Year,'Customer Analytics'!$P$4,d_City,'Customer Analytics'!$Q$4,d_Cuisine,'Customer Analytics'!$R$4,d_Pay,'Customer Analytics'!$S$4,d_Type,'Customer Analytics'!$T$4)</f>
        <v>2040</v>
      </c>
      <c r="E231" s="100" t="n">
        <f aca="false">IFERROR(AVERAGEIFS(d_CRating,d_Cust,A231,d_Year,'Customer Analytics'!$P$4,d_City,'Customer Analytics'!$Q$4,d_Cuisine,'Customer Analytics'!$R$4,d_Pay,'Customer Analytics'!$S$4,d_Type,'Customer Analytics'!$T$4),0)</f>
        <v>4.33333333333333</v>
      </c>
      <c r="F231" s="98" t="n">
        <f aca="false">D231+ROW()/1000000</f>
        <v>2040.000231</v>
      </c>
      <c r="G231" s="98" t="n">
        <f aca="false">RANK(F231,$F$2:$F$351)</f>
        <v>161</v>
      </c>
    </row>
    <row r="232" customFormat="false" ht="15" hidden="false" customHeight="false" outlineLevel="0" collapsed="false">
      <c r="A232" s="98" t="s">
        <v>570</v>
      </c>
      <c r="B232" s="98" t="n">
        <f aca="false">COUNTIFS(d_Cust,A232,d_Year,'Customer Analytics'!$P$4,d_City,'Customer Analytics'!$Q$4,d_Cuisine,'Customer Analytics'!$R$4,d_Pay,'Customer Analytics'!$S$4,d_Type,'Customer Analytics'!$T$4)</f>
        <v>3</v>
      </c>
      <c r="C232" s="98" t="n">
        <f aca="false">COUNTIFS(d_Cust,A232,d_Status,"Delivered",d_Year,'Customer Analytics'!$P$4,d_City,'Customer Analytics'!$Q$4,d_Cuisine,'Customer Analytics'!$R$4,d_Pay,'Customer Analytics'!$S$4,d_Type,'Customer Analytics'!$T$4)</f>
        <v>1</v>
      </c>
      <c r="D232" s="99" t="n">
        <f aca="false">SUMIFS(d_Net,d_Cust,A232,d_Status,"Delivered",d_Year,'Customer Analytics'!$P$4,d_City,'Customer Analytics'!$Q$4,d_Cuisine,'Customer Analytics'!$R$4,d_Pay,'Customer Analytics'!$S$4,d_Type,'Customer Analytics'!$T$4)</f>
        <v>941</v>
      </c>
      <c r="E232" s="100" t="n">
        <f aca="false">IFERROR(AVERAGEIFS(d_CRating,d_Cust,A232,d_Year,'Customer Analytics'!$P$4,d_City,'Customer Analytics'!$Q$4,d_Cuisine,'Customer Analytics'!$R$4,d_Pay,'Customer Analytics'!$S$4,d_Type,'Customer Analytics'!$T$4),0)</f>
        <v>4</v>
      </c>
      <c r="F232" s="98" t="n">
        <f aca="false">D232+ROW()/1000000</f>
        <v>941.000232</v>
      </c>
      <c r="G232" s="98" t="n">
        <f aca="false">RANK(F232,$F$2:$F$351)</f>
        <v>286</v>
      </c>
    </row>
    <row r="233" customFormat="false" ht="15" hidden="false" customHeight="false" outlineLevel="0" collapsed="false">
      <c r="A233" s="98" t="s">
        <v>571</v>
      </c>
      <c r="B233" s="98" t="n">
        <f aca="false">COUNTIFS(d_Cust,A233,d_Year,'Customer Analytics'!$P$4,d_City,'Customer Analytics'!$Q$4,d_Cuisine,'Customer Analytics'!$R$4,d_Pay,'Customer Analytics'!$S$4,d_Type,'Customer Analytics'!$T$4)</f>
        <v>3</v>
      </c>
      <c r="C233" s="98" t="n">
        <f aca="false">COUNTIFS(d_Cust,A233,d_Status,"Delivered",d_Year,'Customer Analytics'!$P$4,d_City,'Customer Analytics'!$Q$4,d_Cuisine,'Customer Analytics'!$R$4,d_Pay,'Customer Analytics'!$S$4,d_Type,'Customer Analytics'!$T$4)</f>
        <v>3</v>
      </c>
      <c r="D233" s="99" t="n">
        <f aca="false">SUMIFS(d_Net,d_Cust,A233,d_Status,"Delivered",d_Year,'Customer Analytics'!$P$4,d_City,'Customer Analytics'!$Q$4,d_Cuisine,'Customer Analytics'!$R$4,d_Pay,'Customer Analytics'!$S$4,d_Type,'Customer Analytics'!$T$4)</f>
        <v>2549</v>
      </c>
      <c r="E233" s="100" t="n">
        <f aca="false">IFERROR(AVERAGEIFS(d_CRating,d_Cust,A233,d_Year,'Customer Analytics'!$P$4,d_City,'Customer Analytics'!$Q$4,d_Cuisine,'Customer Analytics'!$R$4,d_Pay,'Customer Analytics'!$S$4,d_Type,'Customer Analytics'!$T$4),0)</f>
        <v>4.66666666666667</v>
      </c>
      <c r="F233" s="98" t="n">
        <f aca="false">D233+ROW()/1000000</f>
        <v>2549.000233</v>
      </c>
      <c r="G233" s="98" t="n">
        <f aca="false">RANK(F233,$F$2:$F$351)</f>
        <v>109</v>
      </c>
    </row>
    <row r="234" customFormat="false" ht="15" hidden="false" customHeight="false" outlineLevel="0" collapsed="false">
      <c r="A234" s="98" t="s">
        <v>572</v>
      </c>
      <c r="B234" s="98" t="n">
        <f aca="false">COUNTIFS(d_Cust,A234,d_Year,'Customer Analytics'!$P$4,d_City,'Customer Analytics'!$Q$4,d_Cuisine,'Customer Analytics'!$R$4,d_Pay,'Customer Analytics'!$S$4,d_Type,'Customer Analytics'!$T$4)</f>
        <v>3</v>
      </c>
      <c r="C234" s="98" t="n">
        <f aca="false">COUNTIFS(d_Cust,A234,d_Status,"Delivered",d_Year,'Customer Analytics'!$P$4,d_City,'Customer Analytics'!$Q$4,d_Cuisine,'Customer Analytics'!$R$4,d_Pay,'Customer Analytics'!$S$4,d_Type,'Customer Analytics'!$T$4)</f>
        <v>2</v>
      </c>
      <c r="D234" s="99" t="n">
        <f aca="false">SUMIFS(d_Net,d_Cust,A234,d_Status,"Delivered",d_Year,'Customer Analytics'!$P$4,d_City,'Customer Analytics'!$Q$4,d_Cuisine,'Customer Analytics'!$R$4,d_Pay,'Customer Analytics'!$S$4,d_Type,'Customer Analytics'!$T$4)</f>
        <v>2349</v>
      </c>
      <c r="E234" s="100" t="n">
        <f aca="false">IFERROR(AVERAGEIFS(d_CRating,d_Cust,A234,d_Year,'Customer Analytics'!$P$4,d_City,'Customer Analytics'!$Q$4,d_Cuisine,'Customer Analytics'!$R$4,d_Pay,'Customer Analytics'!$S$4,d_Type,'Customer Analytics'!$T$4),0)</f>
        <v>5</v>
      </c>
      <c r="F234" s="98" t="n">
        <f aca="false">D234+ROW()/1000000</f>
        <v>2349.000234</v>
      </c>
      <c r="G234" s="98" t="n">
        <f aca="false">RANK(F234,$F$2:$F$351)</f>
        <v>129</v>
      </c>
    </row>
    <row r="235" customFormat="false" ht="15" hidden="false" customHeight="false" outlineLevel="0" collapsed="false">
      <c r="A235" s="98" t="s">
        <v>573</v>
      </c>
      <c r="B235" s="98" t="n">
        <f aca="false">COUNTIFS(d_Cust,A235,d_Year,'Customer Analytics'!$P$4,d_City,'Customer Analytics'!$Q$4,d_Cuisine,'Customer Analytics'!$R$4,d_Pay,'Customer Analytics'!$S$4,d_Type,'Customer Analytics'!$T$4)</f>
        <v>3</v>
      </c>
      <c r="C235" s="98" t="n">
        <f aca="false">COUNTIFS(d_Cust,A235,d_Status,"Delivered",d_Year,'Customer Analytics'!$P$4,d_City,'Customer Analytics'!$Q$4,d_Cuisine,'Customer Analytics'!$R$4,d_Pay,'Customer Analytics'!$S$4,d_Type,'Customer Analytics'!$T$4)</f>
        <v>1</v>
      </c>
      <c r="D235" s="99" t="n">
        <f aca="false">SUMIFS(d_Net,d_Cust,A235,d_Status,"Delivered",d_Year,'Customer Analytics'!$P$4,d_City,'Customer Analytics'!$Q$4,d_Cuisine,'Customer Analytics'!$R$4,d_Pay,'Customer Analytics'!$S$4,d_Type,'Customer Analytics'!$T$4)</f>
        <v>1722</v>
      </c>
      <c r="E235" s="100" t="n">
        <f aca="false">IFERROR(AVERAGEIFS(d_CRating,d_Cust,A235,d_Year,'Customer Analytics'!$P$4,d_City,'Customer Analytics'!$Q$4,d_Cuisine,'Customer Analytics'!$R$4,d_Pay,'Customer Analytics'!$S$4,d_Type,'Customer Analytics'!$T$4),0)</f>
        <v>4.66666666666667</v>
      </c>
      <c r="F235" s="98" t="n">
        <f aca="false">D235+ROW()/1000000</f>
        <v>1722.000235</v>
      </c>
      <c r="G235" s="98" t="n">
        <f aca="false">RANK(F235,$F$2:$F$351)</f>
        <v>198</v>
      </c>
    </row>
    <row r="236" customFormat="false" ht="15" hidden="false" customHeight="false" outlineLevel="0" collapsed="false">
      <c r="A236" s="98" t="s">
        <v>574</v>
      </c>
      <c r="B236" s="98" t="n">
        <f aca="false">COUNTIFS(d_Cust,A236,d_Year,'Customer Analytics'!$P$4,d_City,'Customer Analytics'!$Q$4,d_Cuisine,'Customer Analytics'!$R$4,d_Pay,'Customer Analytics'!$S$4,d_Type,'Customer Analytics'!$T$4)</f>
        <v>3</v>
      </c>
      <c r="C236" s="98" t="n">
        <f aca="false">COUNTIFS(d_Cust,A236,d_Status,"Delivered",d_Year,'Customer Analytics'!$P$4,d_City,'Customer Analytics'!$Q$4,d_Cuisine,'Customer Analytics'!$R$4,d_Pay,'Customer Analytics'!$S$4,d_Type,'Customer Analytics'!$T$4)</f>
        <v>3</v>
      </c>
      <c r="D236" s="99" t="n">
        <f aca="false">SUMIFS(d_Net,d_Cust,A236,d_Status,"Delivered",d_Year,'Customer Analytics'!$P$4,d_City,'Customer Analytics'!$Q$4,d_Cuisine,'Customer Analytics'!$R$4,d_Pay,'Customer Analytics'!$S$4,d_Type,'Customer Analytics'!$T$4)</f>
        <v>4806</v>
      </c>
      <c r="E236" s="100" t="n">
        <f aca="false">IFERROR(AVERAGEIFS(d_CRating,d_Cust,A236,d_Year,'Customer Analytics'!$P$4,d_City,'Customer Analytics'!$Q$4,d_Cuisine,'Customer Analytics'!$R$4,d_Pay,'Customer Analytics'!$S$4,d_Type,'Customer Analytics'!$T$4),0)</f>
        <v>3.66666666666667</v>
      </c>
      <c r="F236" s="98" t="n">
        <f aca="false">D236+ROW()/1000000</f>
        <v>4806.000236</v>
      </c>
      <c r="G236" s="98" t="n">
        <f aca="false">RANK(F236,$F$2:$F$351)</f>
        <v>3</v>
      </c>
    </row>
    <row r="237" customFormat="false" ht="15" hidden="false" customHeight="false" outlineLevel="0" collapsed="false">
      <c r="A237" s="98" t="s">
        <v>575</v>
      </c>
      <c r="B237" s="98" t="n">
        <f aca="false">COUNTIFS(d_Cust,A237,d_Year,'Customer Analytics'!$P$4,d_City,'Customer Analytics'!$Q$4,d_Cuisine,'Customer Analytics'!$R$4,d_Pay,'Customer Analytics'!$S$4,d_Type,'Customer Analytics'!$T$4)</f>
        <v>3</v>
      </c>
      <c r="C237" s="98" t="n">
        <f aca="false">COUNTIFS(d_Cust,A237,d_Status,"Delivered",d_Year,'Customer Analytics'!$P$4,d_City,'Customer Analytics'!$Q$4,d_Cuisine,'Customer Analytics'!$R$4,d_Pay,'Customer Analytics'!$S$4,d_Type,'Customer Analytics'!$T$4)</f>
        <v>1</v>
      </c>
      <c r="D237" s="99" t="n">
        <f aca="false">SUMIFS(d_Net,d_Cust,A237,d_Status,"Delivered",d_Year,'Customer Analytics'!$P$4,d_City,'Customer Analytics'!$Q$4,d_Cuisine,'Customer Analytics'!$R$4,d_Pay,'Customer Analytics'!$S$4,d_Type,'Customer Analytics'!$T$4)</f>
        <v>1349</v>
      </c>
      <c r="E237" s="100" t="n">
        <f aca="false">IFERROR(AVERAGEIFS(d_CRating,d_Cust,A237,d_Year,'Customer Analytics'!$P$4,d_City,'Customer Analytics'!$Q$4,d_Cuisine,'Customer Analytics'!$R$4,d_Pay,'Customer Analytics'!$S$4,d_Type,'Customer Analytics'!$T$4),0)</f>
        <v>3</v>
      </c>
      <c r="F237" s="98" t="n">
        <f aca="false">D237+ROW()/1000000</f>
        <v>1349.000237</v>
      </c>
      <c r="G237" s="98" t="n">
        <f aca="false">RANK(F237,$F$2:$F$351)</f>
        <v>255</v>
      </c>
    </row>
    <row r="238" customFormat="false" ht="15" hidden="false" customHeight="false" outlineLevel="0" collapsed="false">
      <c r="A238" s="98" t="s">
        <v>576</v>
      </c>
      <c r="B238" s="98" t="n">
        <f aca="false">COUNTIFS(d_Cust,A238,d_Year,'Customer Analytics'!$P$4,d_City,'Customer Analytics'!$Q$4,d_Cuisine,'Customer Analytics'!$R$4,d_Pay,'Customer Analytics'!$S$4,d_Type,'Customer Analytics'!$T$4)</f>
        <v>3</v>
      </c>
      <c r="C238" s="98" t="n">
        <f aca="false">COUNTIFS(d_Cust,A238,d_Status,"Delivered",d_Year,'Customer Analytics'!$P$4,d_City,'Customer Analytics'!$Q$4,d_Cuisine,'Customer Analytics'!$R$4,d_Pay,'Customer Analytics'!$S$4,d_Type,'Customer Analytics'!$T$4)</f>
        <v>2</v>
      </c>
      <c r="D238" s="99" t="n">
        <f aca="false">SUMIFS(d_Net,d_Cust,A238,d_Status,"Delivered",d_Year,'Customer Analytics'!$P$4,d_City,'Customer Analytics'!$Q$4,d_Cuisine,'Customer Analytics'!$R$4,d_Pay,'Customer Analytics'!$S$4,d_Type,'Customer Analytics'!$T$4)</f>
        <v>766</v>
      </c>
      <c r="E238" s="100" t="n">
        <f aca="false">IFERROR(AVERAGEIFS(d_CRating,d_Cust,A238,d_Year,'Customer Analytics'!$P$4,d_City,'Customer Analytics'!$Q$4,d_Cuisine,'Customer Analytics'!$R$4,d_Pay,'Customer Analytics'!$S$4,d_Type,'Customer Analytics'!$T$4),0)</f>
        <v>2.66666666666667</v>
      </c>
      <c r="F238" s="98" t="n">
        <f aca="false">D238+ROW()/1000000</f>
        <v>766.000238</v>
      </c>
      <c r="G238" s="98" t="n">
        <f aca="false">RANK(F238,$F$2:$F$351)</f>
        <v>308</v>
      </c>
    </row>
    <row r="239" customFormat="false" ht="15" hidden="false" customHeight="false" outlineLevel="0" collapsed="false">
      <c r="A239" s="98" t="s">
        <v>577</v>
      </c>
      <c r="B239" s="98" t="n">
        <f aca="false">COUNTIFS(d_Cust,A239,d_Year,'Customer Analytics'!$P$4,d_City,'Customer Analytics'!$Q$4,d_Cuisine,'Customer Analytics'!$R$4,d_Pay,'Customer Analytics'!$S$4,d_Type,'Customer Analytics'!$T$4)</f>
        <v>3</v>
      </c>
      <c r="C239" s="98" t="n">
        <f aca="false">COUNTIFS(d_Cust,A239,d_Status,"Delivered",d_Year,'Customer Analytics'!$P$4,d_City,'Customer Analytics'!$Q$4,d_Cuisine,'Customer Analytics'!$R$4,d_Pay,'Customer Analytics'!$S$4,d_Type,'Customer Analytics'!$T$4)</f>
        <v>2</v>
      </c>
      <c r="D239" s="99" t="n">
        <f aca="false">SUMIFS(d_Net,d_Cust,A239,d_Status,"Delivered",d_Year,'Customer Analytics'!$P$4,d_City,'Customer Analytics'!$Q$4,d_Cuisine,'Customer Analytics'!$R$4,d_Pay,'Customer Analytics'!$S$4,d_Type,'Customer Analytics'!$T$4)</f>
        <v>2927</v>
      </c>
      <c r="E239" s="100" t="n">
        <f aca="false">IFERROR(AVERAGEIFS(d_CRating,d_Cust,A239,d_Year,'Customer Analytics'!$P$4,d_City,'Customer Analytics'!$Q$4,d_Cuisine,'Customer Analytics'!$R$4,d_Pay,'Customer Analytics'!$S$4,d_Type,'Customer Analytics'!$T$4),0)</f>
        <v>4</v>
      </c>
      <c r="F239" s="98" t="n">
        <f aca="false">D239+ROW()/1000000</f>
        <v>2927.000239</v>
      </c>
      <c r="G239" s="98" t="n">
        <f aca="false">RANK(F239,$F$2:$F$351)</f>
        <v>66</v>
      </c>
    </row>
    <row r="240" customFormat="false" ht="15" hidden="false" customHeight="false" outlineLevel="0" collapsed="false">
      <c r="A240" s="98" t="s">
        <v>578</v>
      </c>
      <c r="B240" s="98" t="n">
        <f aca="false">COUNTIFS(d_Cust,A240,d_Year,'Customer Analytics'!$P$4,d_City,'Customer Analytics'!$Q$4,d_Cuisine,'Customer Analytics'!$R$4,d_Pay,'Customer Analytics'!$S$4,d_Type,'Customer Analytics'!$T$4)</f>
        <v>3</v>
      </c>
      <c r="C240" s="98" t="n">
        <f aca="false">COUNTIFS(d_Cust,A240,d_Status,"Delivered",d_Year,'Customer Analytics'!$P$4,d_City,'Customer Analytics'!$Q$4,d_Cuisine,'Customer Analytics'!$R$4,d_Pay,'Customer Analytics'!$S$4,d_Type,'Customer Analytics'!$T$4)</f>
        <v>2</v>
      </c>
      <c r="D240" s="99" t="n">
        <f aca="false">SUMIFS(d_Net,d_Cust,A240,d_Status,"Delivered",d_Year,'Customer Analytics'!$P$4,d_City,'Customer Analytics'!$Q$4,d_Cuisine,'Customer Analytics'!$R$4,d_Pay,'Customer Analytics'!$S$4,d_Type,'Customer Analytics'!$T$4)</f>
        <v>818</v>
      </c>
      <c r="E240" s="100" t="n">
        <f aca="false">IFERROR(AVERAGEIFS(d_CRating,d_Cust,A240,d_Year,'Customer Analytics'!$P$4,d_City,'Customer Analytics'!$Q$4,d_Cuisine,'Customer Analytics'!$R$4,d_Pay,'Customer Analytics'!$S$4,d_Type,'Customer Analytics'!$T$4),0)</f>
        <v>5</v>
      </c>
      <c r="F240" s="98" t="n">
        <f aca="false">D240+ROW()/1000000</f>
        <v>818.00024</v>
      </c>
      <c r="G240" s="98" t="n">
        <f aca="false">RANK(F240,$F$2:$F$351)</f>
        <v>301</v>
      </c>
    </row>
    <row r="241" customFormat="false" ht="15" hidden="false" customHeight="false" outlineLevel="0" collapsed="false">
      <c r="A241" s="98" t="s">
        <v>579</v>
      </c>
      <c r="B241" s="98" t="n">
        <f aca="false">COUNTIFS(d_Cust,A241,d_Year,'Customer Analytics'!$P$4,d_City,'Customer Analytics'!$Q$4,d_Cuisine,'Customer Analytics'!$R$4,d_Pay,'Customer Analytics'!$S$4,d_Type,'Customer Analytics'!$T$4)</f>
        <v>3</v>
      </c>
      <c r="C241" s="98" t="n">
        <f aca="false">COUNTIFS(d_Cust,A241,d_Status,"Delivered",d_Year,'Customer Analytics'!$P$4,d_City,'Customer Analytics'!$Q$4,d_Cuisine,'Customer Analytics'!$R$4,d_Pay,'Customer Analytics'!$S$4,d_Type,'Customer Analytics'!$T$4)</f>
        <v>2</v>
      </c>
      <c r="D241" s="99" t="n">
        <f aca="false">SUMIFS(d_Net,d_Cust,A241,d_Status,"Delivered",d_Year,'Customer Analytics'!$P$4,d_City,'Customer Analytics'!$Q$4,d_Cuisine,'Customer Analytics'!$R$4,d_Pay,'Customer Analytics'!$S$4,d_Type,'Customer Analytics'!$T$4)</f>
        <v>1906</v>
      </c>
      <c r="E241" s="100" t="n">
        <f aca="false">IFERROR(AVERAGEIFS(d_CRating,d_Cust,A241,d_Year,'Customer Analytics'!$P$4,d_City,'Customer Analytics'!$Q$4,d_Cuisine,'Customer Analytics'!$R$4,d_Pay,'Customer Analytics'!$S$4,d_Type,'Customer Analytics'!$T$4),0)</f>
        <v>4</v>
      </c>
      <c r="F241" s="98" t="n">
        <f aca="false">D241+ROW()/1000000</f>
        <v>1906.000241</v>
      </c>
      <c r="G241" s="98" t="n">
        <f aca="false">RANK(F241,$F$2:$F$351)</f>
        <v>175</v>
      </c>
    </row>
    <row r="242" customFormat="false" ht="15" hidden="false" customHeight="false" outlineLevel="0" collapsed="false">
      <c r="A242" s="98" t="s">
        <v>580</v>
      </c>
      <c r="B242" s="98" t="n">
        <f aca="false">COUNTIFS(d_Cust,A242,d_Year,'Customer Analytics'!$P$4,d_City,'Customer Analytics'!$Q$4,d_Cuisine,'Customer Analytics'!$R$4,d_Pay,'Customer Analytics'!$S$4,d_Type,'Customer Analytics'!$T$4)</f>
        <v>3</v>
      </c>
      <c r="C242" s="98" t="n">
        <f aca="false">COUNTIFS(d_Cust,A242,d_Status,"Delivered",d_Year,'Customer Analytics'!$P$4,d_City,'Customer Analytics'!$Q$4,d_Cuisine,'Customer Analytics'!$R$4,d_Pay,'Customer Analytics'!$S$4,d_Type,'Customer Analytics'!$T$4)</f>
        <v>2</v>
      </c>
      <c r="D242" s="99" t="n">
        <f aca="false">SUMIFS(d_Net,d_Cust,A242,d_Status,"Delivered",d_Year,'Customer Analytics'!$P$4,d_City,'Customer Analytics'!$Q$4,d_Cuisine,'Customer Analytics'!$R$4,d_Pay,'Customer Analytics'!$S$4,d_Type,'Customer Analytics'!$T$4)</f>
        <v>2055</v>
      </c>
      <c r="E242" s="100" t="n">
        <f aca="false">IFERROR(AVERAGEIFS(d_CRating,d_Cust,A242,d_Year,'Customer Analytics'!$P$4,d_City,'Customer Analytics'!$Q$4,d_Cuisine,'Customer Analytics'!$R$4,d_Pay,'Customer Analytics'!$S$4,d_Type,'Customer Analytics'!$T$4),0)</f>
        <v>4.33333333333333</v>
      </c>
      <c r="F242" s="98" t="n">
        <f aca="false">D242+ROW()/1000000</f>
        <v>2055.000242</v>
      </c>
      <c r="G242" s="98" t="n">
        <f aca="false">RANK(F242,$F$2:$F$351)</f>
        <v>159</v>
      </c>
    </row>
    <row r="243" customFormat="false" ht="15" hidden="false" customHeight="false" outlineLevel="0" collapsed="false">
      <c r="A243" s="98" t="s">
        <v>581</v>
      </c>
      <c r="B243" s="98" t="n">
        <f aca="false">COUNTIFS(d_Cust,A243,d_Year,'Customer Analytics'!$P$4,d_City,'Customer Analytics'!$Q$4,d_Cuisine,'Customer Analytics'!$R$4,d_Pay,'Customer Analytics'!$S$4,d_Type,'Customer Analytics'!$T$4)</f>
        <v>3</v>
      </c>
      <c r="C243" s="98" t="n">
        <f aca="false">COUNTIFS(d_Cust,A243,d_Status,"Delivered",d_Year,'Customer Analytics'!$P$4,d_City,'Customer Analytics'!$Q$4,d_Cuisine,'Customer Analytics'!$R$4,d_Pay,'Customer Analytics'!$S$4,d_Type,'Customer Analytics'!$T$4)</f>
        <v>3</v>
      </c>
      <c r="D243" s="99" t="n">
        <f aca="false">SUMIFS(d_Net,d_Cust,A243,d_Status,"Delivered",d_Year,'Customer Analytics'!$P$4,d_City,'Customer Analytics'!$Q$4,d_Cuisine,'Customer Analytics'!$R$4,d_Pay,'Customer Analytics'!$S$4,d_Type,'Customer Analytics'!$T$4)</f>
        <v>3170</v>
      </c>
      <c r="E243" s="100" t="n">
        <f aca="false">IFERROR(AVERAGEIFS(d_CRating,d_Cust,A243,d_Year,'Customer Analytics'!$P$4,d_City,'Customer Analytics'!$Q$4,d_Cuisine,'Customer Analytics'!$R$4,d_Pay,'Customer Analytics'!$S$4,d_Type,'Customer Analytics'!$T$4),0)</f>
        <v>4</v>
      </c>
      <c r="F243" s="98" t="n">
        <f aca="false">D243+ROW()/1000000</f>
        <v>3170.000243</v>
      </c>
      <c r="G243" s="98" t="n">
        <f aca="false">RANK(F243,$F$2:$F$351)</f>
        <v>47</v>
      </c>
    </row>
    <row r="244" customFormat="false" ht="15" hidden="false" customHeight="false" outlineLevel="0" collapsed="false">
      <c r="A244" s="98" t="s">
        <v>582</v>
      </c>
      <c r="B244" s="98" t="n">
        <f aca="false">COUNTIFS(d_Cust,A244,d_Year,'Customer Analytics'!$P$4,d_City,'Customer Analytics'!$Q$4,d_Cuisine,'Customer Analytics'!$R$4,d_Pay,'Customer Analytics'!$S$4,d_Type,'Customer Analytics'!$T$4)</f>
        <v>3</v>
      </c>
      <c r="C244" s="98" t="n">
        <f aca="false">COUNTIFS(d_Cust,A244,d_Status,"Delivered",d_Year,'Customer Analytics'!$P$4,d_City,'Customer Analytics'!$Q$4,d_Cuisine,'Customer Analytics'!$R$4,d_Pay,'Customer Analytics'!$S$4,d_Type,'Customer Analytics'!$T$4)</f>
        <v>1</v>
      </c>
      <c r="D244" s="99" t="n">
        <f aca="false">SUMIFS(d_Net,d_Cust,A244,d_Status,"Delivered",d_Year,'Customer Analytics'!$P$4,d_City,'Customer Analytics'!$Q$4,d_Cuisine,'Customer Analytics'!$R$4,d_Pay,'Customer Analytics'!$S$4,d_Type,'Customer Analytics'!$T$4)</f>
        <v>1526</v>
      </c>
      <c r="E244" s="100" t="n">
        <f aca="false">IFERROR(AVERAGEIFS(d_CRating,d_Cust,A244,d_Year,'Customer Analytics'!$P$4,d_City,'Customer Analytics'!$Q$4,d_Cuisine,'Customer Analytics'!$R$4,d_Pay,'Customer Analytics'!$S$4,d_Type,'Customer Analytics'!$T$4),0)</f>
        <v>4.33333333333333</v>
      </c>
      <c r="F244" s="98" t="n">
        <f aca="false">D244+ROW()/1000000</f>
        <v>1526.000244</v>
      </c>
      <c r="G244" s="98" t="n">
        <f aca="false">RANK(F244,$F$2:$F$351)</f>
        <v>231</v>
      </c>
    </row>
    <row r="245" customFormat="false" ht="15" hidden="false" customHeight="false" outlineLevel="0" collapsed="false">
      <c r="A245" s="98" t="s">
        <v>583</v>
      </c>
      <c r="B245" s="98" t="n">
        <f aca="false">COUNTIFS(d_Cust,A245,d_Year,'Customer Analytics'!$P$4,d_City,'Customer Analytics'!$Q$4,d_Cuisine,'Customer Analytics'!$R$4,d_Pay,'Customer Analytics'!$S$4,d_Type,'Customer Analytics'!$T$4)</f>
        <v>3</v>
      </c>
      <c r="C245" s="98" t="n">
        <f aca="false">COUNTIFS(d_Cust,A245,d_Status,"Delivered",d_Year,'Customer Analytics'!$P$4,d_City,'Customer Analytics'!$Q$4,d_Cuisine,'Customer Analytics'!$R$4,d_Pay,'Customer Analytics'!$S$4,d_Type,'Customer Analytics'!$T$4)</f>
        <v>1</v>
      </c>
      <c r="D245" s="99" t="n">
        <f aca="false">SUMIFS(d_Net,d_Cust,A245,d_Status,"Delivered",d_Year,'Customer Analytics'!$P$4,d_City,'Customer Analytics'!$Q$4,d_Cuisine,'Customer Analytics'!$R$4,d_Pay,'Customer Analytics'!$S$4,d_Type,'Customer Analytics'!$T$4)</f>
        <v>966</v>
      </c>
      <c r="E245" s="100" t="n">
        <f aca="false">IFERROR(AVERAGEIFS(d_CRating,d_Cust,A245,d_Year,'Customer Analytics'!$P$4,d_City,'Customer Analytics'!$Q$4,d_Cuisine,'Customer Analytics'!$R$4,d_Pay,'Customer Analytics'!$S$4,d_Type,'Customer Analytics'!$T$4),0)</f>
        <v>5</v>
      </c>
      <c r="F245" s="98" t="n">
        <f aca="false">D245+ROW()/1000000</f>
        <v>966.000245</v>
      </c>
      <c r="G245" s="98" t="n">
        <f aca="false">RANK(F245,$F$2:$F$351)</f>
        <v>284</v>
      </c>
    </row>
    <row r="246" customFormat="false" ht="15" hidden="false" customHeight="false" outlineLevel="0" collapsed="false">
      <c r="A246" s="98" t="s">
        <v>584</v>
      </c>
      <c r="B246" s="98" t="n">
        <f aca="false">COUNTIFS(d_Cust,A246,d_Year,'Customer Analytics'!$P$4,d_City,'Customer Analytics'!$Q$4,d_Cuisine,'Customer Analytics'!$R$4,d_Pay,'Customer Analytics'!$S$4,d_Type,'Customer Analytics'!$T$4)</f>
        <v>3</v>
      </c>
      <c r="C246" s="98" t="n">
        <f aca="false">COUNTIFS(d_Cust,A246,d_Status,"Delivered",d_Year,'Customer Analytics'!$P$4,d_City,'Customer Analytics'!$Q$4,d_Cuisine,'Customer Analytics'!$R$4,d_Pay,'Customer Analytics'!$S$4,d_Type,'Customer Analytics'!$T$4)</f>
        <v>1</v>
      </c>
      <c r="D246" s="99" t="n">
        <f aca="false">SUMIFS(d_Net,d_Cust,A246,d_Status,"Delivered",d_Year,'Customer Analytics'!$P$4,d_City,'Customer Analytics'!$Q$4,d_Cuisine,'Customer Analytics'!$R$4,d_Pay,'Customer Analytics'!$S$4,d_Type,'Customer Analytics'!$T$4)</f>
        <v>1575</v>
      </c>
      <c r="E246" s="100" t="n">
        <f aca="false">IFERROR(AVERAGEIFS(d_CRating,d_Cust,A246,d_Year,'Customer Analytics'!$P$4,d_City,'Customer Analytics'!$Q$4,d_Cuisine,'Customer Analytics'!$R$4,d_Pay,'Customer Analytics'!$S$4,d_Type,'Customer Analytics'!$T$4),0)</f>
        <v>3</v>
      </c>
      <c r="F246" s="98" t="n">
        <f aca="false">D246+ROW()/1000000</f>
        <v>1575.000246</v>
      </c>
      <c r="G246" s="98" t="n">
        <f aca="false">RANK(F246,$F$2:$F$351)</f>
        <v>224</v>
      </c>
    </row>
    <row r="247" customFormat="false" ht="15" hidden="false" customHeight="false" outlineLevel="0" collapsed="false">
      <c r="A247" s="98" t="s">
        <v>585</v>
      </c>
      <c r="B247" s="98" t="n">
        <f aca="false">COUNTIFS(d_Cust,A247,d_Year,'Customer Analytics'!$P$4,d_City,'Customer Analytics'!$Q$4,d_Cuisine,'Customer Analytics'!$R$4,d_Pay,'Customer Analytics'!$S$4,d_Type,'Customer Analytics'!$T$4)</f>
        <v>3</v>
      </c>
      <c r="C247" s="98" t="n">
        <f aca="false">COUNTIFS(d_Cust,A247,d_Status,"Delivered",d_Year,'Customer Analytics'!$P$4,d_City,'Customer Analytics'!$Q$4,d_Cuisine,'Customer Analytics'!$R$4,d_Pay,'Customer Analytics'!$S$4,d_Type,'Customer Analytics'!$T$4)</f>
        <v>3</v>
      </c>
      <c r="D247" s="99" t="n">
        <f aca="false">SUMIFS(d_Net,d_Cust,A247,d_Status,"Delivered",d_Year,'Customer Analytics'!$P$4,d_City,'Customer Analytics'!$Q$4,d_Cuisine,'Customer Analytics'!$R$4,d_Pay,'Customer Analytics'!$S$4,d_Type,'Customer Analytics'!$T$4)</f>
        <v>2770</v>
      </c>
      <c r="E247" s="100" t="n">
        <f aca="false">IFERROR(AVERAGEIFS(d_CRating,d_Cust,A247,d_Year,'Customer Analytics'!$P$4,d_City,'Customer Analytics'!$Q$4,d_Cuisine,'Customer Analytics'!$R$4,d_Pay,'Customer Analytics'!$S$4,d_Type,'Customer Analytics'!$T$4),0)</f>
        <v>4</v>
      </c>
      <c r="F247" s="98" t="n">
        <f aca="false">D247+ROW()/1000000</f>
        <v>2770.000247</v>
      </c>
      <c r="G247" s="98" t="n">
        <f aca="false">RANK(F247,$F$2:$F$351)</f>
        <v>85</v>
      </c>
    </row>
    <row r="248" customFormat="false" ht="15" hidden="false" customHeight="false" outlineLevel="0" collapsed="false">
      <c r="A248" s="98" t="s">
        <v>586</v>
      </c>
      <c r="B248" s="98" t="n">
        <f aca="false">COUNTIFS(d_Cust,A248,d_Year,'Customer Analytics'!$P$4,d_City,'Customer Analytics'!$Q$4,d_Cuisine,'Customer Analytics'!$R$4,d_Pay,'Customer Analytics'!$S$4,d_Type,'Customer Analytics'!$T$4)</f>
        <v>3</v>
      </c>
      <c r="C248" s="98" t="n">
        <f aca="false">COUNTIFS(d_Cust,A248,d_Status,"Delivered",d_Year,'Customer Analytics'!$P$4,d_City,'Customer Analytics'!$Q$4,d_Cuisine,'Customer Analytics'!$R$4,d_Pay,'Customer Analytics'!$S$4,d_Type,'Customer Analytics'!$T$4)</f>
        <v>3</v>
      </c>
      <c r="D248" s="99" t="n">
        <f aca="false">SUMIFS(d_Net,d_Cust,A248,d_Status,"Delivered",d_Year,'Customer Analytics'!$P$4,d_City,'Customer Analytics'!$Q$4,d_Cuisine,'Customer Analytics'!$R$4,d_Pay,'Customer Analytics'!$S$4,d_Type,'Customer Analytics'!$T$4)</f>
        <v>2848</v>
      </c>
      <c r="E248" s="100" t="n">
        <f aca="false">IFERROR(AVERAGEIFS(d_CRating,d_Cust,A248,d_Year,'Customer Analytics'!$P$4,d_City,'Customer Analytics'!$Q$4,d_Cuisine,'Customer Analytics'!$R$4,d_Pay,'Customer Analytics'!$S$4,d_Type,'Customer Analytics'!$T$4),0)</f>
        <v>3.66666666666667</v>
      </c>
      <c r="F248" s="98" t="n">
        <f aca="false">D248+ROW()/1000000</f>
        <v>2848.000248</v>
      </c>
      <c r="G248" s="98" t="n">
        <f aca="false">RANK(F248,$F$2:$F$351)</f>
        <v>75</v>
      </c>
    </row>
    <row r="249" customFormat="false" ht="15" hidden="false" customHeight="false" outlineLevel="0" collapsed="false">
      <c r="A249" s="98" t="s">
        <v>587</v>
      </c>
      <c r="B249" s="98" t="n">
        <f aca="false">COUNTIFS(d_Cust,A249,d_Year,'Customer Analytics'!$P$4,d_City,'Customer Analytics'!$Q$4,d_Cuisine,'Customer Analytics'!$R$4,d_Pay,'Customer Analytics'!$S$4,d_Type,'Customer Analytics'!$T$4)</f>
        <v>3</v>
      </c>
      <c r="C249" s="98" t="n">
        <f aca="false">COUNTIFS(d_Cust,A249,d_Status,"Delivered",d_Year,'Customer Analytics'!$P$4,d_City,'Customer Analytics'!$Q$4,d_Cuisine,'Customer Analytics'!$R$4,d_Pay,'Customer Analytics'!$S$4,d_Type,'Customer Analytics'!$T$4)</f>
        <v>1</v>
      </c>
      <c r="D249" s="99" t="n">
        <f aca="false">SUMIFS(d_Net,d_Cust,A249,d_Status,"Delivered",d_Year,'Customer Analytics'!$P$4,d_City,'Customer Analytics'!$Q$4,d_Cuisine,'Customer Analytics'!$R$4,d_Pay,'Customer Analytics'!$S$4,d_Type,'Customer Analytics'!$T$4)</f>
        <v>1211</v>
      </c>
      <c r="E249" s="100" t="n">
        <f aca="false">IFERROR(AVERAGEIFS(d_CRating,d_Cust,A249,d_Year,'Customer Analytics'!$P$4,d_City,'Customer Analytics'!$Q$4,d_Cuisine,'Customer Analytics'!$R$4,d_Pay,'Customer Analytics'!$S$4,d_Type,'Customer Analytics'!$T$4),0)</f>
        <v>4</v>
      </c>
      <c r="F249" s="98" t="n">
        <f aca="false">D249+ROW()/1000000</f>
        <v>1211.000249</v>
      </c>
      <c r="G249" s="98" t="n">
        <f aca="false">RANK(F249,$F$2:$F$351)</f>
        <v>270</v>
      </c>
    </row>
    <row r="250" customFormat="false" ht="15" hidden="false" customHeight="false" outlineLevel="0" collapsed="false">
      <c r="A250" s="98" t="s">
        <v>588</v>
      </c>
      <c r="B250" s="98" t="n">
        <f aca="false">COUNTIFS(d_Cust,A250,d_Year,'Customer Analytics'!$P$4,d_City,'Customer Analytics'!$Q$4,d_Cuisine,'Customer Analytics'!$R$4,d_Pay,'Customer Analytics'!$S$4,d_Type,'Customer Analytics'!$T$4)</f>
        <v>3</v>
      </c>
      <c r="C250" s="98" t="n">
        <f aca="false">COUNTIFS(d_Cust,A250,d_Status,"Delivered",d_Year,'Customer Analytics'!$P$4,d_City,'Customer Analytics'!$Q$4,d_Cuisine,'Customer Analytics'!$R$4,d_Pay,'Customer Analytics'!$S$4,d_Type,'Customer Analytics'!$T$4)</f>
        <v>1</v>
      </c>
      <c r="D250" s="99" t="n">
        <f aca="false">SUMIFS(d_Net,d_Cust,A250,d_Status,"Delivered",d_Year,'Customer Analytics'!$P$4,d_City,'Customer Analytics'!$Q$4,d_Cuisine,'Customer Analytics'!$R$4,d_Pay,'Customer Analytics'!$S$4,d_Type,'Customer Analytics'!$T$4)</f>
        <v>454</v>
      </c>
      <c r="E250" s="100" t="n">
        <f aca="false">IFERROR(AVERAGEIFS(d_CRating,d_Cust,A250,d_Year,'Customer Analytics'!$P$4,d_City,'Customer Analytics'!$Q$4,d_Cuisine,'Customer Analytics'!$R$4,d_Pay,'Customer Analytics'!$S$4,d_Type,'Customer Analytics'!$T$4),0)</f>
        <v>4</v>
      </c>
      <c r="F250" s="98" t="n">
        <f aca="false">D250+ROW()/1000000</f>
        <v>454.00025</v>
      </c>
      <c r="G250" s="98" t="n">
        <f aca="false">RANK(F250,$F$2:$F$351)</f>
        <v>331</v>
      </c>
    </row>
    <row r="251" customFormat="false" ht="15" hidden="false" customHeight="false" outlineLevel="0" collapsed="false">
      <c r="A251" s="98" t="s">
        <v>589</v>
      </c>
      <c r="B251" s="98" t="n">
        <f aca="false">COUNTIFS(d_Cust,A251,d_Year,'Customer Analytics'!$P$4,d_City,'Customer Analytics'!$Q$4,d_Cuisine,'Customer Analytics'!$R$4,d_Pay,'Customer Analytics'!$S$4,d_Type,'Customer Analytics'!$T$4)</f>
        <v>3</v>
      </c>
      <c r="C251" s="98" t="n">
        <f aca="false">COUNTIFS(d_Cust,A251,d_Status,"Delivered",d_Year,'Customer Analytics'!$P$4,d_City,'Customer Analytics'!$Q$4,d_Cuisine,'Customer Analytics'!$R$4,d_Pay,'Customer Analytics'!$S$4,d_Type,'Customer Analytics'!$T$4)</f>
        <v>3</v>
      </c>
      <c r="D251" s="99" t="n">
        <f aca="false">SUMIFS(d_Net,d_Cust,A251,d_Status,"Delivered",d_Year,'Customer Analytics'!$P$4,d_City,'Customer Analytics'!$Q$4,d_Cuisine,'Customer Analytics'!$R$4,d_Pay,'Customer Analytics'!$S$4,d_Type,'Customer Analytics'!$T$4)</f>
        <v>3038</v>
      </c>
      <c r="E251" s="100" t="n">
        <f aca="false">IFERROR(AVERAGEIFS(d_CRating,d_Cust,A251,d_Year,'Customer Analytics'!$P$4,d_City,'Customer Analytics'!$Q$4,d_Cuisine,'Customer Analytics'!$R$4,d_Pay,'Customer Analytics'!$S$4,d_Type,'Customer Analytics'!$T$4),0)</f>
        <v>4.66666666666667</v>
      </c>
      <c r="F251" s="98" t="n">
        <f aca="false">D251+ROW()/1000000</f>
        <v>3038.000251</v>
      </c>
      <c r="G251" s="98" t="n">
        <f aca="false">RANK(F251,$F$2:$F$351)</f>
        <v>59</v>
      </c>
    </row>
    <row r="252" customFormat="false" ht="15" hidden="false" customHeight="false" outlineLevel="0" collapsed="false">
      <c r="A252" s="98" t="s">
        <v>590</v>
      </c>
      <c r="B252" s="98" t="n">
        <f aca="false">COUNTIFS(d_Cust,A252,d_Year,'Customer Analytics'!$P$4,d_City,'Customer Analytics'!$Q$4,d_Cuisine,'Customer Analytics'!$R$4,d_Pay,'Customer Analytics'!$S$4,d_Type,'Customer Analytics'!$T$4)</f>
        <v>3</v>
      </c>
      <c r="C252" s="98" t="n">
        <f aca="false">COUNTIFS(d_Cust,A252,d_Status,"Delivered",d_Year,'Customer Analytics'!$P$4,d_City,'Customer Analytics'!$Q$4,d_Cuisine,'Customer Analytics'!$R$4,d_Pay,'Customer Analytics'!$S$4,d_Type,'Customer Analytics'!$T$4)</f>
        <v>2</v>
      </c>
      <c r="D252" s="99" t="n">
        <f aca="false">SUMIFS(d_Net,d_Cust,A252,d_Status,"Delivered",d_Year,'Customer Analytics'!$P$4,d_City,'Customer Analytics'!$Q$4,d_Cuisine,'Customer Analytics'!$R$4,d_Pay,'Customer Analytics'!$S$4,d_Type,'Customer Analytics'!$T$4)</f>
        <v>2254</v>
      </c>
      <c r="E252" s="100" t="n">
        <f aca="false">IFERROR(AVERAGEIFS(d_CRating,d_Cust,A252,d_Year,'Customer Analytics'!$P$4,d_City,'Customer Analytics'!$Q$4,d_Cuisine,'Customer Analytics'!$R$4,d_Pay,'Customer Analytics'!$S$4,d_Type,'Customer Analytics'!$T$4),0)</f>
        <v>3</v>
      </c>
      <c r="F252" s="98" t="n">
        <f aca="false">D252+ROW()/1000000</f>
        <v>2254.000252</v>
      </c>
      <c r="G252" s="98" t="n">
        <f aca="false">RANK(F252,$F$2:$F$351)</f>
        <v>138</v>
      </c>
    </row>
    <row r="253" customFormat="false" ht="15" hidden="false" customHeight="false" outlineLevel="0" collapsed="false">
      <c r="A253" s="98" t="s">
        <v>591</v>
      </c>
      <c r="B253" s="98" t="n">
        <f aca="false">COUNTIFS(d_Cust,A253,d_Year,'Customer Analytics'!$P$4,d_City,'Customer Analytics'!$Q$4,d_Cuisine,'Customer Analytics'!$R$4,d_Pay,'Customer Analytics'!$S$4,d_Type,'Customer Analytics'!$T$4)</f>
        <v>3</v>
      </c>
      <c r="C253" s="98" t="n">
        <f aca="false">COUNTIFS(d_Cust,A253,d_Status,"Delivered",d_Year,'Customer Analytics'!$P$4,d_City,'Customer Analytics'!$Q$4,d_Cuisine,'Customer Analytics'!$R$4,d_Pay,'Customer Analytics'!$S$4,d_Type,'Customer Analytics'!$T$4)</f>
        <v>2</v>
      </c>
      <c r="D253" s="99" t="n">
        <f aca="false">SUMIFS(d_Net,d_Cust,A253,d_Status,"Delivered",d_Year,'Customer Analytics'!$P$4,d_City,'Customer Analytics'!$Q$4,d_Cuisine,'Customer Analytics'!$R$4,d_Pay,'Customer Analytics'!$S$4,d_Type,'Customer Analytics'!$T$4)</f>
        <v>2084</v>
      </c>
      <c r="E253" s="100" t="n">
        <f aca="false">IFERROR(AVERAGEIFS(d_CRating,d_Cust,A253,d_Year,'Customer Analytics'!$P$4,d_City,'Customer Analytics'!$Q$4,d_Cuisine,'Customer Analytics'!$R$4,d_Pay,'Customer Analytics'!$S$4,d_Type,'Customer Analytics'!$T$4),0)</f>
        <v>4.33333333333333</v>
      </c>
      <c r="F253" s="98" t="n">
        <f aca="false">D253+ROW()/1000000</f>
        <v>2084.000253</v>
      </c>
      <c r="G253" s="98" t="n">
        <f aca="false">RANK(F253,$F$2:$F$351)</f>
        <v>157</v>
      </c>
    </row>
    <row r="254" customFormat="false" ht="15" hidden="false" customHeight="false" outlineLevel="0" collapsed="false">
      <c r="A254" s="98" t="s">
        <v>592</v>
      </c>
      <c r="B254" s="98" t="n">
        <f aca="false">COUNTIFS(d_Cust,A254,d_Year,'Customer Analytics'!$P$4,d_City,'Customer Analytics'!$Q$4,d_Cuisine,'Customer Analytics'!$R$4,d_Pay,'Customer Analytics'!$S$4,d_Type,'Customer Analytics'!$T$4)</f>
        <v>3</v>
      </c>
      <c r="C254" s="98" t="n">
        <f aca="false">COUNTIFS(d_Cust,A254,d_Status,"Delivered",d_Year,'Customer Analytics'!$P$4,d_City,'Customer Analytics'!$Q$4,d_Cuisine,'Customer Analytics'!$R$4,d_Pay,'Customer Analytics'!$S$4,d_Type,'Customer Analytics'!$T$4)</f>
        <v>1</v>
      </c>
      <c r="D254" s="99" t="n">
        <f aca="false">SUMIFS(d_Net,d_Cust,A254,d_Status,"Delivered",d_Year,'Customer Analytics'!$P$4,d_City,'Customer Analytics'!$Q$4,d_Cuisine,'Customer Analytics'!$R$4,d_Pay,'Customer Analytics'!$S$4,d_Type,'Customer Analytics'!$T$4)</f>
        <v>1479</v>
      </c>
      <c r="E254" s="100" t="n">
        <f aca="false">IFERROR(AVERAGEIFS(d_CRating,d_Cust,A254,d_Year,'Customer Analytics'!$P$4,d_City,'Customer Analytics'!$Q$4,d_Cuisine,'Customer Analytics'!$R$4,d_Pay,'Customer Analytics'!$S$4,d_Type,'Customer Analytics'!$T$4),0)</f>
        <v>3.66666666666667</v>
      </c>
      <c r="F254" s="98" t="n">
        <f aca="false">D254+ROW()/1000000</f>
        <v>1479.000254</v>
      </c>
      <c r="G254" s="98" t="n">
        <f aca="false">RANK(F254,$F$2:$F$351)</f>
        <v>236</v>
      </c>
    </row>
    <row r="255" customFormat="false" ht="15" hidden="false" customHeight="false" outlineLevel="0" collapsed="false">
      <c r="A255" s="98" t="s">
        <v>593</v>
      </c>
      <c r="B255" s="98" t="n">
        <f aca="false">COUNTIFS(d_Cust,A255,d_Year,'Customer Analytics'!$P$4,d_City,'Customer Analytics'!$Q$4,d_Cuisine,'Customer Analytics'!$R$4,d_Pay,'Customer Analytics'!$S$4,d_Type,'Customer Analytics'!$T$4)</f>
        <v>3</v>
      </c>
      <c r="C255" s="98" t="n">
        <f aca="false">COUNTIFS(d_Cust,A255,d_Status,"Delivered",d_Year,'Customer Analytics'!$P$4,d_City,'Customer Analytics'!$Q$4,d_Cuisine,'Customer Analytics'!$R$4,d_Pay,'Customer Analytics'!$S$4,d_Type,'Customer Analytics'!$T$4)</f>
        <v>1</v>
      </c>
      <c r="D255" s="99" t="n">
        <f aca="false">SUMIFS(d_Net,d_Cust,A255,d_Status,"Delivered",d_Year,'Customer Analytics'!$P$4,d_City,'Customer Analytics'!$Q$4,d_Cuisine,'Customer Analytics'!$R$4,d_Pay,'Customer Analytics'!$S$4,d_Type,'Customer Analytics'!$T$4)</f>
        <v>351</v>
      </c>
      <c r="E255" s="100" t="n">
        <f aca="false">IFERROR(AVERAGEIFS(d_CRating,d_Cust,A255,d_Year,'Customer Analytics'!$P$4,d_City,'Customer Analytics'!$Q$4,d_Cuisine,'Customer Analytics'!$R$4,d_Pay,'Customer Analytics'!$S$4,d_Type,'Customer Analytics'!$T$4),0)</f>
        <v>4</v>
      </c>
      <c r="F255" s="98" t="n">
        <f aca="false">D255+ROW()/1000000</f>
        <v>351.000255</v>
      </c>
      <c r="G255" s="98" t="n">
        <f aca="false">RANK(F255,$F$2:$F$351)</f>
        <v>337</v>
      </c>
    </row>
    <row r="256" customFormat="false" ht="15" hidden="false" customHeight="false" outlineLevel="0" collapsed="false">
      <c r="A256" s="98" t="s">
        <v>594</v>
      </c>
      <c r="B256" s="98" t="n">
        <f aca="false">COUNTIFS(d_Cust,A256,d_Year,'Customer Analytics'!$P$4,d_City,'Customer Analytics'!$Q$4,d_Cuisine,'Customer Analytics'!$R$4,d_Pay,'Customer Analytics'!$S$4,d_Type,'Customer Analytics'!$T$4)</f>
        <v>3</v>
      </c>
      <c r="C256" s="98" t="n">
        <f aca="false">COUNTIFS(d_Cust,A256,d_Status,"Delivered",d_Year,'Customer Analytics'!$P$4,d_City,'Customer Analytics'!$Q$4,d_Cuisine,'Customer Analytics'!$R$4,d_Pay,'Customer Analytics'!$S$4,d_Type,'Customer Analytics'!$T$4)</f>
        <v>2</v>
      </c>
      <c r="D256" s="99" t="n">
        <f aca="false">SUMIFS(d_Net,d_Cust,A256,d_Status,"Delivered",d_Year,'Customer Analytics'!$P$4,d_City,'Customer Analytics'!$Q$4,d_Cuisine,'Customer Analytics'!$R$4,d_Pay,'Customer Analytics'!$S$4,d_Type,'Customer Analytics'!$T$4)</f>
        <v>1787</v>
      </c>
      <c r="E256" s="100" t="n">
        <f aca="false">IFERROR(AVERAGEIFS(d_CRating,d_Cust,A256,d_Year,'Customer Analytics'!$P$4,d_City,'Customer Analytics'!$Q$4,d_Cuisine,'Customer Analytics'!$R$4,d_Pay,'Customer Analytics'!$S$4,d_Type,'Customer Analytics'!$T$4),0)</f>
        <v>5</v>
      </c>
      <c r="F256" s="98" t="n">
        <f aca="false">D256+ROW()/1000000</f>
        <v>1787.000256</v>
      </c>
      <c r="G256" s="98" t="n">
        <f aca="false">RANK(F256,$F$2:$F$351)</f>
        <v>188</v>
      </c>
    </row>
    <row r="257" customFormat="false" ht="15" hidden="false" customHeight="false" outlineLevel="0" collapsed="false">
      <c r="A257" s="98" t="s">
        <v>595</v>
      </c>
      <c r="B257" s="98" t="n">
        <f aca="false">COUNTIFS(d_Cust,A257,d_Year,'Customer Analytics'!$P$4,d_City,'Customer Analytics'!$Q$4,d_Cuisine,'Customer Analytics'!$R$4,d_Pay,'Customer Analytics'!$S$4,d_Type,'Customer Analytics'!$T$4)</f>
        <v>3</v>
      </c>
      <c r="C257" s="98" t="n">
        <f aca="false">COUNTIFS(d_Cust,A257,d_Status,"Delivered",d_Year,'Customer Analytics'!$P$4,d_City,'Customer Analytics'!$Q$4,d_Cuisine,'Customer Analytics'!$R$4,d_Pay,'Customer Analytics'!$S$4,d_Type,'Customer Analytics'!$T$4)</f>
        <v>2</v>
      </c>
      <c r="D257" s="99" t="n">
        <f aca="false">SUMIFS(d_Net,d_Cust,A257,d_Status,"Delivered",d_Year,'Customer Analytics'!$P$4,d_City,'Customer Analytics'!$Q$4,d_Cuisine,'Customer Analytics'!$R$4,d_Pay,'Customer Analytics'!$S$4,d_Type,'Customer Analytics'!$T$4)</f>
        <v>2782</v>
      </c>
      <c r="E257" s="100" t="n">
        <f aca="false">IFERROR(AVERAGEIFS(d_CRating,d_Cust,A257,d_Year,'Customer Analytics'!$P$4,d_City,'Customer Analytics'!$Q$4,d_Cuisine,'Customer Analytics'!$R$4,d_Pay,'Customer Analytics'!$S$4,d_Type,'Customer Analytics'!$T$4),0)</f>
        <v>4.66666666666667</v>
      </c>
      <c r="F257" s="98" t="n">
        <f aca="false">D257+ROW()/1000000</f>
        <v>2782.000257</v>
      </c>
      <c r="G257" s="98" t="n">
        <f aca="false">RANK(F257,$F$2:$F$351)</f>
        <v>83</v>
      </c>
    </row>
    <row r="258" customFormat="false" ht="15" hidden="false" customHeight="false" outlineLevel="0" collapsed="false">
      <c r="A258" s="98" t="s">
        <v>596</v>
      </c>
      <c r="B258" s="98" t="n">
        <f aca="false">COUNTIFS(d_Cust,A258,d_Year,'Customer Analytics'!$P$4,d_City,'Customer Analytics'!$Q$4,d_Cuisine,'Customer Analytics'!$R$4,d_Pay,'Customer Analytics'!$S$4,d_Type,'Customer Analytics'!$T$4)</f>
        <v>3</v>
      </c>
      <c r="C258" s="98" t="n">
        <f aca="false">COUNTIFS(d_Cust,A258,d_Status,"Delivered",d_Year,'Customer Analytics'!$P$4,d_City,'Customer Analytics'!$Q$4,d_Cuisine,'Customer Analytics'!$R$4,d_Pay,'Customer Analytics'!$S$4,d_Type,'Customer Analytics'!$T$4)</f>
        <v>1</v>
      </c>
      <c r="D258" s="99" t="n">
        <f aca="false">SUMIFS(d_Net,d_Cust,A258,d_Status,"Delivered",d_Year,'Customer Analytics'!$P$4,d_City,'Customer Analytics'!$Q$4,d_Cuisine,'Customer Analytics'!$R$4,d_Pay,'Customer Analytics'!$S$4,d_Type,'Customer Analytics'!$T$4)</f>
        <v>1564</v>
      </c>
      <c r="E258" s="100" t="n">
        <f aca="false">IFERROR(AVERAGEIFS(d_CRating,d_Cust,A258,d_Year,'Customer Analytics'!$P$4,d_City,'Customer Analytics'!$Q$4,d_Cuisine,'Customer Analytics'!$R$4,d_Pay,'Customer Analytics'!$S$4,d_Type,'Customer Analytics'!$T$4),0)</f>
        <v>4</v>
      </c>
      <c r="F258" s="98" t="n">
        <f aca="false">D258+ROW()/1000000</f>
        <v>1564.000258</v>
      </c>
      <c r="G258" s="98" t="n">
        <f aca="false">RANK(F258,$F$2:$F$351)</f>
        <v>226</v>
      </c>
    </row>
    <row r="259" customFormat="false" ht="15" hidden="false" customHeight="false" outlineLevel="0" collapsed="false">
      <c r="A259" s="98" t="s">
        <v>597</v>
      </c>
      <c r="B259" s="98" t="n">
        <f aca="false">COUNTIFS(d_Cust,A259,d_Year,'Customer Analytics'!$P$4,d_City,'Customer Analytics'!$Q$4,d_Cuisine,'Customer Analytics'!$R$4,d_Pay,'Customer Analytics'!$S$4,d_Type,'Customer Analytics'!$T$4)</f>
        <v>3</v>
      </c>
      <c r="C259" s="98" t="n">
        <f aca="false">COUNTIFS(d_Cust,A259,d_Status,"Delivered",d_Year,'Customer Analytics'!$P$4,d_City,'Customer Analytics'!$Q$4,d_Cuisine,'Customer Analytics'!$R$4,d_Pay,'Customer Analytics'!$S$4,d_Type,'Customer Analytics'!$T$4)</f>
        <v>2</v>
      </c>
      <c r="D259" s="99" t="n">
        <f aca="false">SUMIFS(d_Net,d_Cust,A259,d_Status,"Delivered",d_Year,'Customer Analytics'!$P$4,d_City,'Customer Analytics'!$Q$4,d_Cuisine,'Customer Analytics'!$R$4,d_Pay,'Customer Analytics'!$S$4,d_Type,'Customer Analytics'!$T$4)</f>
        <v>1525</v>
      </c>
      <c r="E259" s="100" t="n">
        <f aca="false">IFERROR(AVERAGEIFS(d_CRating,d_Cust,A259,d_Year,'Customer Analytics'!$P$4,d_City,'Customer Analytics'!$Q$4,d_Cuisine,'Customer Analytics'!$R$4,d_Pay,'Customer Analytics'!$S$4,d_Type,'Customer Analytics'!$T$4),0)</f>
        <v>3.66666666666667</v>
      </c>
      <c r="F259" s="98" t="n">
        <f aca="false">D259+ROW()/1000000</f>
        <v>1525.000259</v>
      </c>
      <c r="G259" s="98" t="n">
        <f aca="false">RANK(F259,$F$2:$F$351)</f>
        <v>232</v>
      </c>
    </row>
    <row r="260" customFormat="false" ht="15" hidden="false" customHeight="false" outlineLevel="0" collapsed="false">
      <c r="A260" s="98" t="s">
        <v>598</v>
      </c>
      <c r="B260" s="98" t="n">
        <f aca="false">COUNTIFS(d_Cust,A260,d_Year,'Customer Analytics'!$P$4,d_City,'Customer Analytics'!$Q$4,d_Cuisine,'Customer Analytics'!$R$4,d_Pay,'Customer Analytics'!$S$4,d_Type,'Customer Analytics'!$T$4)</f>
        <v>3</v>
      </c>
      <c r="C260" s="98" t="n">
        <f aca="false">COUNTIFS(d_Cust,A260,d_Status,"Delivered",d_Year,'Customer Analytics'!$P$4,d_City,'Customer Analytics'!$Q$4,d_Cuisine,'Customer Analytics'!$R$4,d_Pay,'Customer Analytics'!$S$4,d_Type,'Customer Analytics'!$T$4)</f>
        <v>1</v>
      </c>
      <c r="D260" s="99" t="n">
        <f aca="false">SUMIFS(d_Net,d_Cust,A260,d_Status,"Delivered",d_Year,'Customer Analytics'!$P$4,d_City,'Customer Analytics'!$Q$4,d_Cuisine,'Customer Analytics'!$R$4,d_Pay,'Customer Analytics'!$S$4,d_Type,'Customer Analytics'!$T$4)</f>
        <v>1466</v>
      </c>
      <c r="E260" s="100" t="n">
        <f aca="false">IFERROR(AVERAGEIFS(d_CRating,d_Cust,A260,d_Year,'Customer Analytics'!$P$4,d_City,'Customer Analytics'!$Q$4,d_Cuisine,'Customer Analytics'!$R$4,d_Pay,'Customer Analytics'!$S$4,d_Type,'Customer Analytics'!$T$4),0)</f>
        <v>4.66666666666667</v>
      </c>
      <c r="F260" s="98" t="n">
        <f aca="false">D260+ROW()/1000000</f>
        <v>1466.00026</v>
      </c>
      <c r="G260" s="98" t="n">
        <f aca="false">RANK(F260,$F$2:$F$351)</f>
        <v>237</v>
      </c>
    </row>
    <row r="261" customFormat="false" ht="15" hidden="false" customHeight="false" outlineLevel="0" collapsed="false">
      <c r="A261" s="98" t="s">
        <v>599</v>
      </c>
      <c r="B261" s="98" t="n">
        <f aca="false">COUNTIFS(d_Cust,A261,d_Year,'Customer Analytics'!$P$4,d_City,'Customer Analytics'!$Q$4,d_Cuisine,'Customer Analytics'!$R$4,d_Pay,'Customer Analytics'!$S$4,d_Type,'Customer Analytics'!$T$4)</f>
        <v>3</v>
      </c>
      <c r="C261" s="98" t="n">
        <f aca="false">COUNTIFS(d_Cust,A261,d_Status,"Delivered",d_Year,'Customer Analytics'!$P$4,d_City,'Customer Analytics'!$Q$4,d_Cuisine,'Customer Analytics'!$R$4,d_Pay,'Customer Analytics'!$S$4,d_Type,'Customer Analytics'!$T$4)</f>
        <v>1</v>
      </c>
      <c r="D261" s="99" t="n">
        <f aca="false">SUMIFS(d_Net,d_Cust,A261,d_Status,"Delivered",d_Year,'Customer Analytics'!$P$4,d_City,'Customer Analytics'!$Q$4,d_Cuisine,'Customer Analytics'!$R$4,d_Pay,'Customer Analytics'!$S$4,d_Type,'Customer Analytics'!$T$4)</f>
        <v>1069</v>
      </c>
      <c r="E261" s="100" t="n">
        <f aca="false">IFERROR(AVERAGEIFS(d_CRating,d_Cust,A261,d_Year,'Customer Analytics'!$P$4,d_City,'Customer Analytics'!$Q$4,d_Cuisine,'Customer Analytics'!$R$4,d_Pay,'Customer Analytics'!$S$4,d_Type,'Customer Analytics'!$T$4),0)</f>
        <v>3.66666666666667</v>
      </c>
      <c r="F261" s="98" t="n">
        <f aca="false">D261+ROW()/1000000</f>
        <v>1069.000261</v>
      </c>
      <c r="G261" s="98" t="n">
        <f aca="false">RANK(F261,$F$2:$F$351)</f>
        <v>280</v>
      </c>
    </row>
    <row r="262" customFormat="false" ht="15" hidden="false" customHeight="false" outlineLevel="0" collapsed="false">
      <c r="A262" s="98" t="s">
        <v>600</v>
      </c>
      <c r="B262" s="98" t="n">
        <f aca="false">COUNTIFS(d_Cust,A262,d_Year,'Customer Analytics'!$P$4,d_City,'Customer Analytics'!$Q$4,d_Cuisine,'Customer Analytics'!$R$4,d_Pay,'Customer Analytics'!$S$4,d_Type,'Customer Analytics'!$T$4)</f>
        <v>3</v>
      </c>
      <c r="C262" s="98" t="n">
        <f aca="false">COUNTIFS(d_Cust,A262,d_Status,"Delivered",d_Year,'Customer Analytics'!$P$4,d_City,'Customer Analytics'!$Q$4,d_Cuisine,'Customer Analytics'!$R$4,d_Pay,'Customer Analytics'!$S$4,d_Type,'Customer Analytics'!$T$4)</f>
        <v>3</v>
      </c>
      <c r="D262" s="99" t="n">
        <f aca="false">SUMIFS(d_Net,d_Cust,A262,d_Status,"Delivered",d_Year,'Customer Analytics'!$P$4,d_City,'Customer Analytics'!$Q$4,d_Cuisine,'Customer Analytics'!$R$4,d_Pay,'Customer Analytics'!$S$4,d_Type,'Customer Analytics'!$T$4)</f>
        <v>2994</v>
      </c>
      <c r="E262" s="100" t="n">
        <f aca="false">IFERROR(AVERAGEIFS(d_CRating,d_Cust,A262,d_Year,'Customer Analytics'!$P$4,d_City,'Customer Analytics'!$Q$4,d_Cuisine,'Customer Analytics'!$R$4,d_Pay,'Customer Analytics'!$S$4,d_Type,'Customer Analytics'!$T$4),0)</f>
        <v>4.33333333333333</v>
      </c>
      <c r="F262" s="98" t="n">
        <f aca="false">D262+ROW()/1000000</f>
        <v>2994.000262</v>
      </c>
      <c r="G262" s="98" t="n">
        <f aca="false">RANK(F262,$F$2:$F$351)</f>
        <v>63</v>
      </c>
    </row>
    <row r="263" customFormat="false" ht="15" hidden="false" customHeight="false" outlineLevel="0" collapsed="false">
      <c r="A263" s="98" t="s">
        <v>601</v>
      </c>
      <c r="B263" s="98" t="n">
        <f aca="false">COUNTIFS(d_Cust,A263,d_Year,'Customer Analytics'!$P$4,d_City,'Customer Analytics'!$Q$4,d_Cuisine,'Customer Analytics'!$R$4,d_Pay,'Customer Analytics'!$S$4,d_Type,'Customer Analytics'!$T$4)</f>
        <v>3</v>
      </c>
      <c r="C263" s="98" t="n">
        <f aca="false">COUNTIFS(d_Cust,A263,d_Status,"Delivered",d_Year,'Customer Analytics'!$P$4,d_City,'Customer Analytics'!$Q$4,d_Cuisine,'Customer Analytics'!$R$4,d_Pay,'Customer Analytics'!$S$4,d_Type,'Customer Analytics'!$T$4)</f>
        <v>3</v>
      </c>
      <c r="D263" s="99" t="n">
        <f aca="false">SUMIFS(d_Net,d_Cust,A263,d_Status,"Delivered",d_Year,'Customer Analytics'!$P$4,d_City,'Customer Analytics'!$Q$4,d_Cuisine,'Customer Analytics'!$R$4,d_Pay,'Customer Analytics'!$S$4,d_Type,'Customer Analytics'!$T$4)</f>
        <v>3482</v>
      </c>
      <c r="E263" s="100" t="n">
        <f aca="false">IFERROR(AVERAGEIFS(d_CRating,d_Cust,A263,d_Year,'Customer Analytics'!$P$4,d_City,'Customer Analytics'!$Q$4,d_Cuisine,'Customer Analytics'!$R$4,d_Pay,'Customer Analytics'!$S$4,d_Type,'Customer Analytics'!$T$4),0)</f>
        <v>4</v>
      </c>
      <c r="F263" s="98" t="n">
        <f aca="false">D263+ROW()/1000000</f>
        <v>3482.000263</v>
      </c>
      <c r="G263" s="98" t="n">
        <f aca="false">RANK(F263,$F$2:$F$351)</f>
        <v>30</v>
      </c>
    </row>
    <row r="264" customFormat="false" ht="15" hidden="false" customHeight="false" outlineLevel="0" collapsed="false">
      <c r="A264" s="98" t="s">
        <v>602</v>
      </c>
      <c r="B264" s="98" t="n">
        <f aca="false">COUNTIFS(d_Cust,A264,d_Year,'Customer Analytics'!$P$4,d_City,'Customer Analytics'!$Q$4,d_Cuisine,'Customer Analytics'!$R$4,d_Pay,'Customer Analytics'!$S$4,d_Type,'Customer Analytics'!$T$4)</f>
        <v>3</v>
      </c>
      <c r="C264" s="98" t="n">
        <f aca="false">COUNTIFS(d_Cust,A264,d_Status,"Delivered",d_Year,'Customer Analytics'!$P$4,d_City,'Customer Analytics'!$Q$4,d_Cuisine,'Customer Analytics'!$R$4,d_Pay,'Customer Analytics'!$S$4,d_Type,'Customer Analytics'!$T$4)</f>
        <v>1</v>
      </c>
      <c r="D264" s="99" t="n">
        <f aca="false">SUMIFS(d_Net,d_Cust,A264,d_Status,"Delivered",d_Year,'Customer Analytics'!$P$4,d_City,'Customer Analytics'!$Q$4,d_Cuisine,'Customer Analytics'!$R$4,d_Pay,'Customer Analytics'!$S$4,d_Type,'Customer Analytics'!$T$4)</f>
        <v>865</v>
      </c>
      <c r="E264" s="100" t="n">
        <f aca="false">IFERROR(AVERAGEIFS(d_CRating,d_Cust,A264,d_Year,'Customer Analytics'!$P$4,d_City,'Customer Analytics'!$Q$4,d_Cuisine,'Customer Analytics'!$R$4,d_Pay,'Customer Analytics'!$S$4,d_Type,'Customer Analytics'!$T$4),0)</f>
        <v>4.33333333333333</v>
      </c>
      <c r="F264" s="98" t="n">
        <f aca="false">D264+ROW()/1000000</f>
        <v>865.000264</v>
      </c>
      <c r="G264" s="98" t="n">
        <f aca="false">RANK(F264,$F$2:$F$351)</f>
        <v>295</v>
      </c>
    </row>
    <row r="265" customFormat="false" ht="15" hidden="false" customHeight="false" outlineLevel="0" collapsed="false">
      <c r="A265" s="98" t="s">
        <v>603</v>
      </c>
      <c r="B265" s="98" t="n">
        <f aca="false">COUNTIFS(d_Cust,A265,d_Year,'Customer Analytics'!$P$4,d_City,'Customer Analytics'!$Q$4,d_Cuisine,'Customer Analytics'!$R$4,d_Pay,'Customer Analytics'!$S$4,d_Type,'Customer Analytics'!$T$4)</f>
        <v>3</v>
      </c>
      <c r="C265" s="98" t="n">
        <f aca="false">COUNTIFS(d_Cust,A265,d_Status,"Delivered",d_Year,'Customer Analytics'!$P$4,d_City,'Customer Analytics'!$Q$4,d_Cuisine,'Customer Analytics'!$R$4,d_Pay,'Customer Analytics'!$S$4,d_Type,'Customer Analytics'!$T$4)</f>
        <v>0</v>
      </c>
      <c r="D265" s="99" t="n">
        <f aca="false">SUMIFS(d_Net,d_Cust,A265,d_Status,"Delivered",d_Year,'Customer Analytics'!$P$4,d_City,'Customer Analytics'!$Q$4,d_Cuisine,'Customer Analytics'!$R$4,d_Pay,'Customer Analytics'!$S$4,d_Type,'Customer Analytics'!$T$4)</f>
        <v>0</v>
      </c>
      <c r="E265" s="100" t="n">
        <f aca="false">IFERROR(AVERAGEIFS(d_CRating,d_Cust,A265,d_Year,'Customer Analytics'!$P$4,d_City,'Customer Analytics'!$Q$4,d_Cuisine,'Customer Analytics'!$R$4,d_Pay,'Customer Analytics'!$S$4,d_Type,'Customer Analytics'!$T$4),0)</f>
        <v>4.66666666666667</v>
      </c>
      <c r="F265" s="98" t="n">
        <f aca="false">D265+ROW()/1000000</f>
        <v>0.000265</v>
      </c>
      <c r="G265" s="98" t="n">
        <f aca="false">RANK(F265,$F$2:$F$351)</f>
        <v>347</v>
      </c>
    </row>
    <row r="266" customFormat="false" ht="15" hidden="false" customHeight="false" outlineLevel="0" collapsed="false">
      <c r="A266" s="98" t="s">
        <v>604</v>
      </c>
      <c r="B266" s="98" t="n">
        <f aca="false">COUNTIFS(d_Cust,A266,d_Year,'Customer Analytics'!$P$4,d_City,'Customer Analytics'!$Q$4,d_Cuisine,'Customer Analytics'!$R$4,d_Pay,'Customer Analytics'!$S$4,d_Type,'Customer Analytics'!$T$4)</f>
        <v>3</v>
      </c>
      <c r="C266" s="98" t="n">
        <f aca="false">COUNTIFS(d_Cust,A266,d_Status,"Delivered",d_Year,'Customer Analytics'!$P$4,d_City,'Customer Analytics'!$Q$4,d_Cuisine,'Customer Analytics'!$R$4,d_Pay,'Customer Analytics'!$S$4,d_Type,'Customer Analytics'!$T$4)</f>
        <v>2</v>
      </c>
      <c r="D266" s="99" t="n">
        <f aca="false">SUMIFS(d_Net,d_Cust,A266,d_Status,"Delivered",d_Year,'Customer Analytics'!$P$4,d_City,'Customer Analytics'!$Q$4,d_Cuisine,'Customer Analytics'!$R$4,d_Pay,'Customer Analytics'!$S$4,d_Type,'Customer Analytics'!$T$4)</f>
        <v>735</v>
      </c>
      <c r="E266" s="100" t="n">
        <f aca="false">IFERROR(AVERAGEIFS(d_CRating,d_Cust,A266,d_Year,'Customer Analytics'!$P$4,d_City,'Customer Analytics'!$Q$4,d_Cuisine,'Customer Analytics'!$R$4,d_Pay,'Customer Analytics'!$S$4,d_Type,'Customer Analytics'!$T$4),0)</f>
        <v>3.66666666666667</v>
      </c>
      <c r="F266" s="98" t="n">
        <f aca="false">D266+ROW()/1000000</f>
        <v>735.000266</v>
      </c>
      <c r="G266" s="98" t="n">
        <f aca="false">RANK(F266,$F$2:$F$351)</f>
        <v>311</v>
      </c>
    </row>
    <row r="267" customFormat="false" ht="15" hidden="false" customHeight="false" outlineLevel="0" collapsed="false">
      <c r="A267" s="98" t="s">
        <v>605</v>
      </c>
      <c r="B267" s="98" t="n">
        <f aca="false">COUNTIFS(d_Cust,A267,d_Year,'Customer Analytics'!$P$4,d_City,'Customer Analytics'!$Q$4,d_Cuisine,'Customer Analytics'!$R$4,d_Pay,'Customer Analytics'!$S$4,d_Type,'Customer Analytics'!$T$4)</f>
        <v>3</v>
      </c>
      <c r="C267" s="98" t="n">
        <f aca="false">COUNTIFS(d_Cust,A267,d_Status,"Delivered",d_Year,'Customer Analytics'!$P$4,d_City,'Customer Analytics'!$Q$4,d_Cuisine,'Customer Analytics'!$R$4,d_Pay,'Customer Analytics'!$S$4,d_Type,'Customer Analytics'!$T$4)</f>
        <v>2</v>
      </c>
      <c r="D267" s="99" t="n">
        <f aca="false">SUMIFS(d_Net,d_Cust,A267,d_Status,"Delivered",d_Year,'Customer Analytics'!$P$4,d_City,'Customer Analytics'!$Q$4,d_Cuisine,'Customer Analytics'!$R$4,d_Pay,'Customer Analytics'!$S$4,d_Type,'Customer Analytics'!$T$4)</f>
        <v>1960</v>
      </c>
      <c r="E267" s="100" t="n">
        <f aca="false">IFERROR(AVERAGEIFS(d_CRating,d_Cust,A267,d_Year,'Customer Analytics'!$P$4,d_City,'Customer Analytics'!$Q$4,d_Cuisine,'Customer Analytics'!$R$4,d_Pay,'Customer Analytics'!$S$4,d_Type,'Customer Analytics'!$T$4),0)</f>
        <v>4</v>
      </c>
      <c r="F267" s="98" t="n">
        <f aca="false">D267+ROW()/1000000</f>
        <v>1960.000267</v>
      </c>
      <c r="G267" s="98" t="n">
        <f aca="false">RANK(F267,$F$2:$F$351)</f>
        <v>172</v>
      </c>
    </row>
    <row r="268" customFormat="false" ht="15" hidden="false" customHeight="false" outlineLevel="0" collapsed="false">
      <c r="A268" s="98" t="s">
        <v>606</v>
      </c>
      <c r="B268" s="98" t="n">
        <f aca="false">COUNTIFS(d_Cust,A268,d_Year,'Customer Analytics'!$P$4,d_City,'Customer Analytics'!$Q$4,d_Cuisine,'Customer Analytics'!$R$4,d_Pay,'Customer Analytics'!$S$4,d_Type,'Customer Analytics'!$T$4)</f>
        <v>3</v>
      </c>
      <c r="C268" s="98" t="n">
        <f aca="false">COUNTIFS(d_Cust,A268,d_Status,"Delivered",d_Year,'Customer Analytics'!$P$4,d_City,'Customer Analytics'!$Q$4,d_Cuisine,'Customer Analytics'!$R$4,d_Pay,'Customer Analytics'!$S$4,d_Type,'Customer Analytics'!$T$4)</f>
        <v>2</v>
      </c>
      <c r="D268" s="99" t="n">
        <f aca="false">SUMIFS(d_Net,d_Cust,A268,d_Status,"Delivered",d_Year,'Customer Analytics'!$P$4,d_City,'Customer Analytics'!$Q$4,d_Cuisine,'Customer Analytics'!$R$4,d_Pay,'Customer Analytics'!$S$4,d_Type,'Customer Analytics'!$T$4)</f>
        <v>1963</v>
      </c>
      <c r="E268" s="100" t="n">
        <f aca="false">IFERROR(AVERAGEIFS(d_CRating,d_Cust,A268,d_Year,'Customer Analytics'!$P$4,d_City,'Customer Analytics'!$Q$4,d_Cuisine,'Customer Analytics'!$R$4,d_Pay,'Customer Analytics'!$S$4,d_Type,'Customer Analytics'!$T$4),0)</f>
        <v>3.33333333333333</v>
      </c>
      <c r="F268" s="98" t="n">
        <f aca="false">D268+ROW()/1000000</f>
        <v>1963.000268</v>
      </c>
      <c r="G268" s="98" t="n">
        <f aca="false">RANK(F268,$F$2:$F$351)</f>
        <v>170</v>
      </c>
    </row>
    <row r="269" customFormat="false" ht="15" hidden="false" customHeight="false" outlineLevel="0" collapsed="false">
      <c r="A269" s="98" t="s">
        <v>607</v>
      </c>
      <c r="B269" s="98" t="n">
        <f aca="false">COUNTIFS(d_Cust,A269,d_Year,'Customer Analytics'!$P$4,d_City,'Customer Analytics'!$Q$4,d_Cuisine,'Customer Analytics'!$R$4,d_Pay,'Customer Analytics'!$S$4,d_Type,'Customer Analytics'!$T$4)</f>
        <v>3</v>
      </c>
      <c r="C269" s="98" t="n">
        <f aca="false">COUNTIFS(d_Cust,A269,d_Status,"Delivered",d_Year,'Customer Analytics'!$P$4,d_City,'Customer Analytics'!$Q$4,d_Cuisine,'Customer Analytics'!$R$4,d_Pay,'Customer Analytics'!$S$4,d_Type,'Customer Analytics'!$T$4)</f>
        <v>2</v>
      </c>
      <c r="D269" s="99" t="n">
        <f aca="false">SUMIFS(d_Net,d_Cust,A269,d_Status,"Delivered",d_Year,'Customer Analytics'!$P$4,d_City,'Customer Analytics'!$Q$4,d_Cuisine,'Customer Analytics'!$R$4,d_Pay,'Customer Analytics'!$S$4,d_Type,'Customer Analytics'!$T$4)</f>
        <v>1564</v>
      </c>
      <c r="E269" s="100" t="n">
        <f aca="false">IFERROR(AVERAGEIFS(d_CRating,d_Cust,A269,d_Year,'Customer Analytics'!$P$4,d_City,'Customer Analytics'!$Q$4,d_Cuisine,'Customer Analytics'!$R$4,d_Pay,'Customer Analytics'!$S$4,d_Type,'Customer Analytics'!$T$4),0)</f>
        <v>4</v>
      </c>
      <c r="F269" s="98" t="n">
        <f aca="false">D269+ROW()/1000000</f>
        <v>1564.000269</v>
      </c>
      <c r="G269" s="98" t="n">
        <f aca="false">RANK(F269,$F$2:$F$351)</f>
        <v>225</v>
      </c>
    </row>
    <row r="270" customFormat="false" ht="15" hidden="false" customHeight="false" outlineLevel="0" collapsed="false">
      <c r="A270" s="98" t="s">
        <v>608</v>
      </c>
      <c r="B270" s="98" t="n">
        <f aca="false">COUNTIFS(d_Cust,A270,d_Year,'Customer Analytics'!$P$4,d_City,'Customer Analytics'!$Q$4,d_Cuisine,'Customer Analytics'!$R$4,d_Pay,'Customer Analytics'!$S$4,d_Type,'Customer Analytics'!$T$4)</f>
        <v>3</v>
      </c>
      <c r="C270" s="98" t="n">
        <f aca="false">COUNTIFS(d_Cust,A270,d_Status,"Delivered",d_Year,'Customer Analytics'!$P$4,d_City,'Customer Analytics'!$Q$4,d_Cuisine,'Customer Analytics'!$R$4,d_Pay,'Customer Analytics'!$S$4,d_Type,'Customer Analytics'!$T$4)</f>
        <v>1</v>
      </c>
      <c r="D270" s="99" t="n">
        <f aca="false">SUMIFS(d_Net,d_Cust,A270,d_Status,"Delivered",d_Year,'Customer Analytics'!$P$4,d_City,'Customer Analytics'!$Q$4,d_Cuisine,'Customer Analytics'!$R$4,d_Pay,'Customer Analytics'!$S$4,d_Type,'Customer Analytics'!$T$4)</f>
        <v>1743</v>
      </c>
      <c r="E270" s="100" t="n">
        <f aca="false">IFERROR(AVERAGEIFS(d_CRating,d_Cust,A270,d_Year,'Customer Analytics'!$P$4,d_City,'Customer Analytics'!$Q$4,d_Cuisine,'Customer Analytics'!$R$4,d_Pay,'Customer Analytics'!$S$4,d_Type,'Customer Analytics'!$T$4),0)</f>
        <v>4.33333333333333</v>
      </c>
      <c r="F270" s="98" t="n">
        <f aca="false">D270+ROW()/1000000</f>
        <v>1743.00027</v>
      </c>
      <c r="G270" s="98" t="n">
        <f aca="false">RANK(F270,$F$2:$F$351)</f>
        <v>196</v>
      </c>
    </row>
    <row r="271" customFormat="false" ht="15" hidden="false" customHeight="false" outlineLevel="0" collapsed="false">
      <c r="A271" s="98" t="s">
        <v>609</v>
      </c>
      <c r="B271" s="98" t="n">
        <f aca="false">COUNTIFS(d_Cust,A271,d_Year,'Customer Analytics'!$P$4,d_City,'Customer Analytics'!$Q$4,d_Cuisine,'Customer Analytics'!$R$4,d_Pay,'Customer Analytics'!$S$4,d_Type,'Customer Analytics'!$T$4)</f>
        <v>3</v>
      </c>
      <c r="C271" s="98" t="n">
        <f aca="false">COUNTIFS(d_Cust,A271,d_Status,"Delivered",d_Year,'Customer Analytics'!$P$4,d_City,'Customer Analytics'!$Q$4,d_Cuisine,'Customer Analytics'!$R$4,d_Pay,'Customer Analytics'!$S$4,d_Type,'Customer Analytics'!$T$4)</f>
        <v>3</v>
      </c>
      <c r="D271" s="99" t="n">
        <f aca="false">SUMIFS(d_Net,d_Cust,A271,d_Status,"Delivered",d_Year,'Customer Analytics'!$P$4,d_City,'Customer Analytics'!$Q$4,d_Cuisine,'Customer Analytics'!$R$4,d_Pay,'Customer Analytics'!$S$4,d_Type,'Customer Analytics'!$T$4)</f>
        <v>1967</v>
      </c>
      <c r="E271" s="100" t="n">
        <f aca="false">IFERROR(AVERAGEIFS(d_CRating,d_Cust,A271,d_Year,'Customer Analytics'!$P$4,d_City,'Customer Analytics'!$Q$4,d_Cuisine,'Customer Analytics'!$R$4,d_Pay,'Customer Analytics'!$S$4,d_Type,'Customer Analytics'!$T$4),0)</f>
        <v>3.33333333333333</v>
      </c>
      <c r="F271" s="98" t="n">
        <f aca="false">D271+ROW()/1000000</f>
        <v>1967.000271</v>
      </c>
      <c r="G271" s="98" t="n">
        <f aca="false">RANK(F271,$F$2:$F$351)</f>
        <v>169</v>
      </c>
    </row>
    <row r="272" customFormat="false" ht="15" hidden="false" customHeight="false" outlineLevel="0" collapsed="false">
      <c r="A272" s="98" t="s">
        <v>610</v>
      </c>
      <c r="B272" s="98" t="n">
        <f aca="false">COUNTIFS(d_Cust,A272,d_Year,'Customer Analytics'!$P$4,d_City,'Customer Analytics'!$Q$4,d_Cuisine,'Customer Analytics'!$R$4,d_Pay,'Customer Analytics'!$S$4,d_Type,'Customer Analytics'!$T$4)</f>
        <v>3</v>
      </c>
      <c r="C272" s="98" t="n">
        <f aca="false">COUNTIFS(d_Cust,A272,d_Status,"Delivered",d_Year,'Customer Analytics'!$P$4,d_City,'Customer Analytics'!$Q$4,d_Cuisine,'Customer Analytics'!$R$4,d_Pay,'Customer Analytics'!$S$4,d_Type,'Customer Analytics'!$T$4)</f>
        <v>1</v>
      </c>
      <c r="D272" s="99" t="n">
        <f aca="false">SUMIFS(d_Net,d_Cust,A272,d_Status,"Delivered",d_Year,'Customer Analytics'!$P$4,d_City,'Customer Analytics'!$Q$4,d_Cuisine,'Customer Analytics'!$R$4,d_Pay,'Customer Analytics'!$S$4,d_Type,'Customer Analytics'!$T$4)</f>
        <v>221</v>
      </c>
      <c r="E272" s="100" t="n">
        <f aca="false">IFERROR(AVERAGEIFS(d_CRating,d_Cust,A272,d_Year,'Customer Analytics'!$P$4,d_City,'Customer Analytics'!$Q$4,d_Cuisine,'Customer Analytics'!$R$4,d_Pay,'Customer Analytics'!$S$4,d_Type,'Customer Analytics'!$T$4),0)</f>
        <v>4</v>
      </c>
      <c r="F272" s="98" t="n">
        <f aca="false">D272+ROW()/1000000</f>
        <v>221.000272</v>
      </c>
      <c r="G272" s="98" t="n">
        <f aca="false">RANK(F272,$F$2:$F$351)</f>
        <v>342</v>
      </c>
    </row>
    <row r="273" customFormat="false" ht="15" hidden="false" customHeight="false" outlineLevel="0" collapsed="false">
      <c r="A273" s="98" t="s">
        <v>611</v>
      </c>
      <c r="B273" s="98" t="n">
        <f aca="false">COUNTIFS(d_Cust,A273,d_Year,'Customer Analytics'!$P$4,d_City,'Customer Analytics'!$Q$4,d_Cuisine,'Customer Analytics'!$R$4,d_Pay,'Customer Analytics'!$S$4,d_Type,'Customer Analytics'!$T$4)</f>
        <v>3</v>
      </c>
      <c r="C273" s="98" t="n">
        <f aca="false">COUNTIFS(d_Cust,A273,d_Status,"Delivered",d_Year,'Customer Analytics'!$P$4,d_City,'Customer Analytics'!$Q$4,d_Cuisine,'Customer Analytics'!$R$4,d_Pay,'Customer Analytics'!$S$4,d_Type,'Customer Analytics'!$T$4)</f>
        <v>2</v>
      </c>
      <c r="D273" s="99" t="n">
        <f aca="false">SUMIFS(d_Net,d_Cust,A273,d_Status,"Delivered",d_Year,'Customer Analytics'!$P$4,d_City,'Customer Analytics'!$Q$4,d_Cuisine,'Customer Analytics'!$R$4,d_Pay,'Customer Analytics'!$S$4,d_Type,'Customer Analytics'!$T$4)</f>
        <v>898</v>
      </c>
      <c r="E273" s="100" t="n">
        <f aca="false">IFERROR(AVERAGEIFS(d_CRating,d_Cust,A273,d_Year,'Customer Analytics'!$P$4,d_City,'Customer Analytics'!$Q$4,d_Cuisine,'Customer Analytics'!$R$4,d_Pay,'Customer Analytics'!$S$4,d_Type,'Customer Analytics'!$T$4),0)</f>
        <v>2.66666666666667</v>
      </c>
      <c r="F273" s="98" t="n">
        <f aca="false">D273+ROW()/1000000</f>
        <v>898.000273</v>
      </c>
      <c r="G273" s="98" t="n">
        <f aca="false">RANK(F273,$F$2:$F$351)</f>
        <v>290</v>
      </c>
    </row>
    <row r="274" customFormat="false" ht="15" hidden="false" customHeight="false" outlineLevel="0" collapsed="false">
      <c r="A274" s="98" t="s">
        <v>612</v>
      </c>
      <c r="B274" s="98" t="n">
        <f aca="false">COUNTIFS(d_Cust,A274,d_Year,'Customer Analytics'!$P$4,d_City,'Customer Analytics'!$Q$4,d_Cuisine,'Customer Analytics'!$R$4,d_Pay,'Customer Analytics'!$S$4,d_Type,'Customer Analytics'!$T$4)</f>
        <v>3</v>
      </c>
      <c r="C274" s="98" t="n">
        <f aca="false">COUNTIFS(d_Cust,A274,d_Status,"Delivered",d_Year,'Customer Analytics'!$P$4,d_City,'Customer Analytics'!$Q$4,d_Cuisine,'Customer Analytics'!$R$4,d_Pay,'Customer Analytics'!$S$4,d_Type,'Customer Analytics'!$T$4)</f>
        <v>2</v>
      </c>
      <c r="D274" s="99" t="n">
        <f aca="false">SUMIFS(d_Net,d_Cust,A274,d_Status,"Delivered",d_Year,'Customer Analytics'!$P$4,d_City,'Customer Analytics'!$Q$4,d_Cuisine,'Customer Analytics'!$R$4,d_Pay,'Customer Analytics'!$S$4,d_Type,'Customer Analytics'!$T$4)</f>
        <v>1357</v>
      </c>
      <c r="E274" s="100" t="n">
        <f aca="false">IFERROR(AVERAGEIFS(d_CRating,d_Cust,A274,d_Year,'Customer Analytics'!$P$4,d_City,'Customer Analytics'!$Q$4,d_Cuisine,'Customer Analytics'!$R$4,d_Pay,'Customer Analytics'!$S$4,d_Type,'Customer Analytics'!$T$4),0)</f>
        <v>4</v>
      </c>
      <c r="F274" s="98" t="n">
        <f aca="false">D274+ROW()/1000000</f>
        <v>1357.000274</v>
      </c>
      <c r="G274" s="98" t="n">
        <f aca="false">RANK(F274,$F$2:$F$351)</f>
        <v>254</v>
      </c>
    </row>
    <row r="275" customFormat="false" ht="15" hidden="false" customHeight="false" outlineLevel="0" collapsed="false">
      <c r="A275" s="98" t="s">
        <v>613</v>
      </c>
      <c r="B275" s="98" t="n">
        <f aca="false">COUNTIFS(d_Cust,A275,d_Year,'Customer Analytics'!$P$4,d_City,'Customer Analytics'!$Q$4,d_Cuisine,'Customer Analytics'!$R$4,d_Pay,'Customer Analytics'!$S$4,d_Type,'Customer Analytics'!$T$4)</f>
        <v>3</v>
      </c>
      <c r="C275" s="98" t="n">
        <f aca="false">COUNTIFS(d_Cust,A275,d_Status,"Delivered",d_Year,'Customer Analytics'!$P$4,d_City,'Customer Analytics'!$Q$4,d_Cuisine,'Customer Analytics'!$R$4,d_Pay,'Customer Analytics'!$S$4,d_Type,'Customer Analytics'!$T$4)</f>
        <v>2</v>
      </c>
      <c r="D275" s="99" t="n">
        <f aca="false">SUMIFS(d_Net,d_Cust,A275,d_Status,"Delivered",d_Year,'Customer Analytics'!$P$4,d_City,'Customer Analytics'!$Q$4,d_Cuisine,'Customer Analytics'!$R$4,d_Pay,'Customer Analytics'!$S$4,d_Type,'Customer Analytics'!$T$4)</f>
        <v>2848</v>
      </c>
      <c r="E275" s="100" t="n">
        <f aca="false">IFERROR(AVERAGEIFS(d_CRating,d_Cust,A275,d_Year,'Customer Analytics'!$P$4,d_City,'Customer Analytics'!$Q$4,d_Cuisine,'Customer Analytics'!$R$4,d_Pay,'Customer Analytics'!$S$4,d_Type,'Customer Analytics'!$T$4),0)</f>
        <v>4</v>
      </c>
      <c r="F275" s="98" t="n">
        <f aca="false">D275+ROW()/1000000</f>
        <v>2848.000275</v>
      </c>
      <c r="G275" s="98" t="n">
        <f aca="false">RANK(F275,$F$2:$F$351)</f>
        <v>74</v>
      </c>
    </row>
    <row r="276" customFormat="false" ht="15" hidden="false" customHeight="false" outlineLevel="0" collapsed="false">
      <c r="A276" s="98" t="s">
        <v>614</v>
      </c>
      <c r="B276" s="98" t="n">
        <f aca="false">COUNTIFS(d_Cust,A276,d_Year,'Customer Analytics'!$P$4,d_City,'Customer Analytics'!$Q$4,d_Cuisine,'Customer Analytics'!$R$4,d_Pay,'Customer Analytics'!$S$4,d_Type,'Customer Analytics'!$T$4)</f>
        <v>3</v>
      </c>
      <c r="C276" s="98" t="n">
        <f aca="false">COUNTIFS(d_Cust,A276,d_Status,"Delivered",d_Year,'Customer Analytics'!$P$4,d_City,'Customer Analytics'!$Q$4,d_Cuisine,'Customer Analytics'!$R$4,d_Pay,'Customer Analytics'!$S$4,d_Type,'Customer Analytics'!$T$4)</f>
        <v>3</v>
      </c>
      <c r="D276" s="99" t="n">
        <f aca="false">SUMIFS(d_Net,d_Cust,A276,d_Status,"Delivered",d_Year,'Customer Analytics'!$P$4,d_City,'Customer Analytics'!$Q$4,d_Cuisine,'Customer Analytics'!$R$4,d_Pay,'Customer Analytics'!$S$4,d_Type,'Customer Analytics'!$T$4)</f>
        <v>2112</v>
      </c>
      <c r="E276" s="100" t="n">
        <f aca="false">IFERROR(AVERAGEIFS(d_CRating,d_Cust,A276,d_Year,'Customer Analytics'!$P$4,d_City,'Customer Analytics'!$Q$4,d_Cuisine,'Customer Analytics'!$R$4,d_Pay,'Customer Analytics'!$S$4,d_Type,'Customer Analytics'!$T$4),0)</f>
        <v>3.66666666666667</v>
      </c>
      <c r="F276" s="98" t="n">
        <f aca="false">D276+ROW()/1000000</f>
        <v>2112.000276</v>
      </c>
      <c r="G276" s="98" t="n">
        <f aca="false">RANK(F276,$F$2:$F$351)</f>
        <v>152</v>
      </c>
    </row>
    <row r="277" customFormat="false" ht="15" hidden="false" customHeight="false" outlineLevel="0" collapsed="false">
      <c r="A277" s="98" t="s">
        <v>615</v>
      </c>
      <c r="B277" s="98" t="n">
        <f aca="false">COUNTIFS(d_Cust,A277,d_Year,'Customer Analytics'!$P$4,d_City,'Customer Analytics'!$Q$4,d_Cuisine,'Customer Analytics'!$R$4,d_Pay,'Customer Analytics'!$S$4,d_Type,'Customer Analytics'!$T$4)</f>
        <v>3</v>
      </c>
      <c r="C277" s="98" t="n">
        <f aca="false">COUNTIFS(d_Cust,A277,d_Status,"Delivered",d_Year,'Customer Analytics'!$P$4,d_City,'Customer Analytics'!$Q$4,d_Cuisine,'Customer Analytics'!$R$4,d_Pay,'Customer Analytics'!$S$4,d_Type,'Customer Analytics'!$T$4)</f>
        <v>3</v>
      </c>
      <c r="D277" s="99" t="n">
        <f aca="false">SUMIFS(d_Net,d_Cust,A277,d_Status,"Delivered",d_Year,'Customer Analytics'!$P$4,d_City,'Customer Analytics'!$Q$4,d_Cuisine,'Customer Analytics'!$R$4,d_Pay,'Customer Analytics'!$S$4,d_Type,'Customer Analytics'!$T$4)</f>
        <v>3629</v>
      </c>
      <c r="E277" s="100" t="n">
        <f aca="false">IFERROR(AVERAGEIFS(d_CRating,d_Cust,A277,d_Year,'Customer Analytics'!$P$4,d_City,'Customer Analytics'!$Q$4,d_Cuisine,'Customer Analytics'!$R$4,d_Pay,'Customer Analytics'!$S$4,d_Type,'Customer Analytics'!$T$4),0)</f>
        <v>4.33333333333333</v>
      </c>
      <c r="F277" s="98" t="n">
        <f aca="false">D277+ROW()/1000000</f>
        <v>3629.000277</v>
      </c>
      <c r="G277" s="98" t="n">
        <f aca="false">RANK(F277,$F$2:$F$351)</f>
        <v>22</v>
      </c>
    </row>
    <row r="278" customFormat="false" ht="15" hidden="false" customHeight="false" outlineLevel="0" collapsed="false">
      <c r="A278" s="98" t="s">
        <v>616</v>
      </c>
      <c r="B278" s="98" t="n">
        <f aca="false">COUNTIFS(d_Cust,A278,d_Year,'Customer Analytics'!$P$4,d_City,'Customer Analytics'!$Q$4,d_Cuisine,'Customer Analytics'!$R$4,d_Pay,'Customer Analytics'!$S$4,d_Type,'Customer Analytics'!$T$4)</f>
        <v>3</v>
      </c>
      <c r="C278" s="98" t="n">
        <f aca="false">COUNTIFS(d_Cust,A278,d_Status,"Delivered",d_Year,'Customer Analytics'!$P$4,d_City,'Customer Analytics'!$Q$4,d_Cuisine,'Customer Analytics'!$R$4,d_Pay,'Customer Analytics'!$S$4,d_Type,'Customer Analytics'!$T$4)</f>
        <v>1</v>
      </c>
      <c r="D278" s="99" t="n">
        <f aca="false">SUMIFS(d_Net,d_Cust,A278,d_Status,"Delivered",d_Year,'Customer Analytics'!$P$4,d_City,'Customer Analytics'!$Q$4,d_Cuisine,'Customer Analytics'!$R$4,d_Pay,'Customer Analytics'!$S$4,d_Type,'Customer Analytics'!$T$4)</f>
        <v>743</v>
      </c>
      <c r="E278" s="100" t="n">
        <f aca="false">IFERROR(AVERAGEIFS(d_CRating,d_Cust,A278,d_Year,'Customer Analytics'!$P$4,d_City,'Customer Analytics'!$Q$4,d_Cuisine,'Customer Analytics'!$R$4,d_Pay,'Customer Analytics'!$S$4,d_Type,'Customer Analytics'!$T$4),0)</f>
        <v>3.66666666666667</v>
      </c>
      <c r="F278" s="98" t="n">
        <f aca="false">D278+ROW()/1000000</f>
        <v>743.000278</v>
      </c>
      <c r="G278" s="98" t="n">
        <f aca="false">RANK(F278,$F$2:$F$351)</f>
        <v>309</v>
      </c>
    </row>
    <row r="279" customFormat="false" ht="15" hidden="false" customHeight="false" outlineLevel="0" collapsed="false">
      <c r="A279" s="98" t="s">
        <v>617</v>
      </c>
      <c r="B279" s="98" t="n">
        <f aca="false">COUNTIFS(d_Cust,A279,d_Year,'Customer Analytics'!$P$4,d_City,'Customer Analytics'!$Q$4,d_Cuisine,'Customer Analytics'!$R$4,d_Pay,'Customer Analytics'!$S$4,d_Type,'Customer Analytics'!$T$4)</f>
        <v>3</v>
      </c>
      <c r="C279" s="98" t="n">
        <f aca="false">COUNTIFS(d_Cust,A279,d_Status,"Delivered",d_Year,'Customer Analytics'!$P$4,d_City,'Customer Analytics'!$Q$4,d_Cuisine,'Customer Analytics'!$R$4,d_Pay,'Customer Analytics'!$S$4,d_Type,'Customer Analytics'!$T$4)</f>
        <v>2</v>
      </c>
      <c r="D279" s="99" t="n">
        <f aca="false">SUMIFS(d_Net,d_Cust,A279,d_Status,"Delivered",d_Year,'Customer Analytics'!$P$4,d_City,'Customer Analytics'!$Q$4,d_Cuisine,'Customer Analytics'!$R$4,d_Pay,'Customer Analytics'!$S$4,d_Type,'Customer Analytics'!$T$4)</f>
        <v>2114</v>
      </c>
      <c r="E279" s="100" t="n">
        <f aca="false">IFERROR(AVERAGEIFS(d_CRating,d_Cust,A279,d_Year,'Customer Analytics'!$P$4,d_City,'Customer Analytics'!$Q$4,d_Cuisine,'Customer Analytics'!$R$4,d_Pay,'Customer Analytics'!$S$4,d_Type,'Customer Analytics'!$T$4),0)</f>
        <v>3.33333333333333</v>
      </c>
      <c r="F279" s="98" t="n">
        <f aca="false">D279+ROW()/1000000</f>
        <v>2114.000279</v>
      </c>
      <c r="G279" s="98" t="n">
        <f aca="false">RANK(F279,$F$2:$F$351)</f>
        <v>151</v>
      </c>
    </row>
    <row r="280" customFormat="false" ht="15" hidden="false" customHeight="false" outlineLevel="0" collapsed="false">
      <c r="A280" s="98" t="s">
        <v>618</v>
      </c>
      <c r="B280" s="98" t="n">
        <f aca="false">COUNTIFS(d_Cust,A280,d_Year,'Customer Analytics'!$P$4,d_City,'Customer Analytics'!$Q$4,d_Cuisine,'Customer Analytics'!$R$4,d_Pay,'Customer Analytics'!$S$4,d_Type,'Customer Analytics'!$T$4)</f>
        <v>3</v>
      </c>
      <c r="C280" s="98" t="n">
        <f aca="false">COUNTIFS(d_Cust,A280,d_Status,"Delivered",d_Year,'Customer Analytics'!$P$4,d_City,'Customer Analytics'!$Q$4,d_Cuisine,'Customer Analytics'!$R$4,d_Pay,'Customer Analytics'!$S$4,d_Type,'Customer Analytics'!$T$4)</f>
        <v>3</v>
      </c>
      <c r="D280" s="99" t="n">
        <f aca="false">SUMIFS(d_Net,d_Cust,A280,d_Status,"Delivered",d_Year,'Customer Analytics'!$P$4,d_City,'Customer Analytics'!$Q$4,d_Cuisine,'Customer Analytics'!$R$4,d_Pay,'Customer Analytics'!$S$4,d_Type,'Customer Analytics'!$T$4)</f>
        <v>3158</v>
      </c>
      <c r="E280" s="100" t="n">
        <f aca="false">IFERROR(AVERAGEIFS(d_CRating,d_Cust,A280,d_Year,'Customer Analytics'!$P$4,d_City,'Customer Analytics'!$Q$4,d_Cuisine,'Customer Analytics'!$R$4,d_Pay,'Customer Analytics'!$S$4,d_Type,'Customer Analytics'!$T$4),0)</f>
        <v>3.66666666666667</v>
      </c>
      <c r="F280" s="98" t="n">
        <f aca="false">D280+ROW()/1000000</f>
        <v>3158.00028</v>
      </c>
      <c r="G280" s="98" t="n">
        <f aca="false">RANK(F280,$F$2:$F$351)</f>
        <v>49</v>
      </c>
    </row>
    <row r="281" customFormat="false" ht="15" hidden="false" customHeight="false" outlineLevel="0" collapsed="false">
      <c r="A281" s="98" t="s">
        <v>619</v>
      </c>
      <c r="B281" s="98" t="n">
        <f aca="false">COUNTIFS(d_Cust,A281,d_Year,'Customer Analytics'!$P$4,d_City,'Customer Analytics'!$Q$4,d_Cuisine,'Customer Analytics'!$R$4,d_Pay,'Customer Analytics'!$S$4,d_Type,'Customer Analytics'!$T$4)</f>
        <v>3</v>
      </c>
      <c r="C281" s="98" t="n">
        <f aca="false">COUNTIFS(d_Cust,A281,d_Status,"Delivered",d_Year,'Customer Analytics'!$P$4,d_City,'Customer Analytics'!$Q$4,d_Cuisine,'Customer Analytics'!$R$4,d_Pay,'Customer Analytics'!$S$4,d_Type,'Customer Analytics'!$T$4)</f>
        <v>2</v>
      </c>
      <c r="D281" s="99" t="n">
        <f aca="false">SUMIFS(d_Net,d_Cust,A281,d_Status,"Delivered",d_Year,'Customer Analytics'!$P$4,d_City,'Customer Analytics'!$Q$4,d_Cuisine,'Customer Analytics'!$R$4,d_Pay,'Customer Analytics'!$S$4,d_Type,'Customer Analytics'!$T$4)</f>
        <v>2037</v>
      </c>
      <c r="E281" s="100" t="n">
        <f aca="false">IFERROR(AVERAGEIFS(d_CRating,d_Cust,A281,d_Year,'Customer Analytics'!$P$4,d_City,'Customer Analytics'!$Q$4,d_Cuisine,'Customer Analytics'!$R$4,d_Pay,'Customer Analytics'!$S$4,d_Type,'Customer Analytics'!$T$4),0)</f>
        <v>5</v>
      </c>
      <c r="F281" s="98" t="n">
        <f aca="false">D281+ROW()/1000000</f>
        <v>2037.000281</v>
      </c>
      <c r="G281" s="98" t="n">
        <f aca="false">RANK(F281,$F$2:$F$351)</f>
        <v>162</v>
      </c>
    </row>
    <row r="282" customFormat="false" ht="15" hidden="false" customHeight="false" outlineLevel="0" collapsed="false">
      <c r="A282" s="98" t="s">
        <v>620</v>
      </c>
      <c r="B282" s="98" t="n">
        <f aca="false">COUNTIFS(d_Cust,A282,d_Year,'Customer Analytics'!$P$4,d_City,'Customer Analytics'!$Q$4,d_Cuisine,'Customer Analytics'!$R$4,d_Pay,'Customer Analytics'!$S$4,d_Type,'Customer Analytics'!$T$4)</f>
        <v>3</v>
      </c>
      <c r="C282" s="98" t="n">
        <f aca="false">COUNTIFS(d_Cust,A282,d_Status,"Delivered",d_Year,'Customer Analytics'!$P$4,d_City,'Customer Analytics'!$Q$4,d_Cuisine,'Customer Analytics'!$R$4,d_Pay,'Customer Analytics'!$S$4,d_Type,'Customer Analytics'!$T$4)</f>
        <v>2</v>
      </c>
      <c r="D282" s="99" t="n">
        <f aca="false">SUMIFS(d_Net,d_Cust,A282,d_Status,"Delivered",d_Year,'Customer Analytics'!$P$4,d_City,'Customer Analytics'!$Q$4,d_Cuisine,'Customer Analytics'!$R$4,d_Pay,'Customer Analytics'!$S$4,d_Type,'Customer Analytics'!$T$4)</f>
        <v>2181</v>
      </c>
      <c r="E282" s="100" t="n">
        <f aca="false">IFERROR(AVERAGEIFS(d_CRating,d_Cust,A282,d_Year,'Customer Analytics'!$P$4,d_City,'Customer Analytics'!$Q$4,d_Cuisine,'Customer Analytics'!$R$4,d_Pay,'Customer Analytics'!$S$4,d_Type,'Customer Analytics'!$T$4),0)</f>
        <v>4.33333333333333</v>
      </c>
      <c r="F282" s="98" t="n">
        <f aca="false">D282+ROW()/1000000</f>
        <v>2181.000282</v>
      </c>
      <c r="G282" s="98" t="n">
        <f aca="false">RANK(F282,$F$2:$F$351)</f>
        <v>144</v>
      </c>
    </row>
    <row r="283" customFormat="false" ht="15" hidden="false" customHeight="false" outlineLevel="0" collapsed="false">
      <c r="A283" s="98" t="s">
        <v>621</v>
      </c>
      <c r="B283" s="98" t="n">
        <f aca="false">COUNTIFS(d_Cust,A283,d_Year,'Customer Analytics'!$P$4,d_City,'Customer Analytics'!$Q$4,d_Cuisine,'Customer Analytics'!$R$4,d_Pay,'Customer Analytics'!$S$4,d_Type,'Customer Analytics'!$T$4)</f>
        <v>3</v>
      </c>
      <c r="C283" s="98" t="n">
        <f aca="false">COUNTIFS(d_Cust,A283,d_Status,"Delivered",d_Year,'Customer Analytics'!$P$4,d_City,'Customer Analytics'!$Q$4,d_Cuisine,'Customer Analytics'!$R$4,d_Pay,'Customer Analytics'!$S$4,d_Type,'Customer Analytics'!$T$4)</f>
        <v>1</v>
      </c>
      <c r="D283" s="99" t="n">
        <f aca="false">SUMIFS(d_Net,d_Cust,A283,d_Status,"Delivered",d_Year,'Customer Analytics'!$P$4,d_City,'Customer Analytics'!$Q$4,d_Cuisine,'Customer Analytics'!$R$4,d_Pay,'Customer Analytics'!$S$4,d_Type,'Customer Analytics'!$T$4)</f>
        <v>1216</v>
      </c>
      <c r="E283" s="100" t="n">
        <f aca="false">IFERROR(AVERAGEIFS(d_CRating,d_Cust,A283,d_Year,'Customer Analytics'!$P$4,d_City,'Customer Analytics'!$Q$4,d_Cuisine,'Customer Analytics'!$R$4,d_Pay,'Customer Analytics'!$S$4,d_Type,'Customer Analytics'!$T$4),0)</f>
        <v>3.66666666666667</v>
      </c>
      <c r="F283" s="98" t="n">
        <f aca="false">D283+ROW()/1000000</f>
        <v>1216.000283</v>
      </c>
      <c r="G283" s="98" t="n">
        <f aca="false">RANK(F283,$F$2:$F$351)</f>
        <v>268</v>
      </c>
    </row>
    <row r="284" customFormat="false" ht="15" hidden="false" customHeight="false" outlineLevel="0" collapsed="false">
      <c r="A284" s="98" t="s">
        <v>622</v>
      </c>
      <c r="B284" s="98" t="n">
        <f aca="false">COUNTIFS(d_Cust,A284,d_Year,'Customer Analytics'!$P$4,d_City,'Customer Analytics'!$Q$4,d_Cuisine,'Customer Analytics'!$R$4,d_Pay,'Customer Analytics'!$S$4,d_Type,'Customer Analytics'!$T$4)</f>
        <v>3</v>
      </c>
      <c r="C284" s="98" t="n">
        <f aca="false">COUNTIFS(d_Cust,A284,d_Status,"Delivered",d_Year,'Customer Analytics'!$P$4,d_City,'Customer Analytics'!$Q$4,d_Cuisine,'Customer Analytics'!$R$4,d_Pay,'Customer Analytics'!$S$4,d_Type,'Customer Analytics'!$T$4)</f>
        <v>2</v>
      </c>
      <c r="D284" s="99" t="n">
        <f aca="false">SUMIFS(d_Net,d_Cust,A284,d_Status,"Delivered",d_Year,'Customer Analytics'!$P$4,d_City,'Customer Analytics'!$Q$4,d_Cuisine,'Customer Analytics'!$R$4,d_Pay,'Customer Analytics'!$S$4,d_Type,'Customer Analytics'!$T$4)</f>
        <v>1596</v>
      </c>
      <c r="E284" s="100" t="n">
        <f aca="false">IFERROR(AVERAGEIFS(d_CRating,d_Cust,A284,d_Year,'Customer Analytics'!$P$4,d_City,'Customer Analytics'!$Q$4,d_Cuisine,'Customer Analytics'!$R$4,d_Pay,'Customer Analytics'!$S$4,d_Type,'Customer Analytics'!$T$4),0)</f>
        <v>4.33333333333333</v>
      </c>
      <c r="F284" s="98" t="n">
        <f aca="false">D284+ROW()/1000000</f>
        <v>1596.000284</v>
      </c>
      <c r="G284" s="98" t="n">
        <f aca="false">RANK(F284,$F$2:$F$351)</f>
        <v>221</v>
      </c>
    </row>
    <row r="285" customFormat="false" ht="15" hidden="false" customHeight="false" outlineLevel="0" collapsed="false">
      <c r="A285" s="98" t="s">
        <v>623</v>
      </c>
      <c r="B285" s="98" t="n">
        <f aca="false">COUNTIFS(d_Cust,A285,d_Year,'Customer Analytics'!$P$4,d_City,'Customer Analytics'!$Q$4,d_Cuisine,'Customer Analytics'!$R$4,d_Pay,'Customer Analytics'!$S$4,d_Type,'Customer Analytics'!$T$4)</f>
        <v>3</v>
      </c>
      <c r="C285" s="98" t="n">
        <f aca="false">COUNTIFS(d_Cust,A285,d_Status,"Delivered",d_Year,'Customer Analytics'!$P$4,d_City,'Customer Analytics'!$Q$4,d_Cuisine,'Customer Analytics'!$R$4,d_Pay,'Customer Analytics'!$S$4,d_Type,'Customer Analytics'!$T$4)</f>
        <v>3</v>
      </c>
      <c r="D285" s="99" t="n">
        <f aca="false">SUMIFS(d_Net,d_Cust,A285,d_Status,"Delivered",d_Year,'Customer Analytics'!$P$4,d_City,'Customer Analytics'!$Q$4,d_Cuisine,'Customer Analytics'!$R$4,d_Pay,'Customer Analytics'!$S$4,d_Type,'Customer Analytics'!$T$4)</f>
        <v>3424</v>
      </c>
      <c r="E285" s="100" t="n">
        <f aca="false">IFERROR(AVERAGEIFS(d_CRating,d_Cust,A285,d_Year,'Customer Analytics'!$P$4,d_City,'Customer Analytics'!$Q$4,d_Cuisine,'Customer Analytics'!$R$4,d_Pay,'Customer Analytics'!$S$4,d_Type,'Customer Analytics'!$T$4),0)</f>
        <v>3.66666666666667</v>
      </c>
      <c r="F285" s="98" t="n">
        <f aca="false">D285+ROW()/1000000</f>
        <v>3424.000285</v>
      </c>
      <c r="G285" s="98" t="n">
        <f aca="false">RANK(F285,$F$2:$F$351)</f>
        <v>37</v>
      </c>
    </row>
    <row r="286" customFormat="false" ht="15" hidden="false" customHeight="false" outlineLevel="0" collapsed="false">
      <c r="A286" s="98" t="s">
        <v>624</v>
      </c>
      <c r="B286" s="98" t="n">
        <f aca="false">COUNTIFS(d_Cust,A286,d_Year,'Customer Analytics'!$P$4,d_City,'Customer Analytics'!$Q$4,d_Cuisine,'Customer Analytics'!$R$4,d_Pay,'Customer Analytics'!$S$4,d_Type,'Customer Analytics'!$T$4)</f>
        <v>3</v>
      </c>
      <c r="C286" s="98" t="n">
        <f aca="false">COUNTIFS(d_Cust,A286,d_Status,"Delivered",d_Year,'Customer Analytics'!$P$4,d_City,'Customer Analytics'!$Q$4,d_Cuisine,'Customer Analytics'!$R$4,d_Pay,'Customer Analytics'!$S$4,d_Type,'Customer Analytics'!$T$4)</f>
        <v>2</v>
      </c>
      <c r="D286" s="99" t="n">
        <f aca="false">SUMIFS(d_Net,d_Cust,A286,d_Status,"Delivered",d_Year,'Customer Analytics'!$P$4,d_City,'Customer Analytics'!$Q$4,d_Cuisine,'Customer Analytics'!$R$4,d_Pay,'Customer Analytics'!$S$4,d_Type,'Customer Analytics'!$T$4)</f>
        <v>1690</v>
      </c>
      <c r="E286" s="100" t="n">
        <f aca="false">IFERROR(AVERAGEIFS(d_CRating,d_Cust,A286,d_Year,'Customer Analytics'!$P$4,d_City,'Customer Analytics'!$Q$4,d_Cuisine,'Customer Analytics'!$R$4,d_Pay,'Customer Analytics'!$S$4,d_Type,'Customer Analytics'!$T$4),0)</f>
        <v>4</v>
      </c>
      <c r="F286" s="98" t="n">
        <f aca="false">D286+ROW()/1000000</f>
        <v>1690.000286</v>
      </c>
      <c r="G286" s="98" t="n">
        <f aca="false">RANK(F286,$F$2:$F$351)</f>
        <v>207</v>
      </c>
    </row>
    <row r="287" customFormat="false" ht="15" hidden="false" customHeight="false" outlineLevel="0" collapsed="false">
      <c r="A287" s="98" t="s">
        <v>625</v>
      </c>
      <c r="B287" s="98" t="n">
        <f aca="false">COUNTIFS(d_Cust,A287,d_Year,'Customer Analytics'!$P$4,d_City,'Customer Analytics'!$Q$4,d_Cuisine,'Customer Analytics'!$R$4,d_Pay,'Customer Analytics'!$S$4,d_Type,'Customer Analytics'!$T$4)</f>
        <v>3</v>
      </c>
      <c r="C287" s="98" t="n">
        <f aca="false">COUNTIFS(d_Cust,A287,d_Status,"Delivered",d_Year,'Customer Analytics'!$P$4,d_City,'Customer Analytics'!$Q$4,d_Cuisine,'Customer Analytics'!$R$4,d_Pay,'Customer Analytics'!$S$4,d_Type,'Customer Analytics'!$T$4)</f>
        <v>1</v>
      </c>
      <c r="D287" s="99" t="n">
        <f aca="false">SUMIFS(d_Net,d_Cust,A287,d_Status,"Delivered",d_Year,'Customer Analytics'!$P$4,d_City,'Customer Analytics'!$Q$4,d_Cuisine,'Customer Analytics'!$R$4,d_Pay,'Customer Analytics'!$S$4,d_Type,'Customer Analytics'!$T$4)</f>
        <v>768</v>
      </c>
      <c r="E287" s="100" t="n">
        <f aca="false">IFERROR(AVERAGEIFS(d_CRating,d_Cust,A287,d_Year,'Customer Analytics'!$P$4,d_City,'Customer Analytics'!$Q$4,d_Cuisine,'Customer Analytics'!$R$4,d_Pay,'Customer Analytics'!$S$4,d_Type,'Customer Analytics'!$T$4),0)</f>
        <v>3.33333333333333</v>
      </c>
      <c r="F287" s="98" t="n">
        <f aca="false">D287+ROW()/1000000</f>
        <v>768.000287</v>
      </c>
      <c r="G287" s="98" t="n">
        <f aca="false">RANK(F287,$F$2:$F$351)</f>
        <v>307</v>
      </c>
    </row>
    <row r="288" customFormat="false" ht="15" hidden="false" customHeight="false" outlineLevel="0" collapsed="false">
      <c r="A288" s="98" t="s">
        <v>626</v>
      </c>
      <c r="B288" s="98" t="n">
        <f aca="false">COUNTIFS(d_Cust,A288,d_Year,'Customer Analytics'!$P$4,d_City,'Customer Analytics'!$Q$4,d_Cuisine,'Customer Analytics'!$R$4,d_Pay,'Customer Analytics'!$S$4,d_Type,'Customer Analytics'!$T$4)</f>
        <v>3</v>
      </c>
      <c r="C288" s="98" t="n">
        <f aca="false">COUNTIFS(d_Cust,A288,d_Status,"Delivered",d_Year,'Customer Analytics'!$P$4,d_City,'Customer Analytics'!$Q$4,d_Cuisine,'Customer Analytics'!$R$4,d_Pay,'Customer Analytics'!$S$4,d_Type,'Customer Analytics'!$T$4)</f>
        <v>3</v>
      </c>
      <c r="D288" s="99" t="n">
        <f aca="false">SUMIFS(d_Net,d_Cust,A288,d_Status,"Delivered",d_Year,'Customer Analytics'!$P$4,d_City,'Customer Analytics'!$Q$4,d_Cuisine,'Customer Analytics'!$R$4,d_Pay,'Customer Analytics'!$S$4,d_Type,'Customer Analytics'!$T$4)</f>
        <v>2941</v>
      </c>
      <c r="E288" s="100" t="n">
        <f aca="false">IFERROR(AVERAGEIFS(d_CRating,d_Cust,A288,d_Year,'Customer Analytics'!$P$4,d_City,'Customer Analytics'!$Q$4,d_Cuisine,'Customer Analytics'!$R$4,d_Pay,'Customer Analytics'!$S$4,d_Type,'Customer Analytics'!$T$4),0)</f>
        <v>4.33333333333333</v>
      </c>
      <c r="F288" s="98" t="n">
        <f aca="false">D288+ROW()/1000000</f>
        <v>2941.000288</v>
      </c>
      <c r="G288" s="98" t="n">
        <f aca="false">RANK(F288,$F$2:$F$351)</f>
        <v>65</v>
      </c>
    </row>
    <row r="289" customFormat="false" ht="15" hidden="false" customHeight="false" outlineLevel="0" collapsed="false">
      <c r="A289" s="98" t="s">
        <v>627</v>
      </c>
      <c r="B289" s="98" t="n">
        <f aca="false">COUNTIFS(d_Cust,A289,d_Year,'Customer Analytics'!$P$4,d_City,'Customer Analytics'!$Q$4,d_Cuisine,'Customer Analytics'!$R$4,d_Pay,'Customer Analytics'!$S$4,d_Type,'Customer Analytics'!$T$4)</f>
        <v>3</v>
      </c>
      <c r="C289" s="98" t="n">
        <f aca="false">COUNTIFS(d_Cust,A289,d_Status,"Delivered",d_Year,'Customer Analytics'!$P$4,d_City,'Customer Analytics'!$Q$4,d_Cuisine,'Customer Analytics'!$R$4,d_Pay,'Customer Analytics'!$S$4,d_Type,'Customer Analytics'!$T$4)</f>
        <v>1</v>
      </c>
      <c r="D289" s="99" t="n">
        <f aca="false">SUMIFS(d_Net,d_Cust,A289,d_Status,"Delivered",d_Year,'Customer Analytics'!$P$4,d_City,'Customer Analytics'!$Q$4,d_Cuisine,'Customer Analytics'!$R$4,d_Pay,'Customer Analytics'!$S$4,d_Type,'Customer Analytics'!$T$4)</f>
        <v>1628</v>
      </c>
      <c r="E289" s="100" t="n">
        <f aca="false">IFERROR(AVERAGEIFS(d_CRating,d_Cust,A289,d_Year,'Customer Analytics'!$P$4,d_City,'Customer Analytics'!$Q$4,d_Cuisine,'Customer Analytics'!$R$4,d_Pay,'Customer Analytics'!$S$4,d_Type,'Customer Analytics'!$T$4),0)</f>
        <v>3.66666666666667</v>
      </c>
      <c r="F289" s="98" t="n">
        <f aca="false">D289+ROW()/1000000</f>
        <v>1628.000289</v>
      </c>
      <c r="G289" s="98" t="n">
        <f aca="false">RANK(F289,$F$2:$F$351)</f>
        <v>217</v>
      </c>
    </row>
    <row r="290" customFormat="false" ht="15" hidden="false" customHeight="false" outlineLevel="0" collapsed="false">
      <c r="A290" s="98" t="s">
        <v>628</v>
      </c>
      <c r="B290" s="98" t="n">
        <f aca="false">COUNTIFS(d_Cust,A290,d_Year,'Customer Analytics'!$P$4,d_City,'Customer Analytics'!$Q$4,d_Cuisine,'Customer Analytics'!$R$4,d_Pay,'Customer Analytics'!$S$4,d_Type,'Customer Analytics'!$T$4)</f>
        <v>3</v>
      </c>
      <c r="C290" s="98" t="n">
        <f aca="false">COUNTIFS(d_Cust,A290,d_Status,"Delivered",d_Year,'Customer Analytics'!$P$4,d_City,'Customer Analytics'!$Q$4,d_Cuisine,'Customer Analytics'!$R$4,d_Pay,'Customer Analytics'!$S$4,d_Type,'Customer Analytics'!$T$4)</f>
        <v>1</v>
      </c>
      <c r="D290" s="99" t="n">
        <f aca="false">SUMIFS(d_Net,d_Cust,A290,d_Status,"Delivered",d_Year,'Customer Analytics'!$P$4,d_City,'Customer Analytics'!$Q$4,d_Cuisine,'Customer Analytics'!$R$4,d_Pay,'Customer Analytics'!$S$4,d_Type,'Customer Analytics'!$T$4)</f>
        <v>1563</v>
      </c>
      <c r="E290" s="100" t="n">
        <f aca="false">IFERROR(AVERAGEIFS(d_CRating,d_Cust,A290,d_Year,'Customer Analytics'!$P$4,d_City,'Customer Analytics'!$Q$4,d_Cuisine,'Customer Analytics'!$R$4,d_Pay,'Customer Analytics'!$S$4,d_Type,'Customer Analytics'!$T$4),0)</f>
        <v>3</v>
      </c>
      <c r="F290" s="98" t="n">
        <f aca="false">D290+ROW()/1000000</f>
        <v>1563.00029</v>
      </c>
      <c r="G290" s="98" t="n">
        <f aca="false">RANK(F290,$F$2:$F$351)</f>
        <v>227</v>
      </c>
    </row>
    <row r="291" customFormat="false" ht="15" hidden="false" customHeight="false" outlineLevel="0" collapsed="false">
      <c r="A291" s="98" t="s">
        <v>629</v>
      </c>
      <c r="B291" s="98" t="n">
        <f aca="false">COUNTIFS(d_Cust,A291,d_Year,'Customer Analytics'!$P$4,d_City,'Customer Analytics'!$Q$4,d_Cuisine,'Customer Analytics'!$R$4,d_Pay,'Customer Analytics'!$S$4,d_Type,'Customer Analytics'!$T$4)</f>
        <v>3</v>
      </c>
      <c r="C291" s="98" t="n">
        <f aca="false">COUNTIFS(d_Cust,A291,d_Status,"Delivered",d_Year,'Customer Analytics'!$P$4,d_City,'Customer Analytics'!$Q$4,d_Cuisine,'Customer Analytics'!$R$4,d_Pay,'Customer Analytics'!$S$4,d_Type,'Customer Analytics'!$T$4)</f>
        <v>2</v>
      </c>
      <c r="D291" s="99" t="n">
        <f aca="false">SUMIFS(d_Net,d_Cust,A291,d_Status,"Delivered",d_Year,'Customer Analytics'!$P$4,d_City,'Customer Analytics'!$Q$4,d_Cuisine,'Customer Analytics'!$R$4,d_Pay,'Customer Analytics'!$S$4,d_Type,'Customer Analytics'!$T$4)</f>
        <v>1267</v>
      </c>
      <c r="E291" s="100" t="n">
        <f aca="false">IFERROR(AVERAGEIFS(d_CRating,d_Cust,A291,d_Year,'Customer Analytics'!$P$4,d_City,'Customer Analytics'!$Q$4,d_Cuisine,'Customer Analytics'!$R$4,d_Pay,'Customer Analytics'!$S$4,d_Type,'Customer Analytics'!$T$4),0)</f>
        <v>4.33333333333333</v>
      </c>
      <c r="F291" s="98" t="n">
        <f aca="false">D291+ROW()/1000000</f>
        <v>1267.000291</v>
      </c>
      <c r="G291" s="98" t="n">
        <f aca="false">RANK(F291,$F$2:$F$351)</f>
        <v>262</v>
      </c>
    </row>
    <row r="292" customFormat="false" ht="15" hidden="false" customHeight="false" outlineLevel="0" collapsed="false">
      <c r="A292" s="98" t="s">
        <v>630</v>
      </c>
      <c r="B292" s="98" t="n">
        <f aca="false">COUNTIFS(d_Cust,A292,d_Year,'Customer Analytics'!$P$4,d_City,'Customer Analytics'!$Q$4,d_Cuisine,'Customer Analytics'!$R$4,d_Pay,'Customer Analytics'!$S$4,d_Type,'Customer Analytics'!$T$4)</f>
        <v>3</v>
      </c>
      <c r="C292" s="98" t="n">
        <f aca="false">COUNTIFS(d_Cust,A292,d_Status,"Delivered",d_Year,'Customer Analytics'!$P$4,d_City,'Customer Analytics'!$Q$4,d_Cuisine,'Customer Analytics'!$R$4,d_Pay,'Customer Analytics'!$S$4,d_Type,'Customer Analytics'!$T$4)</f>
        <v>2</v>
      </c>
      <c r="D292" s="99" t="n">
        <f aca="false">SUMIFS(d_Net,d_Cust,A292,d_Status,"Delivered",d_Year,'Customer Analytics'!$P$4,d_City,'Customer Analytics'!$Q$4,d_Cuisine,'Customer Analytics'!$R$4,d_Pay,'Customer Analytics'!$S$4,d_Type,'Customer Analytics'!$T$4)</f>
        <v>1270</v>
      </c>
      <c r="E292" s="100" t="n">
        <f aca="false">IFERROR(AVERAGEIFS(d_CRating,d_Cust,A292,d_Year,'Customer Analytics'!$P$4,d_City,'Customer Analytics'!$Q$4,d_Cuisine,'Customer Analytics'!$R$4,d_Pay,'Customer Analytics'!$S$4,d_Type,'Customer Analytics'!$T$4),0)</f>
        <v>3</v>
      </c>
      <c r="F292" s="98" t="n">
        <f aca="false">D292+ROW()/1000000</f>
        <v>1270.000292</v>
      </c>
      <c r="G292" s="98" t="n">
        <f aca="false">RANK(F292,$F$2:$F$351)</f>
        <v>260</v>
      </c>
    </row>
    <row r="293" customFormat="false" ht="15" hidden="false" customHeight="false" outlineLevel="0" collapsed="false">
      <c r="A293" s="98" t="s">
        <v>631</v>
      </c>
      <c r="B293" s="98" t="n">
        <f aca="false">COUNTIFS(d_Cust,A293,d_Year,'Customer Analytics'!$P$4,d_City,'Customer Analytics'!$Q$4,d_Cuisine,'Customer Analytics'!$R$4,d_Pay,'Customer Analytics'!$S$4,d_Type,'Customer Analytics'!$T$4)</f>
        <v>3</v>
      </c>
      <c r="C293" s="98" t="n">
        <f aca="false">COUNTIFS(d_Cust,A293,d_Status,"Delivered",d_Year,'Customer Analytics'!$P$4,d_City,'Customer Analytics'!$Q$4,d_Cuisine,'Customer Analytics'!$R$4,d_Pay,'Customer Analytics'!$S$4,d_Type,'Customer Analytics'!$T$4)</f>
        <v>2</v>
      </c>
      <c r="D293" s="99" t="n">
        <f aca="false">SUMIFS(d_Net,d_Cust,A293,d_Status,"Delivered",d_Year,'Customer Analytics'!$P$4,d_City,'Customer Analytics'!$Q$4,d_Cuisine,'Customer Analytics'!$R$4,d_Pay,'Customer Analytics'!$S$4,d_Type,'Customer Analytics'!$T$4)</f>
        <v>496</v>
      </c>
      <c r="E293" s="100" t="n">
        <f aca="false">IFERROR(AVERAGEIFS(d_CRating,d_Cust,A293,d_Year,'Customer Analytics'!$P$4,d_City,'Customer Analytics'!$Q$4,d_Cuisine,'Customer Analytics'!$R$4,d_Pay,'Customer Analytics'!$S$4,d_Type,'Customer Analytics'!$T$4),0)</f>
        <v>4</v>
      </c>
      <c r="F293" s="98" t="n">
        <f aca="false">D293+ROW()/1000000</f>
        <v>496.000293</v>
      </c>
      <c r="G293" s="98" t="n">
        <f aca="false">RANK(F293,$F$2:$F$351)</f>
        <v>328</v>
      </c>
    </row>
    <row r="294" customFormat="false" ht="15" hidden="false" customHeight="false" outlineLevel="0" collapsed="false">
      <c r="A294" s="98" t="s">
        <v>632</v>
      </c>
      <c r="B294" s="98" t="n">
        <f aca="false">COUNTIFS(d_Cust,A294,d_Year,'Customer Analytics'!$P$4,d_City,'Customer Analytics'!$Q$4,d_Cuisine,'Customer Analytics'!$R$4,d_Pay,'Customer Analytics'!$S$4,d_Type,'Customer Analytics'!$T$4)</f>
        <v>3</v>
      </c>
      <c r="C294" s="98" t="n">
        <f aca="false">COUNTIFS(d_Cust,A294,d_Status,"Delivered",d_Year,'Customer Analytics'!$P$4,d_City,'Customer Analytics'!$Q$4,d_Cuisine,'Customer Analytics'!$R$4,d_Pay,'Customer Analytics'!$S$4,d_Type,'Customer Analytics'!$T$4)</f>
        <v>0</v>
      </c>
      <c r="D294" s="99" t="n">
        <f aca="false">SUMIFS(d_Net,d_Cust,A294,d_Status,"Delivered",d_Year,'Customer Analytics'!$P$4,d_City,'Customer Analytics'!$Q$4,d_Cuisine,'Customer Analytics'!$R$4,d_Pay,'Customer Analytics'!$S$4,d_Type,'Customer Analytics'!$T$4)</f>
        <v>0</v>
      </c>
      <c r="E294" s="100" t="n">
        <f aca="false">IFERROR(AVERAGEIFS(d_CRating,d_Cust,A294,d_Year,'Customer Analytics'!$P$4,d_City,'Customer Analytics'!$Q$4,d_Cuisine,'Customer Analytics'!$R$4,d_Pay,'Customer Analytics'!$S$4,d_Type,'Customer Analytics'!$T$4),0)</f>
        <v>3.66666666666667</v>
      </c>
      <c r="F294" s="98" t="n">
        <f aca="false">D294+ROW()/1000000</f>
        <v>0.000294</v>
      </c>
      <c r="G294" s="98" t="n">
        <f aca="false">RANK(F294,$F$2:$F$351)</f>
        <v>346</v>
      </c>
    </row>
    <row r="295" customFormat="false" ht="15" hidden="false" customHeight="false" outlineLevel="0" collapsed="false">
      <c r="A295" s="98" t="s">
        <v>633</v>
      </c>
      <c r="B295" s="98" t="n">
        <f aca="false">COUNTIFS(d_Cust,A295,d_Year,'Customer Analytics'!$P$4,d_City,'Customer Analytics'!$Q$4,d_Cuisine,'Customer Analytics'!$R$4,d_Pay,'Customer Analytics'!$S$4,d_Type,'Customer Analytics'!$T$4)</f>
        <v>3</v>
      </c>
      <c r="C295" s="98" t="n">
        <f aca="false">COUNTIFS(d_Cust,A295,d_Status,"Delivered",d_Year,'Customer Analytics'!$P$4,d_City,'Customer Analytics'!$Q$4,d_Cuisine,'Customer Analytics'!$R$4,d_Pay,'Customer Analytics'!$S$4,d_Type,'Customer Analytics'!$T$4)</f>
        <v>2</v>
      </c>
      <c r="D295" s="99" t="n">
        <f aca="false">SUMIFS(d_Net,d_Cust,A295,d_Status,"Delivered",d_Year,'Customer Analytics'!$P$4,d_City,'Customer Analytics'!$Q$4,d_Cuisine,'Customer Analytics'!$R$4,d_Pay,'Customer Analytics'!$S$4,d_Type,'Customer Analytics'!$T$4)</f>
        <v>1905</v>
      </c>
      <c r="E295" s="100" t="n">
        <f aca="false">IFERROR(AVERAGEIFS(d_CRating,d_Cust,A295,d_Year,'Customer Analytics'!$P$4,d_City,'Customer Analytics'!$Q$4,d_Cuisine,'Customer Analytics'!$R$4,d_Pay,'Customer Analytics'!$S$4,d_Type,'Customer Analytics'!$T$4),0)</f>
        <v>4.66666666666667</v>
      </c>
      <c r="F295" s="98" t="n">
        <f aca="false">D295+ROW()/1000000</f>
        <v>1905.000295</v>
      </c>
      <c r="G295" s="98" t="n">
        <f aca="false">RANK(F295,$F$2:$F$351)</f>
        <v>176</v>
      </c>
    </row>
    <row r="296" customFormat="false" ht="15" hidden="false" customHeight="false" outlineLevel="0" collapsed="false">
      <c r="A296" s="98" t="s">
        <v>634</v>
      </c>
      <c r="B296" s="98" t="n">
        <f aca="false">COUNTIFS(d_Cust,A296,d_Year,'Customer Analytics'!$P$4,d_City,'Customer Analytics'!$Q$4,d_Cuisine,'Customer Analytics'!$R$4,d_Pay,'Customer Analytics'!$S$4,d_Type,'Customer Analytics'!$T$4)</f>
        <v>3</v>
      </c>
      <c r="C296" s="98" t="n">
        <f aca="false">COUNTIFS(d_Cust,A296,d_Status,"Delivered",d_Year,'Customer Analytics'!$P$4,d_City,'Customer Analytics'!$Q$4,d_Cuisine,'Customer Analytics'!$R$4,d_Pay,'Customer Analytics'!$S$4,d_Type,'Customer Analytics'!$T$4)</f>
        <v>3</v>
      </c>
      <c r="D296" s="99" t="n">
        <f aca="false">SUMIFS(d_Net,d_Cust,A296,d_Status,"Delivered",d_Year,'Customer Analytics'!$P$4,d_City,'Customer Analytics'!$Q$4,d_Cuisine,'Customer Analytics'!$R$4,d_Pay,'Customer Analytics'!$S$4,d_Type,'Customer Analytics'!$T$4)</f>
        <v>2273</v>
      </c>
      <c r="E296" s="100" t="n">
        <f aca="false">IFERROR(AVERAGEIFS(d_CRating,d_Cust,A296,d_Year,'Customer Analytics'!$P$4,d_City,'Customer Analytics'!$Q$4,d_Cuisine,'Customer Analytics'!$R$4,d_Pay,'Customer Analytics'!$S$4,d_Type,'Customer Analytics'!$T$4),0)</f>
        <v>3</v>
      </c>
      <c r="F296" s="98" t="n">
        <f aca="false">D296+ROW()/1000000</f>
        <v>2273.000296</v>
      </c>
      <c r="G296" s="98" t="n">
        <f aca="false">RANK(F296,$F$2:$F$351)</f>
        <v>135</v>
      </c>
    </row>
    <row r="297" customFormat="false" ht="15" hidden="false" customHeight="false" outlineLevel="0" collapsed="false">
      <c r="A297" s="98" t="s">
        <v>635</v>
      </c>
      <c r="B297" s="98" t="n">
        <f aca="false">COUNTIFS(d_Cust,A297,d_Year,'Customer Analytics'!$P$4,d_City,'Customer Analytics'!$Q$4,d_Cuisine,'Customer Analytics'!$R$4,d_Pay,'Customer Analytics'!$S$4,d_Type,'Customer Analytics'!$T$4)</f>
        <v>3</v>
      </c>
      <c r="C297" s="98" t="n">
        <f aca="false">COUNTIFS(d_Cust,A297,d_Status,"Delivered",d_Year,'Customer Analytics'!$P$4,d_City,'Customer Analytics'!$Q$4,d_Cuisine,'Customer Analytics'!$R$4,d_Pay,'Customer Analytics'!$S$4,d_Type,'Customer Analytics'!$T$4)</f>
        <v>2</v>
      </c>
      <c r="D297" s="99" t="n">
        <f aca="false">SUMIFS(d_Net,d_Cust,A297,d_Status,"Delivered",d_Year,'Customer Analytics'!$P$4,d_City,'Customer Analytics'!$Q$4,d_Cuisine,'Customer Analytics'!$R$4,d_Pay,'Customer Analytics'!$S$4,d_Type,'Customer Analytics'!$T$4)</f>
        <v>2558</v>
      </c>
      <c r="E297" s="100" t="n">
        <f aca="false">IFERROR(AVERAGEIFS(d_CRating,d_Cust,A297,d_Year,'Customer Analytics'!$P$4,d_City,'Customer Analytics'!$Q$4,d_Cuisine,'Customer Analytics'!$R$4,d_Pay,'Customer Analytics'!$S$4,d_Type,'Customer Analytics'!$T$4),0)</f>
        <v>4</v>
      </c>
      <c r="F297" s="98" t="n">
        <f aca="false">D297+ROW()/1000000</f>
        <v>2558.000297</v>
      </c>
      <c r="G297" s="98" t="n">
        <f aca="false">RANK(F297,$F$2:$F$351)</f>
        <v>107</v>
      </c>
    </row>
    <row r="298" customFormat="false" ht="15" hidden="false" customHeight="false" outlineLevel="0" collapsed="false">
      <c r="A298" s="98" t="s">
        <v>636</v>
      </c>
      <c r="B298" s="98" t="n">
        <f aca="false">COUNTIFS(d_Cust,A298,d_Year,'Customer Analytics'!$P$4,d_City,'Customer Analytics'!$Q$4,d_Cuisine,'Customer Analytics'!$R$4,d_Pay,'Customer Analytics'!$S$4,d_Type,'Customer Analytics'!$T$4)</f>
        <v>3</v>
      </c>
      <c r="C298" s="98" t="n">
        <f aca="false">COUNTIFS(d_Cust,A298,d_Status,"Delivered",d_Year,'Customer Analytics'!$P$4,d_City,'Customer Analytics'!$Q$4,d_Cuisine,'Customer Analytics'!$R$4,d_Pay,'Customer Analytics'!$S$4,d_Type,'Customer Analytics'!$T$4)</f>
        <v>2</v>
      </c>
      <c r="D298" s="99" t="n">
        <f aca="false">SUMIFS(d_Net,d_Cust,A298,d_Status,"Delivered",d_Year,'Customer Analytics'!$P$4,d_City,'Customer Analytics'!$Q$4,d_Cuisine,'Customer Analytics'!$R$4,d_Pay,'Customer Analytics'!$S$4,d_Type,'Customer Analytics'!$T$4)</f>
        <v>1437</v>
      </c>
      <c r="E298" s="100" t="n">
        <f aca="false">IFERROR(AVERAGEIFS(d_CRating,d_Cust,A298,d_Year,'Customer Analytics'!$P$4,d_City,'Customer Analytics'!$Q$4,d_Cuisine,'Customer Analytics'!$R$4,d_Pay,'Customer Analytics'!$S$4,d_Type,'Customer Analytics'!$T$4),0)</f>
        <v>5</v>
      </c>
      <c r="F298" s="98" t="n">
        <f aca="false">D298+ROW()/1000000</f>
        <v>1437.000298</v>
      </c>
      <c r="G298" s="98" t="n">
        <f aca="false">RANK(F298,$F$2:$F$351)</f>
        <v>243</v>
      </c>
    </row>
    <row r="299" customFormat="false" ht="15" hidden="false" customHeight="false" outlineLevel="0" collapsed="false">
      <c r="A299" s="98" t="s">
        <v>637</v>
      </c>
      <c r="B299" s="98" t="n">
        <f aca="false">COUNTIFS(d_Cust,A299,d_Year,'Customer Analytics'!$P$4,d_City,'Customer Analytics'!$Q$4,d_Cuisine,'Customer Analytics'!$R$4,d_Pay,'Customer Analytics'!$S$4,d_Type,'Customer Analytics'!$T$4)</f>
        <v>3</v>
      </c>
      <c r="C299" s="98" t="n">
        <f aca="false">COUNTIFS(d_Cust,A299,d_Status,"Delivered",d_Year,'Customer Analytics'!$P$4,d_City,'Customer Analytics'!$Q$4,d_Cuisine,'Customer Analytics'!$R$4,d_Pay,'Customer Analytics'!$S$4,d_Type,'Customer Analytics'!$T$4)</f>
        <v>3</v>
      </c>
      <c r="D299" s="99" t="n">
        <f aca="false">SUMIFS(d_Net,d_Cust,A299,d_Status,"Delivered",d_Year,'Customer Analytics'!$P$4,d_City,'Customer Analytics'!$Q$4,d_Cuisine,'Customer Analytics'!$R$4,d_Pay,'Customer Analytics'!$S$4,d_Type,'Customer Analytics'!$T$4)</f>
        <v>3472</v>
      </c>
      <c r="E299" s="100" t="n">
        <f aca="false">IFERROR(AVERAGEIFS(d_CRating,d_Cust,A299,d_Year,'Customer Analytics'!$P$4,d_City,'Customer Analytics'!$Q$4,d_Cuisine,'Customer Analytics'!$R$4,d_Pay,'Customer Analytics'!$S$4,d_Type,'Customer Analytics'!$T$4),0)</f>
        <v>4.66666666666667</v>
      </c>
      <c r="F299" s="98" t="n">
        <f aca="false">D299+ROW()/1000000</f>
        <v>3472.000299</v>
      </c>
      <c r="G299" s="98" t="n">
        <f aca="false">RANK(F299,$F$2:$F$351)</f>
        <v>32</v>
      </c>
    </row>
    <row r="300" customFormat="false" ht="15" hidden="false" customHeight="false" outlineLevel="0" collapsed="false">
      <c r="A300" s="98" t="s">
        <v>638</v>
      </c>
      <c r="B300" s="98" t="n">
        <f aca="false">COUNTIFS(d_Cust,A300,d_Year,'Customer Analytics'!$P$4,d_City,'Customer Analytics'!$Q$4,d_Cuisine,'Customer Analytics'!$R$4,d_Pay,'Customer Analytics'!$S$4,d_Type,'Customer Analytics'!$T$4)</f>
        <v>3</v>
      </c>
      <c r="C300" s="98" t="n">
        <f aca="false">COUNTIFS(d_Cust,A300,d_Status,"Delivered",d_Year,'Customer Analytics'!$P$4,d_City,'Customer Analytics'!$Q$4,d_Cuisine,'Customer Analytics'!$R$4,d_Pay,'Customer Analytics'!$S$4,d_Type,'Customer Analytics'!$T$4)</f>
        <v>3</v>
      </c>
      <c r="D300" s="99" t="n">
        <f aca="false">SUMIFS(d_Net,d_Cust,A300,d_Status,"Delivered",d_Year,'Customer Analytics'!$P$4,d_City,'Customer Analytics'!$Q$4,d_Cuisine,'Customer Analytics'!$R$4,d_Pay,'Customer Analytics'!$S$4,d_Type,'Customer Analytics'!$T$4)</f>
        <v>2342</v>
      </c>
      <c r="E300" s="100" t="n">
        <f aca="false">IFERROR(AVERAGEIFS(d_CRating,d_Cust,A300,d_Year,'Customer Analytics'!$P$4,d_City,'Customer Analytics'!$Q$4,d_Cuisine,'Customer Analytics'!$R$4,d_Pay,'Customer Analytics'!$S$4,d_Type,'Customer Analytics'!$T$4),0)</f>
        <v>4.66666666666667</v>
      </c>
      <c r="F300" s="98" t="n">
        <f aca="false">D300+ROW()/1000000</f>
        <v>2342.0003</v>
      </c>
      <c r="G300" s="98" t="n">
        <f aca="false">RANK(F300,$F$2:$F$351)</f>
        <v>131</v>
      </c>
    </row>
    <row r="301" customFormat="false" ht="15" hidden="false" customHeight="false" outlineLevel="0" collapsed="false">
      <c r="A301" s="98" t="s">
        <v>639</v>
      </c>
      <c r="B301" s="98" t="n">
        <f aca="false">COUNTIFS(d_Cust,A301,d_Year,'Customer Analytics'!$P$4,d_City,'Customer Analytics'!$Q$4,d_Cuisine,'Customer Analytics'!$R$4,d_Pay,'Customer Analytics'!$S$4,d_Type,'Customer Analytics'!$T$4)</f>
        <v>3</v>
      </c>
      <c r="C301" s="98" t="n">
        <f aca="false">COUNTIFS(d_Cust,A301,d_Status,"Delivered",d_Year,'Customer Analytics'!$P$4,d_City,'Customer Analytics'!$Q$4,d_Cuisine,'Customer Analytics'!$R$4,d_Pay,'Customer Analytics'!$S$4,d_Type,'Customer Analytics'!$T$4)</f>
        <v>2</v>
      </c>
      <c r="D301" s="99" t="n">
        <f aca="false">SUMIFS(d_Net,d_Cust,A301,d_Status,"Delivered",d_Year,'Customer Analytics'!$P$4,d_City,'Customer Analytics'!$Q$4,d_Cuisine,'Customer Analytics'!$R$4,d_Pay,'Customer Analytics'!$S$4,d_Type,'Customer Analytics'!$T$4)</f>
        <v>694</v>
      </c>
      <c r="E301" s="100" t="n">
        <f aca="false">IFERROR(AVERAGEIFS(d_CRating,d_Cust,A301,d_Year,'Customer Analytics'!$P$4,d_City,'Customer Analytics'!$Q$4,d_Cuisine,'Customer Analytics'!$R$4,d_Pay,'Customer Analytics'!$S$4,d_Type,'Customer Analytics'!$T$4),0)</f>
        <v>3.66666666666667</v>
      </c>
      <c r="F301" s="98" t="n">
        <f aca="false">D301+ROW()/1000000</f>
        <v>694.000301</v>
      </c>
      <c r="G301" s="98" t="n">
        <f aca="false">RANK(F301,$F$2:$F$351)</f>
        <v>313</v>
      </c>
    </row>
    <row r="302" customFormat="false" ht="15" hidden="false" customHeight="false" outlineLevel="0" collapsed="false">
      <c r="A302" s="98" t="s">
        <v>640</v>
      </c>
      <c r="B302" s="98" t="n">
        <f aca="false">COUNTIFS(d_Cust,A302,d_Year,'Customer Analytics'!$P$4,d_City,'Customer Analytics'!$Q$4,d_Cuisine,'Customer Analytics'!$R$4,d_Pay,'Customer Analytics'!$S$4,d_Type,'Customer Analytics'!$T$4)</f>
        <v>3</v>
      </c>
      <c r="C302" s="98" t="n">
        <f aca="false">COUNTIFS(d_Cust,A302,d_Status,"Delivered",d_Year,'Customer Analytics'!$P$4,d_City,'Customer Analytics'!$Q$4,d_Cuisine,'Customer Analytics'!$R$4,d_Pay,'Customer Analytics'!$S$4,d_Type,'Customer Analytics'!$T$4)</f>
        <v>1</v>
      </c>
      <c r="D302" s="99" t="n">
        <f aca="false">SUMIFS(d_Net,d_Cust,A302,d_Status,"Delivered",d_Year,'Customer Analytics'!$P$4,d_City,'Customer Analytics'!$Q$4,d_Cuisine,'Customer Analytics'!$R$4,d_Pay,'Customer Analytics'!$S$4,d_Type,'Customer Analytics'!$T$4)</f>
        <v>1621</v>
      </c>
      <c r="E302" s="100" t="n">
        <f aca="false">IFERROR(AVERAGEIFS(d_CRating,d_Cust,A302,d_Year,'Customer Analytics'!$P$4,d_City,'Customer Analytics'!$Q$4,d_Cuisine,'Customer Analytics'!$R$4,d_Pay,'Customer Analytics'!$S$4,d_Type,'Customer Analytics'!$T$4),0)</f>
        <v>4.66666666666667</v>
      </c>
      <c r="F302" s="98" t="n">
        <f aca="false">D302+ROW()/1000000</f>
        <v>1621.000302</v>
      </c>
      <c r="G302" s="98" t="n">
        <f aca="false">RANK(F302,$F$2:$F$351)</f>
        <v>219</v>
      </c>
    </row>
    <row r="303" customFormat="false" ht="15" hidden="false" customHeight="false" outlineLevel="0" collapsed="false">
      <c r="A303" s="98" t="s">
        <v>641</v>
      </c>
      <c r="B303" s="98" t="n">
        <f aca="false">COUNTIFS(d_Cust,A303,d_Year,'Customer Analytics'!$P$4,d_City,'Customer Analytics'!$Q$4,d_Cuisine,'Customer Analytics'!$R$4,d_Pay,'Customer Analytics'!$S$4,d_Type,'Customer Analytics'!$T$4)</f>
        <v>3</v>
      </c>
      <c r="C303" s="98" t="n">
        <f aca="false">COUNTIFS(d_Cust,A303,d_Status,"Delivered",d_Year,'Customer Analytics'!$P$4,d_City,'Customer Analytics'!$Q$4,d_Cuisine,'Customer Analytics'!$R$4,d_Pay,'Customer Analytics'!$S$4,d_Type,'Customer Analytics'!$T$4)</f>
        <v>2</v>
      </c>
      <c r="D303" s="99" t="n">
        <f aca="false">SUMIFS(d_Net,d_Cust,A303,d_Status,"Delivered",d_Year,'Customer Analytics'!$P$4,d_City,'Customer Analytics'!$Q$4,d_Cuisine,'Customer Analytics'!$R$4,d_Pay,'Customer Analytics'!$S$4,d_Type,'Customer Analytics'!$T$4)</f>
        <v>260</v>
      </c>
      <c r="E303" s="100" t="n">
        <f aca="false">IFERROR(AVERAGEIFS(d_CRating,d_Cust,A303,d_Year,'Customer Analytics'!$P$4,d_City,'Customer Analytics'!$Q$4,d_Cuisine,'Customer Analytics'!$R$4,d_Pay,'Customer Analytics'!$S$4,d_Type,'Customer Analytics'!$T$4),0)</f>
        <v>4.66666666666667</v>
      </c>
      <c r="F303" s="98" t="n">
        <f aca="false">D303+ROW()/1000000</f>
        <v>260.000303</v>
      </c>
      <c r="G303" s="98" t="n">
        <f aca="false">RANK(F303,$F$2:$F$351)</f>
        <v>340</v>
      </c>
    </row>
    <row r="304" customFormat="false" ht="15" hidden="false" customHeight="false" outlineLevel="0" collapsed="false">
      <c r="A304" s="98" t="s">
        <v>642</v>
      </c>
      <c r="B304" s="98" t="n">
        <f aca="false">COUNTIFS(d_Cust,A304,d_Year,'Customer Analytics'!$P$4,d_City,'Customer Analytics'!$Q$4,d_Cuisine,'Customer Analytics'!$R$4,d_Pay,'Customer Analytics'!$S$4,d_Type,'Customer Analytics'!$T$4)</f>
        <v>3</v>
      </c>
      <c r="C304" s="98" t="n">
        <f aca="false">COUNTIFS(d_Cust,A304,d_Status,"Delivered",d_Year,'Customer Analytics'!$P$4,d_City,'Customer Analytics'!$Q$4,d_Cuisine,'Customer Analytics'!$R$4,d_Pay,'Customer Analytics'!$S$4,d_Type,'Customer Analytics'!$T$4)</f>
        <v>3</v>
      </c>
      <c r="D304" s="99" t="n">
        <f aca="false">SUMIFS(d_Net,d_Cust,A304,d_Status,"Delivered",d_Year,'Customer Analytics'!$P$4,d_City,'Customer Analytics'!$Q$4,d_Cuisine,'Customer Analytics'!$R$4,d_Pay,'Customer Analytics'!$S$4,d_Type,'Customer Analytics'!$T$4)</f>
        <v>3722</v>
      </c>
      <c r="E304" s="100" t="n">
        <f aca="false">IFERROR(AVERAGEIFS(d_CRating,d_Cust,A304,d_Year,'Customer Analytics'!$P$4,d_City,'Customer Analytics'!$Q$4,d_Cuisine,'Customer Analytics'!$R$4,d_Pay,'Customer Analytics'!$S$4,d_Type,'Customer Analytics'!$T$4),0)</f>
        <v>2.33333333333333</v>
      </c>
      <c r="F304" s="98" t="n">
        <f aca="false">D304+ROW()/1000000</f>
        <v>3722.000304</v>
      </c>
      <c r="G304" s="98" t="n">
        <f aca="false">RANK(F304,$F$2:$F$351)</f>
        <v>18</v>
      </c>
    </row>
    <row r="305" customFormat="false" ht="15" hidden="false" customHeight="false" outlineLevel="0" collapsed="false">
      <c r="A305" s="98" t="s">
        <v>643</v>
      </c>
      <c r="B305" s="98" t="n">
        <f aca="false">COUNTIFS(d_Cust,A305,d_Year,'Customer Analytics'!$P$4,d_City,'Customer Analytics'!$Q$4,d_Cuisine,'Customer Analytics'!$R$4,d_Pay,'Customer Analytics'!$S$4,d_Type,'Customer Analytics'!$T$4)</f>
        <v>3</v>
      </c>
      <c r="C305" s="98" t="n">
        <f aca="false">COUNTIFS(d_Cust,A305,d_Status,"Delivered",d_Year,'Customer Analytics'!$P$4,d_City,'Customer Analytics'!$Q$4,d_Cuisine,'Customer Analytics'!$R$4,d_Pay,'Customer Analytics'!$S$4,d_Type,'Customer Analytics'!$T$4)</f>
        <v>3</v>
      </c>
      <c r="D305" s="99" t="n">
        <f aca="false">SUMIFS(d_Net,d_Cust,A305,d_Status,"Delivered",d_Year,'Customer Analytics'!$P$4,d_City,'Customer Analytics'!$Q$4,d_Cuisine,'Customer Analytics'!$R$4,d_Pay,'Customer Analytics'!$S$4,d_Type,'Customer Analytics'!$T$4)</f>
        <v>1832</v>
      </c>
      <c r="E305" s="100" t="n">
        <f aca="false">IFERROR(AVERAGEIFS(d_CRating,d_Cust,A305,d_Year,'Customer Analytics'!$P$4,d_City,'Customer Analytics'!$Q$4,d_Cuisine,'Customer Analytics'!$R$4,d_Pay,'Customer Analytics'!$S$4,d_Type,'Customer Analytics'!$T$4),0)</f>
        <v>4.66666666666667</v>
      </c>
      <c r="F305" s="98" t="n">
        <f aca="false">D305+ROW()/1000000</f>
        <v>1832.000305</v>
      </c>
      <c r="G305" s="98" t="n">
        <f aca="false">RANK(F305,$F$2:$F$351)</f>
        <v>183</v>
      </c>
    </row>
    <row r="306" customFormat="false" ht="15" hidden="false" customHeight="false" outlineLevel="0" collapsed="false">
      <c r="A306" s="98" t="s">
        <v>644</v>
      </c>
      <c r="B306" s="98" t="n">
        <f aca="false">COUNTIFS(d_Cust,A306,d_Year,'Customer Analytics'!$P$4,d_City,'Customer Analytics'!$Q$4,d_Cuisine,'Customer Analytics'!$R$4,d_Pay,'Customer Analytics'!$S$4,d_Type,'Customer Analytics'!$T$4)</f>
        <v>3</v>
      </c>
      <c r="C306" s="98" t="n">
        <f aca="false">COUNTIFS(d_Cust,A306,d_Status,"Delivered",d_Year,'Customer Analytics'!$P$4,d_City,'Customer Analytics'!$Q$4,d_Cuisine,'Customer Analytics'!$R$4,d_Pay,'Customer Analytics'!$S$4,d_Type,'Customer Analytics'!$T$4)</f>
        <v>2</v>
      </c>
      <c r="D306" s="99" t="n">
        <f aca="false">SUMIFS(d_Net,d_Cust,A306,d_Status,"Delivered",d_Year,'Customer Analytics'!$P$4,d_City,'Customer Analytics'!$Q$4,d_Cuisine,'Customer Analytics'!$R$4,d_Pay,'Customer Analytics'!$S$4,d_Type,'Customer Analytics'!$T$4)</f>
        <v>1613</v>
      </c>
      <c r="E306" s="100" t="n">
        <f aca="false">IFERROR(AVERAGEIFS(d_CRating,d_Cust,A306,d_Year,'Customer Analytics'!$P$4,d_City,'Customer Analytics'!$Q$4,d_Cuisine,'Customer Analytics'!$R$4,d_Pay,'Customer Analytics'!$S$4,d_Type,'Customer Analytics'!$T$4),0)</f>
        <v>2.66666666666667</v>
      </c>
      <c r="F306" s="98" t="n">
        <f aca="false">D306+ROW()/1000000</f>
        <v>1613.000306</v>
      </c>
      <c r="G306" s="98" t="n">
        <f aca="false">RANK(F306,$F$2:$F$351)</f>
        <v>220</v>
      </c>
    </row>
    <row r="307" customFormat="false" ht="15" hidden="false" customHeight="false" outlineLevel="0" collapsed="false">
      <c r="A307" s="98" t="s">
        <v>645</v>
      </c>
      <c r="B307" s="98" t="n">
        <f aca="false">COUNTIFS(d_Cust,A307,d_Year,'Customer Analytics'!$P$4,d_City,'Customer Analytics'!$Q$4,d_Cuisine,'Customer Analytics'!$R$4,d_Pay,'Customer Analytics'!$S$4,d_Type,'Customer Analytics'!$T$4)</f>
        <v>3</v>
      </c>
      <c r="C307" s="98" t="n">
        <f aca="false">COUNTIFS(d_Cust,A307,d_Status,"Delivered",d_Year,'Customer Analytics'!$P$4,d_City,'Customer Analytics'!$Q$4,d_Cuisine,'Customer Analytics'!$R$4,d_Pay,'Customer Analytics'!$S$4,d_Type,'Customer Analytics'!$T$4)</f>
        <v>1</v>
      </c>
      <c r="D307" s="99" t="n">
        <f aca="false">SUMIFS(d_Net,d_Cust,A307,d_Status,"Delivered",d_Year,'Customer Analytics'!$P$4,d_City,'Customer Analytics'!$Q$4,d_Cuisine,'Customer Analytics'!$R$4,d_Pay,'Customer Analytics'!$S$4,d_Type,'Customer Analytics'!$T$4)</f>
        <v>1230</v>
      </c>
      <c r="E307" s="100" t="n">
        <f aca="false">IFERROR(AVERAGEIFS(d_CRating,d_Cust,A307,d_Year,'Customer Analytics'!$P$4,d_City,'Customer Analytics'!$Q$4,d_Cuisine,'Customer Analytics'!$R$4,d_Pay,'Customer Analytics'!$S$4,d_Type,'Customer Analytics'!$T$4),0)</f>
        <v>3.33333333333333</v>
      </c>
      <c r="F307" s="98" t="n">
        <f aca="false">D307+ROW()/1000000</f>
        <v>1230.000307</v>
      </c>
      <c r="G307" s="98" t="n">
        <f aca="false">RANK(F307,$F$2:$F$351)</f>
        <v>265</v>
      </c>
    </row>
    <row r="308" customFormat="false" ht="15" hidden="false" customHeight="false" outlineLevel="0" collapsed="false">
      <c r="A308" s="98" t="s">
        <v>646</v>
      </c>
      <c r="B308" s="98" t="n">
        <f aca="false">COUNTIFS(d_Cust,A308,d_Year,'Customer Analytics'!$P$4,d_City,'Customer Analytics'!$Q$4,d_Cuisine,'Customer Analytics'!$R$4,d_Pay,'Customer Analytics'!$S$4,d_Type,'Customer Analytics'!$T$4)</f>
        <v>3</v>
      </c>
      <c r="C308" s="98" t="n">
        <f aca="false">COUNTIFS(d_Cust,A308,d_Status,"Delivered",d_Year,'Customer Analytics'!$P$4,d_City,'Customer Analytics'!$Q$4,d_Cuisine,'Customer Analytics'!$R$4,d_Pay,'Customer Analytics'!$S$4,d_Type,'Customer Analytics'!$T$4)</f>
        <v>3</v>
      </c>
      <c r="D308" s="99" t="n">
        <f aca="false">SUMIFS(d_Net,d_Cust,A308,d_Status,"Delivered",d_Year,'Customer Analytics'!$P$4,d_City,'Customer Analytics'!$Q$4,d_Cuisine,'Customer Analytics'!$R$4,d_Pay,'Customer Analytics'!$S$4,d_Type,'Customer Analytics'!$T$4)</f>
        <v>2398</v>
      </c>
      <c r="E308" s="100" t="n">
        <f aca="false">IFERROR(AVERAGEIFS(d_CRating,d_Cust,A308,d_Year,'Customer Analytics'!$P$4,d_City,'Customer Analytics'!$Q$4,d_Cuisine,'Customer Analytics'!$R$4,d_Pay,'Customer Analytics'!$S$4,d_Type,'Customer Analytics'!$T$4),0)</f>
        <v>4</v>
      </c>
      <c r="F308" s="98" t="n">
        <f aca="false">D308+ROW()/1000000</f>
        <v>2398.000308</v>
      </c>
      <c r="G308" s="98" t="n">
        <f aca="false">RANK(F308,$F$2:$F$351)</f>
        <v>125</v>
      </c>
    </row>
    <row r="309" customFormat="false" ht="15" hidden="false" customHeight="false" outlineLevel="0" collapsed="false">
      <c r="A309" s="98" t="s">
        <v>647</v>
      </c>
      <c r="B309" s="98" t="n">
        <f aca="false">COUNTIFS(d_Cust,A309,d_Year,'Customer Analytics'!$P$4,d_City,'Customer Analytics'!$Q$4,d_Cuisine,'Customer Analytics'!$R$4,d_Pay,'Customer Analytics'!$S$4,d_Type,'Customer Analytics'!$T$4)</f>
        <v>3</v>
      </c>
      <c r="C309" s="98" t="n">
        <f aca="false">COUNTIFS(d_Cust,A309,d_Status,"Delivered",d_Year,'Customer Analytics'!$P$4,d_City,'Customer Analytics'!$Q$4,d_Cuisine,'Customer Analytics'!$R$4,d_Pay,'Customer Analytics'!$S$4,d_Type,'Customer Analytics'!$T$4)</f>
        <v>2</v>
      </c>
      <c r="D309" s="99" t="n">
        <f aca="false">SUMIFS(d_Net,d_Cust,A309,d_Status,"Delivered",d_Year,'Customer Analytics'!$P$4,d_City,'Customer Analytics'!$Q$4,d_Cuisine,'Customer Analytics'!$R$4,d_Pay,'Customer Analytics'!$S$4,d_Type,'Customer Analytics'!$T$4)</f>
        <v>2681</v>
      </c>
      <c r="E309" s="100" t="n">
        <f aca="false">IFERROR(AVERAGEIFS(d_CRating,d_Cust,A309,d_Year,'Customer Analytics'!$P$4,d_City,'Customer Analytics'!$Q$4,d_Cuisine,'Customer Analytics'!$R$4,d_Pay,'Customer Analytics'!$S$4,d_Type,'Customer Analytics'!$T$4),0)</f>
        <v>3.66666666666667</v>
      </c>
      <c r="F309" s="98" t="n">
        <f aca="false">D309+ROW()/1000000</f>
        <v>2681.000309</v>
      </c>
      <c r="G309" s="98" t="n">
        <f aca="false">RANK(F309,$F$2:$F$351)</f>
        <v>92</v>
      </c>
    </row>
    <row r="310" customFormat="false" ht="15" hidden="false" customHeight="false" outlineLevel="0" collapsed="false">
      <c r="A310" s="98" t="s">
        <v>648</v>
      </c>
      <c r="B310" s="98" t="n">
        <f aca="false">COUNTIFS(d_Cust,A310,d_Year,'Customer Analytics'!$P$4,d_City,'Customer Analytics'!$Q$4,d_Cuisine,'Customer Analytics'!$R$4,d_Pay,'Customer Analytics'!$S$4,d_Type,'Customer Analytics'!$T$4)</f>
        <v>3</v>
      </c>
      <c r="C310" s="98" t="n">
        <f aca="false">COUNTIFS(d_Cust,A310,d_Status,"Delivered",d_Year,'Customer Analytics'!$P$4,d_City,'Customer Analytics'!$Q$4,d_Cuisine,'Customer Analytics'!$R$4,d_Pay,'Customer Analytics'!$S$4,d_Type,'Customer Analytics'!$T$4)</f>
        <v>1</v>
      </c>
      <c r="D310" s="99" t="n">
        <f aca="false">SUMIFS(d_Net,d_Cust,A310,d_Status,"Delivered",d_Year,'Customer Analytics'!$P$4,d_City,'Customer Analytics'!$Q$4,d_Cuisine,'Customer Analytics'!$R$4,d_Pay,'Customer Analytics'!$S$4,d_Type,'Customer Analytics'!$T$4)</f>
        <v>828</v>
      </c>
      <c r="E310" s="100" t="n">
        <f aca="false">IFERROR(AVERAGEIFS(d_CRating,d_Cust,A310,d_Year,'Customer Analytics'!$P$4,d_City,'Customer Analytics'!$Q$4,d_Cuisine,'Customer Analytics'!$R$4,d_Pay,'Customer Analytics'!$S$4,d_Type,'Customer Analytics'!$T$4),0)</f>
        <v>4</v>
      </c>
      <c r="F310" s="98" t="n">
        <f aca="false">D310+ROW()/1000000</f>
        <v>828.00031</v>
      </c>
      <c r="G310" s="98" t="n">
        <f aca="false">RANK(F310,$F$2:$F$351)</f>
        <v>299</v>
      </c>
    </row>
    <row r="311" customFormat="false" ht="15" hidden="false" customHeight="false" outlineLevel="0" collapsed="false">
      <c r="A311" s="98" t="s">
        <v>649</v>
      </c>
      <c r="B311" s="98" t="n">
        <f aca="false">COUNTIFS(d_Cust,A311,d_Year,'Customer Analytics'!$P$4,d_City,'Customer Analytics'!$Q$4,d_Cuisine,'Customer Analytics'!$R$4,d_Pay,'Customer Analytics'!$S$4,d_Type,'Customer Analytics'!$T$4)</f>
        <v>3</v>
      </c>
      <c r="C311" s="98" t="n">
        <f aca="false">COUNTIFS(d_Cust,A311,d_Status,"Delivered",d_Year,'Customer Analytics'!$P$4,d_City,'Customer Analytics'!$Q$4,d_Cuisine,'Customer Analytics'!$R$4,d_Pay,'Customer Analytics'!$S$4,d_Type,'Customer Analytics'!$T$4)</f>
        <v>2</v>
      </c>
      <c r="D311" s="99" t="n">
        <f aca="false">SUMIFS(d_Net,d_Cust,A311,d_Status,"Delivered",d_Year,'Customer Analytics'!$P$4,d_City,'Customer Analytics'!$Q$4,d_Cuisine,'Customer Analytics'!$R$4,d_Pay,'Customer Analytics'!$S$4,d_Type,'Customer Analytics'!$T$4)</f>
        <v>463</v>
      </c>
      <c r="E311" s="100" t="n">
        <f aca="false">IFERROR(AVERAGEIFS(d_CRating,d_Cust,A311,d_Year,'Customer Analytics'!$P$4,d_City,'Customer Analytics'!$Q$4,d_Cuisine,'Customer Analytics'!$R$4,d_Pay,'Customer Analytics'!$S$4,d_Type,'Customer Analytics'!$T$4),0)</f>
        <v>5</v>
      </c>
      <c r="F311" s="98" t="n">
        <f aca="false">D311+ROW()/1000000</f>
        <v>463.000311</v>
      </c>
      <c r="G311" s="98" t="n">
        <f aca="false">RANK(F311,$F$2:$F$351)</f>
        <v>330</v>
      </c>
    </row>
    <row r="312" customFormat="false" ht="15" hidden="false" customHeight="false" outlineLevel="0" collapsed="false">
      <c r="A312" s="98" t="s">
        <v>650</v>
      </c>
      <c r="B312" s="98" t="n">
        <f aca="false">COUNTIFS(d_Cust,A312,d_Year,'Customer Analytics'!$P$4,d_City,'Customer Analytics'!$Q$4,d_Cuisine,'Customer Analytics'!$R$4,d_Pay,'Customer Analytics'!$S$4,d_Type,'Customer Analytics'!$T$4)</f>
        <v>3</v>
      </c>
      <c r="C312" s="98" t="n">
        <f aca="false">COUNTIFS(d_Cust,A312,d_Status,"Delivered",d_Year,'Customer Analytics'!$P$4,d_City,'Customer Analytics'!$Q$4,d_Cuisine,'Customer Analytics'!$R$4,d_Pay,'Customer Analytics'!$S$4,d_Type,'Customer Analytics'!$T$4)</f>
        <v>2</v>
      </c>
      <c r="D312" s="99" t="n">
        <f aca="false">SUMIFS(d_Net,d_Cust,A312,d_Status,"Delivered",d_Year,'Customer Analytics'!$P$4,d_City,'Customer Analytics'!$Q$4,d_Cuisine,'Customer Analytics'!$R$4,d_Pay,'Customer Analytics'!$S$4,d_Type,'Customer Analytics'!$T$4)</f>
        <v>2553</v>
      </c>
      <c r="E312" s="100" t="n">
        <f aca="false">IFERROR(AVERAGEIFS(d_CRating,d_Cust,A312,d_Year,'Customer Analytics'!$P$4,d_City,'Customer Analytics'!$Q$4,d_Cuisine,'Customer Analytics'!$R$4,d_Pay,'Customer Analytics'!$S$4,d_Type,'Customer Analytics'!$T$4),0)</f>
        <v>4.33333333333333</v>
      </c>
      <c r="F312" s="98" t="n">
        <f aca="false">D312+ROW()/1000000</f>
        <v>2553.000312</v>
      </c>
      <c r="G312" s="98" t="n">
        <f aca="false">RANK(F312,$F$2:$F$351)</f>
        <v>108</v>
      </c>
    </row>
    <row r="313" customFormat="false" ht="15" hidden="false" customHeight="false" outlineLevel="0" collapsed="false">
      <c r="A313" s="98" t="s">
        <v>651</v>
      </c>
      <c r="B313" s="98" t="n">
        <f aca="false">COUNTIFS(d_Cust,A313,d_Year,'Customer Analytics'!$P$4,d_City,'Customer Analytics'!$Q$4,d_Cuisine,'Customer Analytics'!$R$4,d_Pay,'Customer Analytics'!$S$4,d_Type,'Customer Analytics'!$T$4)</f>
        <v>3</v>
      </c>
      <c r="C313" s="98" t="n">
        <f aca="false">COUNTIFS(d_Cust,A313,d_Status,"Delivered",d_Year,'Customer Analytics'!$P$4,d_City,'Customer Analytics'!$Q$4,d_Cuisine,'Customer Analytics'!$R$4,d_Pay,'Customer Analytics'!$S$4,d_Type,'Customer Analytics'!$T$4)</f>
        <v>3</v>
      </c>
      <c r="D313" s="99" t="n">
        <f aca="false">SUMIFS(d_Net,d_Cust,A313,d_Status,"Delivered",d_Year,'Customer Analytics'!$P$4,d_City,'Customer Analytics'!$Q$4,d_Cuisine,'Customer Analytics'!$R$4,d_Pay,'Customer Analytics'!$S$4,d_Type,'Customer Analytics'!$T$4)</f>
        <v>3661</v>
      </c>
      <c r="E313" s="100" t="n">
        <f aca="false">IFERROR(AVERAGEIFS(d_CRating,d_Cust,A313,d_Year,'Customer Analytics'!$P$4,d_City,'Customer Analytics'!$Q$4,d_Cuisine,'Customer Analytics'!$R$4,d_Pay,'Customer Analytics'!$S$4,d_Type,'Customer Analytics'!$T$4),0)</f>
        <v>4</v>
      </c>
      <c r="F313" s="98" t="n">
        <f aca="false">D313+ROW()/1000000</f>
        <v>3661.000313</v>
      </c>
      <c r="G313" s="98" t="n">
        <f aca="false">RANK(F313,$F$2:$F$351)</f>
        <v>20</v>
      </c>
    </row>
    <row r="314" customFormat="false" ht="15" hidden="false" customHeight="false" outlineLevel="0" collapsed="false">
      <c r="A314" s="98" t="s">
        <v>652</v>
      </c>
      <c r="B314" s="98" t="n">
        <f aca="false">COUNTIFS(d_Cust,A314,d_Year,'Customer Analytics'!$P$4,d_City,'Customer Analytics'!$Q$4,d_Cuisine,'Customer Analytics'!$R$4,d_Pay,'Customer Analytics'!$S$4,d_Type,'Customer Analytics'!$T$4)</f>
        <v>3</v>
      </c>
      <c r="C314" s="98" t="n">
        <f aca="false">COUNTIFS(d_Cust,A314,d_Status,"Delivered",d_Year,'Customer Analytics'!$P$4,d_City,'Customer Analytics'!$Q$4,d_Cuisine,'Customer Analytics'!$R$4,d_Pay,'Customer Analytics'!$S$4,d_Type,'Customer Analytics'!$T$4)</f>
        <v>2</v>
      </c>
      <c r="D314" s="99" t="n">
        <f aca="false">SUMIFS(d_Net,d_Cust,A314,d_Status,"Delivered",d_Year,'Customer Analytics'!$P$4,d_City,'Customer Analytics'!$Q$4,d_Cuisine,'Customer Analytics'!$R$4,d_Pay,'Customer Analytics'!$S$4,d_Type,'Customer Analytics'!$T$4)</f>
        <v>1268</v>
      </c>
      <c r="E314" s="100" t="n">
        <f aca="false">IFERROR(AVERAGEIFS(d_CRating,d_Cust,A314,d_Year,'Customer Analytics'!$P$4,d_City,'Customer Analytics'!$Q$4,d_Cuisine,'Customer Analytics'!$R$4,d_Pay,'Customer Analytics'!$S$4,d_Type,'Customer Analytics'!$T$4),0)</f>
        <v>4</v>
      </c>
      <c r="F314" s="98" t="n">
        <f aca="false">D314+ROW()/1000000</f>
        <v>1268.000314</v>
      </c>
      <c r="G314" s="98" t="n">
        <f aca="false">RANK(F314,$F$2:$F$351)</f>
        <v>261</v>
      </c>
    </row>
    <row r="315" customFormat="false" ht="15" hidden="false" customHeight="false" outlineLevel="0" collapsed="false">
      <c r="A315" s="98" t="s">
        <v>653</v>
      </c>
      <c r="B315" s="98" t="n">
        <f aca="false">COUNTIFS(d_Cust,A315,d_Year,'Customer Analytics'!$P$4,d_City,'Customer Analytics'!$Q$4,d_Cuisine,'Customer Analytics'!$R$4,d_Pay,'Customer Analytics'!$S$4,d_Type,'Customer Analytics'!$T$4)</f>
        <v>3</v>
      </c>
      <c r="C315" s="98" t="n">
        <f aca="false">COUNTIFS(d_Cust,A315,d_Status,"Delivered",d_Year,'Customer Analytics'!$P$4,d_City,'Customer Analytics'!$Q$4,d_Cuisine,'Customer Analytics'!$R$4,d_Pay,'Customer Analytics'!$S$4,d_Type,'Customer Analytics'!$T$4)</f>
        <v>2</v>
      </c>
      <c r="D315" s="99" t="n">
        <f aca="false">SUMIFS(d_Net,d_Cust,A315,d_Status,"Delivered",d_Year,'Customer Analytics'!$P$4,d_City,'Customer Analytics'!$Q$4,d_Cuisine,'Customer Analytics'!$R$4,d_Pay,'Customer Analytics'!$S$4,d_Type,'Customer Analytics'!$T$4)</f>
        <v>2520</v>
      </c>
      <c r="E315" s="100" t="n">
        <f aca="false">IFERROR(AVERAGEIFS(d_CRating,d_Cust,A315,d_Year,'Customer Analytics'!$P$4,d_City,'Customer Analytics'!$Q$4,d_Cuisine,'Customer Analytics'!$R$4,d_Pay,'Customer Analytics'!$S$4,d_Type,'Customer Analytics'!$T$4),0)</f>
        <v>3.66666666666667</v>
      </c>
      <c r="F315" s="98" t="n">
        <f aca="false">D315+ROW()/1000000</f>
        <v>2520.000315</v>
      </c>
      <c r="G315" s="98" t="n">
        <f aca="false">RANK(F315,$F$2:$F$351)</f>
        <v>112</v>
      </c>
    </row>
    <row r="316" customFormat="false" ht="15" hidden="false" customHeight="false" outlineLevel="0" collapsed="false">
      <c r="A316" s="98" t="s">
        <v>654</v>
      </c>
      <c r="B316" s="98" t="n">
        <f aca="false">COUNTIFS(d_Cust,A316,d_Year,'Customer Analytics'!$P$4,d_City,'Customer Analytics'!$Q$4,d_Cuisine,'Customer Analytics'!$R$4,d_Pay,'Customer Analytics'!$S$4,d_Type,'Customer Analytics'!$T$4)</f>
        <v>3</v>
      </c>
      <c r="C316" s="98" t="n">
        <f aca="false">COUNTIFS(d_Cust,A316,d_Status,"Delivered",d_Year,'Customer Analytics'!$P$4,d_City,'Customer Analytics'!$Q$4,d_Cuisine,'Customer Analytics'!$R$4,d_Pay,'Customer Analytics'!$S$4,d_Type,'Customer Analytics'!$T$4)</f>
        <v>3</v>
      </c>
      <c r="D316" s="99" t="n">
        <f aca="false">SUMIFS(d_Net,d_Cust,A316,d_Status,"Delivered",d_Year,'Customer Analytics'!$P$4,d_City,'Customer Analytics'!$Q$4,d_Cuisine,'Customer Analytics'!$R$4,d_Pay,'Customer Analytics'!$S$4,d_Type,'Customer Analytics'!$T$4)</f>
        <v>2449</v>
      </c>
      <c r="E316" s="100" t="n">
        <f aca="false">IFERROR(AVERAGEIFS(d_CRating,d_Cust,A316,d_Year,'Customer Analytics'!$P$4,d_City,'Customer Analytics'!$Q$4,d_Cuisine,'Customer Analytics'!$R$4,d_Pay,'Customer Analytics'!$S$4,d_Type,'Customer Analytics'!$T$4),0)</f>
        <v>4.66666666666667</v>
      </c>
      <c r="F316" s="98" t="n">
        <f aca="false">D316+ROW()/1000000</f>
        <v>2449.000316</v>
      </c>
      <c r="G316" s="98" t="n">
        <f aca="false">RANK(F316,$F$2:$F$351)</f>
        <v>119</v>
      </c>
    </row>
    <row r="317" customFormat="false" ht="15" hidden="false" customHeight="false" outlineLevel="0" collapsed="false">
      <c r="A317" s="98" t="s">
        <v>655</v>
      </c>
      <c r="B317" s="98" t="n">
        <f aca="false">COUNTIFS(d_Cust,A317,d_Year,'Customer Analytics'!$P$4,d_City,'Customer Analytics'!$Q$4,d_Cuisine,'Customer Analytics'!$R$4,d_Pay,'Customer Analytics'!$S$4,d_Type,'Customer Analytics'!$T$4)</f>
        <v>3</v>
      </c>
      <c r="C317" s="98" t="n">
        <f aca="false">COUNTIFS(d_Cust,A317,d_Status,"Delivered",d_Year,'Customer Analytics'!$P$4,d_City,'Customer Analytics'!$Q$4,d_Cuisine,'Customer Analytics'!$R$4,d_Pay,'Customer Analytics'!$S$4,d_Type,'Customer Analytics'!$T$4)</f>
        <v>2</v>
      </c>
      <c r="D317" s="99" t="n">
        <f aca="false">SUMIFS(d_Net,d_Cust,A317,d_Status,"Delivered",d_Year,'Customer Analytics'!$P$4,d_City,'Customer Analytics'!$Q$4,d_Cuisine,'Customer Analytics'!$R$4,d_Pay,'Customer Analytics'!$S$4,d_Type,'Customer Analytics'!$T$4)</f>
        <v>637</v>
      </c>
      <c r="E317" s="100" t="n">
        <f aca="false">IFERROR(AVERAGEIFS(d_CRating,d_Cust,A317,d_Year,'Customer Analytics'!$P$4,d_City,'Customer Analytics'!$Q$4,d_Cuisine,'Customer Analytics'!$R$4,d_Pay,'Customer Analytics'!$S$4,d_Type,'Customer Analytics'!$T$4),0)</f>
        <v>5</v>
      </c>
      <c r="F317" s="98" t="n">
        <f aca="false">D317+ROW()/1000000</f>
        <v>637.000317</v>
      </c>
      <c r="G317" s="98" t="n">
        <f aca="false">RANK(F317,$F$2:$F$351)</f>
        <v>316</v>
      </c>
    </row>
    <row r="318" customFormat="false" ht="15" hidden="false" customHeight="false" outlineLevel="0" collapsed="false">
      <c r="A318" s="98" t="s">
        <v>656</v>
      </c>
      <c r="B318" s="98" t="n">
        <f aca="false">COUNTIFS(d_Cust,A318,d_Year,'Customer Analytics'!$P$4,d_City,'Customer Analytics'!$Q$4,d_Cuisine,'Customer Analytics'!$R$4,d_Pay,'Customer Analytics'!$S$4,d_Type,'Customer Analytics'!$T$4)</f>
        <v>3</v>
      </c>
      <c r="C318" s="98" t="n">
        <f aca="false">COUNTIFS(d_Cust,A318,d_Status,"Delivered",d_Year,'Customer Analytics'!$P$4,d_City,'Customer Analytics'!$Q$4,d_Cuisine,'Customer Analytics'!$R$4,d_Pay,'Customer Analytics'!$S$4,d_Type,'Customer Analytics'!$T$4)</f>
        <v>3</v>
      </c>
      <c r="D318" s="99" t="n">
        <f aca="false">SUMIFS(d_Net,d_Cust,A318,d_Status,"Delivered",d_Year,'Customer Analytics'!$P$4,d_City,'Customer Analytics'!$Q$4,d_Cuisine,'Customer Analytics'!$R$4,d_Pay,'Customer Analytics'!$S$4,d_Type,'Customer Analytics'!$T$4)</f>
        <v>1902</v>
      </c>
      <c r="E318" s="100" t="n">
        <f aca="false">IFERROR(AVERAGEIFS(d_CRating,d_Cust,A318,d_Year,'Customer Analytics'!$P$4,d_City,'Customer Analytics'!$Q$4,d_Cuisine,'Customer Analytics'!$R$4,d_Pay,'Customer Analytics'!$S$4,d_Type,'Customer Analytics'!$T$4),0)</f>
        <v>4</v>
      </c>
      <c r="F318" s="98" t="n">
        <f aca="false">D318+ROW()/1000000</f>
        <v>1902.000318</v>
      </c>
      <c r="G318" s="98" t="n">
        <f aca="false">RANK(F318,$F$2:$F$351)</f>
        <v>177</v>
      </c>
    </row>
    <row r="319" customFormat="false" ht="15" hidden="false" customHeight="false" outlineLevel="0" collapsed="false">
      <c r="A319" s="98" t="s">
        <v>657</v>
      </c>
      <c r="B319" s="98" t="n">
        <f aca="false">COUNTIFS(d_Cust,A319,d_Year,'Customer Analytics'!$P$4,d_City,'Customer Analytics'!$Q$4,d_Cuisine,'Customer Analytics'!$R$4,d_Pay,'Customer Analytics'!$S$4,d_Type,'Customer Analytics'!$T$4)</f>
        <v>3</v>
      </c>
      <c r="C319" s="98" t="n">
        <f aca="false">COUNTIFS(d_Cust,A319,d_Status,"Delivered",d_Year,'Customer Analytics'!$P$4,d_City,'Customer Analytics'!$Q$4,d_Cuisine,'Customer Analytics'!$R$4,d_Pay,'Customer Analytics'!$S$4,d_Type,'Customer Analytics'!$T$4)</f>
        <v>2</v>
      </c>
      <c r="D319" s="99" t="n">
        <f aca="false">SUMIFS(d_Net,d_Cust,A319,d_Status,"Delivered",d_Year,'Customer Analytics'!$P$4,d_City,'Customer Analytics'!$Q$4,d_Cuisine,'Customer Analytics'!$R$4,d_Pay,'Customer Analytics'!$S$4,d_Type,'Customer Analytics'!$T$4)</f>
        <v>1414</v>
      </c>
      <c r="E319" s="100" t="n">
        <f aca="false">IFERROR(AVERAGEIFS(d_CRating,d_Cust,A319,d_Year,'Customer Analytics'!$P$4,d_City,'Customer Analytics'!$Q$4,d_Cuisine,'Customer Analytics'!$R$4,d_Pay,'Customer Analytics'!$S$4,d_Type,'Customer Analytics'!$T$4),0)</f>
        <v>3.33333333333333</v>
      </c>
      <c r="F319" s="98" t="n">
        <f aca="false">D319+ROW()/1000000</f>
        <v>1414.000319</v>
      </c>
      <c r="G319" s="98" t="n">
        <f aca="false">RANK(F319,$F$2:$F$351)</f>
        <v>248</v>
      </c>
    </row>
    <row r="320" customFormat="false" ht="15" hidden="false" customHeight="false" outlineLevel="0" collapsed="false">
      <c r="A320" s="98" t="s">
        <v>658</v>
      </c>
      <c r="B320" s="98" t="n">
        <f aca="false">COUNTIFS(d_Cust,A320,d_Year,'Customer Analytics'!$P$4,d_City,'Customer Analytics'!$Q$4,d_Cuisine,'Customer Analytics'!$R$4,d_Pay,'Customer Analytics'!$S$4,d_Type,'Customer Analytics'!$T$4)</f>
        <v>3</v>
      </c>
      <c r="C320" s="98" t="n">
        <f aca="false">COUNTIFS(d_Cust,A320,d_Status,"Delivered",d_Year,'Customer Analytics'!$P$4,d_City,'Customer Analytics'!$Q$4,d_Cuisine,'Customer Analytics'!$R$4,d_Pay,'Customer Analytics'!$S$4,d_Type,'Customer Analytics'!$T$4)</f>
        <v>2</v>
      </c>
      <c r="D320" s="99" t="n">
        <f aca="false">SUMIFS(d_Net,d_Cust,A320,d_Status,"Delivered",d_Year,'Customer Analytics'!$P$4,d_City,'Customer Analytics'!$Q$4,d_Cuisine,'Customer Analytics'!$R$4,d_Pay,'Customer Analytics'!$S$4,d_Type,'Customer Analytics'!$T$4)</f>
        <v>2496</v>
      </c>
      <c r="E320" s="100" t="n">
        <f aca="false">IFERROR(AVERAGEIFS(d_CRating,d_Cust,A320,d_Year,'Customer Analytics'!$P$4,d_City,'Customer Analytics'!$Q$4,d_Cuisine,'Customer Analytics'!$R$4,d_Pay,'Customer Analytics'!$S$4,d_Type,'Customer Analytics'!$T$4),0)</f>
        <v>4</v>
      </c>
      <c r="F320" s="98" t="n">
        <f aca="false">D320+ROW()/1000000</f>
        <v>2496.00032</v>
      </c>
      <c r="G320" s="98" t="n">
        <f aca="false">RANK(F320,$F$2:$F$351)</f>
        <v>115</v>
      </c>
    </row>
    <row r="321" customFormat="false" ht="15" hidden="false" customHeight="false" outlineLevel="0" collapsed="false">
      <c r="A321" s="98" t="s">
        <v>659</v>
      </c>
      <c r="B321" s="98" t="n">
        <f aca="false">COUNTIFS(d_Cust,A321,d_Year,'Customer Analytics'!$P$4,d_City,'Customer Analytics'!$Q$4,d_Cuisine,'Customer Analytics'!$R$4,d_Pay,'Customer Analytics'!$S$4,d_Type,'Customer Analytics'!$T$4)</f>
        <v>3</v>
      </c>
      <c r="C321" s="98" t="n">
        <f aca="false">COUNTIFS(d_Cust,A321,d_Status,"Delivered",d_Year,'Customer Analytics'!$P$4,d_City,'Customer Analytics'!$Q$4,d_Cuisine,'Customer Analytics'!$R$4,d_Pay,'Customer Analytics'!$S$4,d_Type,'Customer Analytics'!$T$4)</f>
        <v>1</v>
      </c>
      <c r="D321" s="99" t="n">
        <f aca="false">SUMIFS(d_Net,d_Cust,A321,d_Status,"Delivered",d_Year,'Customer Analytics'!$P$4,d_City,'Customer Analytics'!$Q$4,d_Cuisine,'Customer Analytics'!$R$4,d_Pay,'Customer Analytics'!$S$4,d_Type,'Customer Analytics'!$T$4)</f>
        <v>1428</v>
      </c>
      <c r="E321" s="100" t="n">
        <f aca="false">IFERROR(AVERAGEIFS(d_CRating,d_Cust,A321,d_Year,'Customer Analytics'!$P$4,d_City,'Customer Analytics'!$Q$4,d_Cuisine,'Customer Analytics'!$R$4,d_Pay,'Customer Analytics'!$S$4,d_Type,'Customer Analytics'!$T$4),0)</f>
        <v>4</v>
      </c>
      <c r="F321" s="98" t="n">
        <f aca="false">D321+ROW()/1000000</f>
        <v>1428.000321</v>
      </c>
      <c r="G321" s="98" t="n">
        <f aca="false">RANK(F321,$F$2:$F$351)</f>
        <v>245</v>
      </c>
    </row>
    <row r="322" customFormat="false" ht="15" hidden="false" customHeight="false" outlineLevel="0" collapsed="false">
      <c r="A322" s="98" t="s">
        <v>660</v>
      </c>
      <c r="B322" s="98" t="n">
        <f aca="false">COUNTIFS(d_Cust,A322,d_Year,'Customer Analytics'!$P$4,d_City,'Customer Analytics'!$Q$4,d_Cuisine,'Customer Analytics'!$R$4,d_Pay,'Customer Analytics'!$S$4,d_Type,'Customer Analytics'!$T$4)</f>
        <v>3</v>
      </c>
      <c r="C322" s="98" t="n">
        <f aca="false">COUNTIFS(d_Cust,A322,d_Status,"Delivered",d_Year,'Customer Analytics'!$P$4,d_City,'Customer Analytics'!$Q$4,d_Cuisine,'Customer Analytics'!$R$4,d_Pay,'Customer Analytics'!$S$4,d_Type,'Customer Analytics'!$T$4)</f>
        <v>2</v>
      </c>
      <c r="D322" s="99" t="n">
        <f aca="false">SUMIFS(d_Net,d_Cust,A322,d_Status,"Delivered",d_Year,'Customer Analytics'!$P$4,d_City,'Customer Analytics'!$Q$4,d_Cuisine,'Customer Analytics'!$R$4,d_Pay,'Customer Analytics'!$S$4,d_Type,'Customer Analytics'!$T$4)</f>
        <v>1216</v>
      </c>
      <c r="E322" s="100" t="n">
        <f aca="false">IFERROR(AVERAGEIFS(d_CRating,d_Cust,A322,d_Year,'Customer Analytics'!$P$4,d_City,'Customer Analytics'!$Q$4,d_Cuisine,'Customer Analytics'!$R$4,d_Pay,'Customer Analytics'!$S$4,d_Type,'Customer Analytics'!$T$4),0)</f>
        <v>5</v>
      </c>
      <c r="F322" s="98" t="n">
        <f aca="false">D322+ROW()/1000000</f>
        <v>1216.000322</v>
      </c>
      <c r="G322" s="98" t="n">
        <f aca="false">RANK(F322,$F$2:$F$351)</f>
        <v>267</v>
      </c>
    </row>
    <row r="323" customFormat="false" ht="15" hidden="false" customHeight="false" outlineLevel="0" collapsed="false">
      <c r="A323" s="98" t="s">
        <v>661</v>
      </c>
      <c r="B323" s="98" t="n">
        <f aca="false">COUNTIFS(d_Cust,A323,d_Year,'Customer Analytics'!$P$4,d_City,'Customer Analytics'!$Q$4,d_Cuisine,'Customer Analytics'!$R$4,d_Pay,'Customer Analytics'!$S$4,d_Type,'Customer Analytics'!$T$4)</f>
        <v>3</v>
      </c>
      <c r="C323" s="98" t="n">
        <f aca="false">COUNTIFS(d_Cust,A323,d_Status,"Delivered",d_Year,'Customer Analytics'!$P$4,d_City,'Customer Analytics'!$Q$4,d_Cuisine,'Customer Analytics'!$R$4,d_Pay,'Customer Analytics'!$S$4,d_Type,'Customer Analytics'!$T$4)</f>
        <v>3</v>
      </c>
      <c r="D323" s="99" t="n">
        <f aca="false">SUMIFS(d_Net,d_Cust,A323,d_Status,"Delivered",d_Year,'Customer Analytics'!$P$4,d_City,'Customer Analytics'!$Q$4,d_Cuisine,'Customer Analytics'!$R$4,d_Pay,'Customer Analytics'!$S$4,d_Type,'Customer Analytics'!$T$4)</f>
        <v>1709</v>
      </c>
      <c r="E323" s="100" t="n">
        <f aca="false">IFERROR(AVERAGEIFS(d_CRating,d_Cust,A323,d_Year,'Customer Analytics'!$P$4,d_City,'Customer Analytics'!$Q$4,d_Cuisine,'Customer Analytics'!$R$4,d_Pay,'Customer Analytics'!$S$4,d_Type,'Customer Analytics'!$T$4),0)</f>
        <v>5</v>
      </c>
      <c r="F323" s="98" t="n">
        <f aca="false">D323+ROW()/1000000</f>
        <v>1709.000323</v>
      </c>
      <c r="G323" s="98" t="n">
        <f aca="false">RANK(F323,$F$2:$F$351)</f>
        <v>202</v>
      </c>
    </row>
    <row r="324" customFormat="false" ht="15" hidden="false" customHeight="false" outlineLevel="0" collapsed="false">
      <c r="A324" s="98" t="s">
        <v>662</v>
      </c>
      <c r="B324" s="98" t="n">
        <f aca="false">COUNTIFS(d_Cust,A324,d_Year,'Customer Analytics'!$P$4,d_City,'Customer Analytics'!$Q$4,d_Cuisine,'Customer Analytics'!$R$4,d_Pay,'Customer Analytics'!$S$4,d_Type,'Customer Analytics'!$T$4)</f>
        <v>3</v>
      </c>
      <c r="C324" s="98" t="n">
        <f aca="false">COUNTIFS(d_Cust,A324,d_Status,"Delivered",d_Year,'Customer Analytics'!$P$4,d_City,'Customer Analytics'!$Q$4,d_Cuisine,'Customer Analytics'!$R$4,d_Pay,'Customer Analytics'!$S$4,d_Type,'Customer Analytics'!$T$4)</f>
        <v>3</v>
      </c>
      <c r="D324" s="99" t="n">
        <f aca="false">SUMIFS(d_Net,d_Cust,A324,d_Status,"Delivered",d_Year,'Customer Analytics'!$P$4,d_City,'Customer Analytics'!$Q$4,d_Cuisine,'Customer Analytics'!$R$4,d_Pay,'Customer Analytics'!$S$4,d_Type,'Customer Analytics'!$T$4)</f>
        <v>1444</v>
      </c>
      <c r="E324" s="100" t="n">
        <f aca="false">IFERROR(AVERAGEIFS(d_CRating,d_Cust,A324,d_Year,'Customer Analytics'!$P$4,d_City,'Customer Analytics'!$Q$4,d_Cuisine,'Customer Analytics'!$R$4,d_Pay,'Customer Analytics'!$S$4,d_Type,'Customer Analytics'!$T$4),0)</f>
        <v>5</v>
      </c>
      <c r="F324" s="98" t="n">
        <f aca="false">D324+ROW()/1000000</f>
        <v>1444.000324</v>
      </c>
      <c r="G324" s="98" t="n">
        <f aca="false">RANK(F324,$F$2:$F$351)</f>
        <v>240</v>
      </c>
    </row>
    <row r="325" customFormat="false" ht="15" hidden="false" customHeight="false" outlineLevel="0" collapsed="false">
      <c r="A325" s="98" t="s">
        <v>663</v>
      </c>
      <c r="B325" s="98" t="n">
        <f aca="false">COUNTIFS(d_Cust,A325,d_Year,'Customer Analytics'!$P$4,d_City,'Customer Analytics'!$Q$4,d_Cuisine,'Customer Analytics'!$R$4,d_Pay,'Customer Analytics'!$S$4,d_Type,'Customer Analytics'!$T$4)</f>
        <v>3</v>
      </c>
      <c r="C325" s="98" t="n">
        <f aca="false">COUNTIFS(d_Cust,A325,d_Status,"Delivered",d_Year,'Customer Analytics'!$P$4,d_City,'Customer Analytics'!$Q$4,d_Cuisine,'Customer Analytics'!$R$4,d_Pay,'Customer Analytics'!$S$4,d_Type,'Customer Analytics'!$T$4)</f>
        <v>2</v>
      </c>
      <c r="D325" s="99" t="n">
        <f aca="false">SUMIFS(d_Net,d_Cust,A325,d_Status,"Delivered",d_Year,'Customer Analytics'!$P$4,d_City,'Customer Analytics'!$Q$4,d_Cuisine,'Customer Analytics'!$R$4,d_Pay,'Customer Analytics'!$S$4,d_Type,'Customer Analytics'!$T$4)</f>
        <v>1697</v>
      </c>
      <c r="E325" s="100" t="n">
        <f aca="false">IFERROR(AVERAGEIFS(d_CRating,d_Cust,A325,d_Year,'Customer Analytics'!$P$4,d_City,'Customer Analytics'!$Q$4,d_Cuisine,'Customer Analytics'!$R$4,d_Pay,'Customer Analytics'!$S$4,d_Type,'Customer Analytics'!$T$4),0)</f>
        <v>3.33333333333333</v>
      </c>
      <c r="F325" s="98" t="n">
        <f aca="false">D325+ROW()/1000000</f>
        <v>1697.000325</v>
      </c>
      <c r="G325" s="98" t="n">
        <f aca="false">RANK(F325,$F$2:$F$351)</f>
        <v>205</v>
      </c>
    </row>
    <row r="326" customFormat="false" ht="15" hidden="false" customHeight="false" outlineLevel="0" collapsed="false">
      <c r="A326" s="98" t="s">
        <v>664</v>
      </c>
      <c r="B326" s="98" t="n">
        <f aca="false">COUNTIFS(d_Cust,A326,d_Year,'Customer Analytics'!$P$4,d_City,'Customer Analytics'!$Q$4,d_Cuisine,'Customer Analytics'!$R$4,d_Pay,'Customer Analytics'!$S$4,d_Type,'Customer Analytics'!$T$4)</f>
        <v>3</v>
      </c>
      <c r="C326" s="98" t="n">
        <f aca="false">COUNTIFS(d_Cust,A326,d_Status,"Delivered",d_Year,'Customer Analytics'!$P$4,d_City,'Customer Analytics'!$Q$4,d_Cuisine,'Customer Analytics'!$R$4,d_Pay,'Customer Analytics'!$S$4,d_Type,'Customer Analytics'!$T$4)</f>
        <v>3</v>
      </c>
      <c r="D326" s="99" t="n">
        <f aca="false">SUMIFS(d_Net,d_Cust,A326,d_Status,"Delivered",d_Year,'Customer Analytics'!$P$4,d_City,'Customer Analytics'!$Q$4,d_Cuisine,'Customer Analytics'!$R$4,d_Pay,'Customer Analytics'!$S$4,d_Type,'Customer Analytics'!$T$4)</f>
        <v>1247</v>
      </c>
      <c r="E326" s="100" t="n">
        <f aca="false">IFERROR(AVERAGEIFS(d_CRating,d_Cust,A326,d_Year,'Customer Analytics'!$P$4,d_City,'Customer Analytics'!$Q$4,d_Cuisine,'Customer Analytics'!$R$4,d_Pay,'Customer Analytics'!$S$4,d_Type,'Customer Analytics'!$T$4),0)</f>
        <v>4</v>
      </c>
      <c r="F326" s="98" t="n">
        <f aca="false">D326+ROW()/1000000</f>
        <v>1247.000326</v>
      </c>
      <c r="G326" s="98" t="n">
        <f aca="false">RANK(F326,$F$2:$F$351)</f>
        <v>263</v>
      </c>
    </row>
    <row r="327" customFormat="false" ht="15" hidden="false" customHeight="false" outlineLevel="0" collapsed="false">
      <c r="A327" s="98" t="s">
        <v>665</v>
      </c>
      <c r="B327" s="98" t="n">
        <f aca="false">COUNTIFS(d_Cust,A327,d_Year,'Customer Analytics'!$P$4,d_City,'Customer Analytics'!$Q$4,d_Cuisine,'Customer Analytics'!$R$4,d_Pay,'Customer Analytics'!$S$4,d_Type,'Customer Analytics'!$T$4)</f>
        <v>3</v>
      </c>
      <c r="C327" s="98" t="n">
        <f aca="false">COUNTIFS(d_Cust,A327,d_Status,"Delivered",d_Year,'Customer Analytics'!$P$4,d_City,'Customer Analytics'!$Q$4,d_Cuisine,'Customer Analytics'!$R$4,d_Pay,'Customer Analytics'!$S$4,d_Type,'Customer Analytics'!$T$4)</f>
        <v>3</v>
      </c>
      <c r="D327" s="99" t="n">
        <f aca="false">SUMIFS(d_Net,d_Cust,A327,d_Status,"Delivered",d_Year,'Customer Analytics'!$P$4,d_City,'Customer Analytics'!$Q$4,d_Cuisine,'Customer Analytics'!$R$4,d_Pay,'Customer Analytics'!$S$4,d_Type,'Customer Analytics'!$T$4)</f>
        <v>1663</v>
      </c>
      <c r="E327" s="100" t="n">
        <f aca="false">IFERROR(AVERAGEIFS(d_CRating,d_Cust,A327,d_Year,'Customer Analytics'!$P$4,d_City,'Customer Analytics'!$Q$4,d_Cuisine,'Customer Analytics'!$R$4,d_Pay,'Customer Analytics'!$S$4,d_Type,'Customer Analytics'!$T$4),0)</f>
        <v>4</v>
      </c>
      <c r="F327" s="98" t="n">
        <f aca="false">D327+ROW()/1000000</f>
        <v>1663.000327</v>
      </c>
      <c r="G327" s="98" t="n">
        <f aca="false">RANK(F327,$F$2:$F$351)</f>
        <v>209</v>
      </c>
    </row>
    <row r="328" customFormat="false" ht="15" hidden="false" customHeight="false" outlineLevel="0" collapsed="false">
      <c r="A328" s="98" t="s">
        <v>666</v>
      </c>
      <c r="B328" s="98" t="n">
        <f aca="false">COUNTIFS(d_Cust,A328,d_Year,'Customer Analytics'!$P$4,d_City,'Customer Analytics'!$Q$4,d_Cuisine,'Customer Analytics'!$R$4,d_Pay,'Customer Analytics'!$S$4,d_Type,'Customer Analytics'!$T$4)</f>
        <v>3</v>
      </c>
      <c r="C328" s="98" t="n">
        <f aca="false">COUNTIFS(d_Cust,A328,d_Status,"Delivered",d_Year,'Customer Analytics'!$P$4,d_City,'Customer Analytics'!$Q$4,d_Cuisine,'Customer Analytics'!$R$4,d_Pay,'Customer Analytics'!$S$4,d_Type,'Customer Analytics'!$T$4)</f>
        <v>1</v>
      </c>
      <c r="D328" s="99" t="n">
        <f aca="false">SUMIFS(d_Net,d_Cust,A328,d_Status,"Delivered",d_Year,'Customer Analytics'!$P$4,d_City,'Customer Analytics'!$Q$4,d_Cuisine,'Customer Analytics'!$R$4,d_Pay,'Customer Analytics'!$S$4,d_Type,'Customer Analytics'!$T$4)</f>
        <v>495</v>
      </c>
      <c r="E328" s="100" t="n">
        <f aca="false">IFERROR(AVERAGEIFS(d_CRating,d_Cust,A328,d_Year,'Customer Analytics'!$P$4,d_City,'Customer Analytics'!$Q$4,d_Cuisine,'Customer Analytics'!$R$4,d_Pay,'Customer Analytics'!$S$4,d_Type,'Customer Analytics'!$T$4),0)</f>
        <v>4</v>
      </c>
      <c r="F328" s="98" t="n">
        <f aca="false">D328+ROW()/1000000</f>
        <v>495.000328</v>
      </c>
      <c r="G328" s="98" t="n">
        <f aca="false">RANK(F328,$F$2:$F$351)</f>
        <v>329</v>
      </c>
    </row>
    <row r="329" customFormat="false" ht="15" hidden="false" customHeight="false" outlineLevel="0" collapsed="false">
      <c r="A329" s="98" t="s">
        <v>667</v>
      </c>
      <c r="B329" s="98" t="n">
        <f aca="false">COUNTIFS(d_Cust,A329,d_Year,'Customer Analytics'!$P$4,d_City,'Customer Analytics'!$Q$4,d_Cuisine,'Customer Analytics'!$R$4,d_Pay,'Customer Analytics'!$S$4,d_Type,'Customer Analytics'!$T$4)</f>
        <v>3</v>
      </c>
      <c r="C329" s="98" t="n">
        <f aca="false">COUNTIFS(d_Cust,A329,d_Status,"Delivered",d_Year,'Customer Analytics'!$P$4,d_City,'Customer Analytics'!$Q$4,d_Cuisine,'Customer Analytics'!$R$4,d_Pay,'Customer Analytics'!$S$4,d_Type,'Customer Analytics'!$T$4)</f>
        <v>2</v>
      </c>
      <c r="D329" s="99" t="n">
        <f aca="false">SUMIFS(d_Net,d_Cust,A329,d_Status,"Delivered",d_Year,'Customer Analytics'!$P$4,d_City,'Customer Analytics'!$Q$4,d_Cuisine,'Customer Analytics'!$R$4,d_Pay,'Customer Analytics'!$S$4,d_Type,'Customer Analytics'!$T$4)</f>
        <v>1368</v>
      </c>
      <c r="E329" s="100" t="n">
        <f aca="false">IFERROR(AVERAGEIFS(d_CRating,d_Cust,A329,d_Year,'Customer Analytics'!$P$4,d_City,'Customer Analytics'!$Q$4,d_Cuisine,'Customer Analytics'!$R$4,d_Pay,'Customer Analytics'!$S$4,d_Type,'Customer Analytics'!$T$4),0)</f>
        <v>4</v>
      </c>
      <c r="F329" s="98" t="n">
        <f aca="false">D329+ROW()/1000000</f>
        <v>1368.000329</v>
      </c>
      <c r="G329" s="98" t="n">
        <f aca="false">RANK(F329,$F$2:$F$351)</f>
        <v>252</v>
      </c>
    </row>
    <row r="330" customFormat="false" ht="15" hidden="false" customHeight="false" outlineLevel="0" collapsed="false">
      <c r="A330" s="98" t="s">
        <v>668</v>
      </c>
      <c r="B330" s="98" t="n">
        <f aca="false">COUNTIFS(d_Cust,A330,d_Year,'Customer Analytics'!$P$4,d_City,'Customer Analytics'!$Q$4,d_Cuisine,'Customer Analytics'!$R$4,d_Pay,'Customer Analytics'!$S$4,d_Type,'Customer Analytics'!$T$4)</f>
        <v>3</v>
      </c>
      <c r="C330" s="98" t="n">
        <f aca="false">COUNTIFS(d_Cust,A330,d_Status,"Delivered",d_Year,'Customer Analytics'!$P$4,d_City,'Customer Analytics'!$Q$4,d_Cuisine,'Customer Analytics'!$R$4,d_Pay,'Customer Analytics'!$S$4,d_Type,'Customer Analytics'!$T$4)</f>
        <v>2</v>
      </c>
      <c r="D330" s="99" t="n">
        <f aca="false">SUMIFS(d_Net,d_Cust,A330,d_Status,"Delivered",d_Year,'Customer Analytics'!$P$4,d_City,'Customer Analytics'!$Q$4,d_Cuisine,'Customer Analytics'!$R$4,d_Pay,'Customer Analytics'!$S$4,d_Type,'Customer Analytics'!$T$4)</f>
        <v>1511</v>
      </c>
      <c r="E330" s="100" t="n">
        <f aca="false">IFERROR(AVERAGEIFS(d_CRating,d_Cust,A330,d_Year,'Customer Analytics'!$P$4,d_City,'Customer Analytics'!$Q$4,d_Cuisine,'Customer Analytics'!$R$4,d_Pay,'Customer Analytics'!$S$4,d_Type,'Customer Analytics'!$T$4),0)</f>
        <v>3.33333333333333</v>
      </c>
      <c r="F330" s="98" t="n">
        <f aca="false">D330+ROW()/1000000</f>
        <v>1511.00033</v>
      </c>
      <c r="G330" s="98" t="n">
        <f aca="false">RANK(F330,$F$2:$F$351)</f>
        <v>234</v>
      </c>
    </row>
    <row r="331" customFormat="false" ht="15" hidden="false" customHeight="false" outlineLevel="0" collapsed="false">
      <c r="A331" s="98" t="s">
        <v>669</v>
      </c>
      <c r="B331" s="98" t="n">
        <f aca="false">COUNTIFS(d_Cust,A331,d_Year,'Customer Analytics'!$P$4,d_City,'Customer Analytics'!$Q$4,d_Cuisine,'Customer Analytics'!$R$4,d_Pay,'Customer Analytics'!$S$4,d_Type,'Customer Analytics'!$T$4)</f>
        <v>3</v>
      </c>
      <c r="C331" s="98" t="n">
        <f aca="false">COUNTIFS(d_Cust,A331,d_Status,"Delivered",d_Year,'Customer Analytics'!$P$4,d_City,'Customer Analytics'!$Q$4,d_Cuisine,'Customer Analytics'!$R$4,d_Pay,'Customer Analytics'!$S$4,d_Type,'Customer Analytics'!$T$4)</f>
        <v>2</v>
      </c>
      <c r="D331" s="99" t="n">
        <f aca="false">SUMIFS(d_Net,d_Cust,A331,d_Status,"Delivered",d_Year,'Customer Analytics'!$P$4,d_City,'Customer Analytics'!$Q$4,d_Cuisine,'Customer Analytics'!$R$4,d_Pay,'Customer Analytics'!$S$4,d_Type,'Customer Analytics'!$T$4)</f>
        <v>1699</v>
      </c>
      <c r="E331" s="100" t="n">
        <f aca="false">IFERROR(AVERAGEIFS(d_CRating,d_Cust,A331,d_Year,'Customer Analytics'!$P$4,d_City,'Customer Analytics'!$Q$4,d_Cuisine,'Customer Analytics'!$R$4,d_Pay,'Customer Analytics'!$S$4,d_Type,'Customer Analytics'!$T$4),0)</f>
        <v>3.66666666666667</v>
      </c>
      <c r="F331" s="98" t="n">
        <f aca="false">D331+ROW()/1000000</f>
        <v>1699.000331</v>
      </c>
      <c r="G331" s="98" t="n">
        <f aca="false">RANK(F331,$F$2:$F$351)</f>
        <v>204</v>
      </c>
    </row>
    <row r="332" customFormat="false" ht="15" hidden="false" customHeight="false" outlineLevel="0" collapsed="false">
      <c r="A332" s="98" t="s">
        <v>670</v>
      </c>
      <c r="B332" s="98" t="n">
        <f aca="false">COUNTIFS(d_Cust,A332,d_Year,'Customer Analytics'!$P$4,d_City,'Customer Analytics'!$Q$4,d_Cuisine,'Customer Analytics'!$R$4,d_Pay,'Customer Analytics'!$S$4,d_Type,'Customer Analytics'!$T$4)</f>
        <v>3</v>
      </c>
      <c r="C332" s="98" t="n">
        <f aca="false">COUNTIFS(d_Cust,A332,d_Status,"Delivered",d_Year,'Customer Analytics'!$P$4,d_City,'Customer Analytics'!$Q$4,d_Cuisine,'Customer Analytics'!$R$4,d_Pay,'Customer Analytics'!$S$4,d_Type,'Customer Analytics'!$T$4)</f>
        <v>3</v>
      </c>
      <c r="D332" s="99" t="n">
        <f aca="false">SUMIFS(d_Net,d_Cust,A332,d_Status,"Delivered",d_Year,'Customer Analytics'!$P$4,d_City,'Customer Analytics'!$Q$4,d_Cuisine,'Customer Analytics'!$R$4,d_Pay,'Customer Analytics'!$S$4,d_Type,'Customer Analytics'!$T$4)</f>
        <v>736</v>
      </c>
      <c r="E332" s="100" t="n">
        <f aca="false">IFERROR(AVERAGEIFS(d_CRating,d_Cust,A332,d_Year,'Customer Analytics'!$P$4,d_City,'Customer Analytics'!$Q$4,d_Cuisine,'Customer Analytics'!$R$4,d_Pay,'Customer Analytics'!$S$4,d_Type,'Customer Analytics'!$T$4),0)</f>
        <v>4.33333333333333</v>
      </c>
      <c r="F332" s="98" t="n">
        <f aca="false">D332+ROW()/1000000</f>
        <v>736.000332</v>
      </c>
      <c r="G332" s="98" t="n">
        <f aca="false">RANK(F332,$F$2:$F$351)</f>
        <v>310</v>
      </c>
    </row>
    <row r="333" customFormat="false" ht="15" hidden="false" customHeight="false" outlineLevel="0" collapsed="false">
      <c r="A333" s="98" t="s">
        <v>671</v>
      </c>
      <c r="B333" s="98" t="n">
        <f aca="false">COUNTIFS(d_Cust,A333,d_Year,'Customer Analytics'!$P$4,d_City,'Customer Analytics'!$Q$4,d_Cuisine,'Customer Analytics'!$R$4,d_Pay,'Customer Analytics'!$S$4,d_Type,'Customer Analytics'!$T$4)</f>
        <v>3</v>
      </c>
      <c r="C333" s="98" t="n">
        <f aca="false">COUNTIFS(d_Cust,A333,d_Status,"Delivered",d_Year,'Customer Analytics'!$P$4,d_City,'Customer Analytics'!$Q$4,d_Cuisine,'Customer Analytics'!$R$4,d_Pay,'Customer Analytics'!$S$4,d_Type,'Customer Analytics'!$T$4)</f>
        <v>3</v>
      </c>
      <c r="D333" s="99" t="n">
        <f aca="false">SUMIFS(d_Net,d_Cust,A333,d_Status,"Delivered",d_Year,'Customer Analytics'!$P$4,d_City,'Customer Analytics'!$Q$4,d_Cuisine,'Customer Analytics'!$R$4,d_Pay,'Customer Analytics'!$S$4,d_Type,'Customer Analytics'!$T$4)</f>
        <v>2953</v>
      </c>
      <c r="E333" s="100" t="n">
        <f aca="false">IFERROR(AVERAGEIFS(d_CRating,d_Cust,A333,d_Year,'Customer Analytics'!$P$4,d_City,'Customer Analytics'!$Q$4,d_Cuisine,'Customer Analytics'!$R$4,d_Pay,'Customer Analytics'!$S$4,d_Type,'Customer Analytics'!$T$4),0)</f>
        <v>4</v>
      </c>
      <c r="F333" s="98" t="n">
        <f aca="false">D333+ROW()/1000000</f>
        <v>2953.000333</v>
      </c>
      <c r="G333" s="98" t="n">
        <f aca="false">RANK(F333,$F$2:$F$351)</f>
        <v>64</v>
      </c>
    </row>
    <row r="334" customFormat="false" ht="15" hidden="false" customHeight="false" outlineLevel="0" collapsed="false">
      <c r="A334" s="98" t="s">
        <v>672</v>
      </c>
      <c r="B334" s="98" t="n">
        <f aca="false">COUNTIFS(d_Cust,A334,d_Year,'Customer Analytics'!$P$4,d_City,'Customer Analytics'!$Q$4,d_Cuisine,'Customer Analytics'!$R$4,d_Pay,'Customer Analytics'!$S$4,d_Type,'Customer Analytics'!$T$4)</f>
        <v>3</v>
      </c>
      <c r="C334" s="98" t="n">
        <f aca="false">COUNTIFS(d_Cust,A334,d_Status,"Delivered",d_Year,'Customer Analytics'!$P$4,d_City,'Customer Analytics'!$Q$4,d_Cuisine,'Customer Analytics'!$R$4,d_Pay,'Customer Analytics'!$S$4,d_Type,'Customer Analytics'!$T$4)</f>
        <v>2</v>
      </c>
      <c r="D334" s="99" t="n">
        <f aca="false">SUMIFS(d_Net,d_Cust,A334,d_Status,"Delivered",d_Year,'Customer Analytics'!$P$4,d_City,'Customer Analytics'!$Q$4,d_Cuisine,'Customer Analytics'!$R$4,d_Pay,'Customer Analytics'!$S$4,d_Type,'Customer Analytics'!$T$4)</f>
        <v>1818</v>
      </c>
      <c r="E334" s="100" t="n">
        <f aca="false">IFERROR(AVERAGEIFS(d_CRating,d_Cust,A334,d_Year,'Customer Analytics'!$P$4,d_City,'Customer Analytics'!$Q$4,d_Cuisine,'Customer Analytics'!$R$4,d_Pay,'Customer Analytics'!$S$4,d_Type,'Customer Analytics'!$T$4),0)</f>
        <v>4.66666666666667</v>
      </c>
      <c r="F334" s="98" t="n">
        <f aca="false">D334+ROW()/1000000</f>
        <v>1818.000334</v>
      </c>
      <c r="G334" s="98" t="n">
        <f aca="false">RANK(F334,$F$2:$F$351)</f>
        <v>185</v>
      </c>
    </row>
    <row r="335" customFormat="false" ht="15" hidden="false" customHeight="false" outlineLevel="0" collapsed="false">
      <c r="A335" s="98" t="s">
        <v>673</v>
      </c>
      <c r="B335" s="98" t="n">
        <f aca="false">COUNTIFS(d_Cust,A335,d_Year,'Customer Analytics'!$P$4,d_City,'Customer Analytics'!$Q$4,d_Cuisine,'Customer Analytics'!$R$4,d_Pay,'Customer Analytics'!$S$4,d_Type,'Customer Analytics'!$T$4)</f>
        <v>3</v>
      </c>
      <c r="C335" s="98" t="n">
        <f aca="false">COUNTIFS(d_Cust,A335,d_Status,"Delivered",d_Year,'Customer Analytics'!$P$4,d_City,'Customer Analytics'!$Q$4,d_Cuisine,'Customer Analytics'!$R$4,d_Pay,'Customer Analytics'!$S$4,d_Type,'Customer Analytics'!$T$4)</f>
        <v>3</v>
      </c>
      <c r="D335" s="99" t="n">
        <f aca="false">SUMIFS(d_Net,d_Cust,A335,d_Status,"Delivered",d_Year,'Customer Analytics'!$P$4,d_City,'Customer Analytics'!$Q$4,d_Cuisine,'Customer Analytics'!$R$4,d_Pay,'Customer Analytics'!$S$4,d_Type,'Customer Analytics'!$T$4)</f>
        <v>3126</v>
      </c>
      <c r="E335" s="100" t="n">
        <f aca="false">IFERROR(AVERAGEIFS(d_CRating,d_Cust,A335,d_Year,'Customer Analytics'!$P$4,d_City,'Customer Analytics'!$Q$4,d_Cuisine,'Customer Analytics'!$R$4,d_Pay,'Customer Analytics'!$S$4,d_Type,'Customer Analytics'!$T$4),0)</f>
        <v>4.33333333333333</v>
      </c>
      <c r="F335" s="98" t="n">
        <f aca="false">D335+ROW()/1000000</f>
        <v>3126.000335</v>
      </c>
      <c r="G335" s="98" t="n">
        <f aca="false">RANK(F335,$F$2:$F$351)</f>
        <v>52</v>
      </c>
    </row>
    <row r="336" customFormat="false" ht="15" hidden="false" customHeight="false" outlineLevel="0" collapsed="false">
      <c r="A336" s="98" t="s">
        <v>674</v>
      </c>
      <c r="B336" s="98" t="n">
        <f aca="false">COUNTIFS(d_Cust,A336,d_Year,'Customer Analytics'!$P$4,d_City,'Customer Analytics'!$Q$4,d_Cuisine,'Customer Analytics'!$R$4,d_Pay,'Customer Analytics'!$S$4,d_Type,'Customer Analytics'!$T$4)</f>
        <v>3</v>
      </c>
      <c r="C336" s="98" t="n">
        <f aca="false">COUNTIFS(d_Cust,A336,d_Status,"Delivered",d_Year,'Customer Analytics'!$P$4,d_City,'Customer Analytics'!$Q$4,d_Cuisine,'Customer Analytics'!$R$4,d_Pay,'Customer Analytics'!$S$4,d_Type,'Customer Analytics'!$T$4)</f>
        <v>1</v>
      </c>
      <c r="D336" s="99" t="n">
        <f aca="false">SUMIFS(d_Net,d_Cust,A336,d_Status,"Delivered",d_Year,'Customer Analytics'!$P$4,d_City,'Customer Analytics'!$Q$4,d_Cuisine,'Customer Analytics'!$R$4,d_Pay,'Customer Analytics'!$S$4,d_Type,'Customer Analytics'!$T$4)</f>
        <v>560</v>
      </c>
      <c r="E336" s="100" t="n">
        <f aca="false">IFERROR(AVERAGEIFS(d_CRating,d_Cust,A336,d_Year,'Customer Analytics'!$P$4,d_City,'Customer Analytics'!$Q$4,d_Cuisine,'Customer Analytics'!$R$4,d_Pay,'Customer Analytics'!$S$4,d_Type,'Customer Analytics'!$T$4),0)</f>
        <v>4.33333333333333</v>
      </c>
      <c r="F336" s="98" t="n">
        <f aca="false">D336+ROW()/1000000</f>
        <v>560.000336</v>
      </c>
      <c r="G336" s="98" t="n">
        <f aca="false">RANK(F336,$F$2:$F$351)</f>
        <v>324</v>
      </c>
    </row>
    <row r="337" customFormat="false" ht="15" hidden="false" customHeight="false" outlineLevel="0" collapsed="false">
      <c r="A337" s="98" t="s">
        <v>675</v>
      </c>
      <c r="B337" s="98" t="n">
        <f aca="false">COUNTIFS(d_Cust,A337,d_Year,'Customer Analytics'!$P$4,d_City,'Customer Analytics'!$Q$4,d_Cuisine,'Customer Analytics'!$R$4,d_Pay,'Customer Analytics'!$S$4,d_Type,'Customer Analytics'!$T$4)</f>
        <v>3</v>
      </c>
      <c r="C337" s="98" t="n">
        <f aca="false">COUNTIFS(d_Cust,A337,d_Status,"Delivered",d_Year,'Customer Analytics'!$P$4,d_City,'Customer Analytics'!$Q$4,d_Cuisine,'Customer Analytics'!$R$4,d_Pay,'Customer Analytics'!$S$4,d_Type,'Customer Analytics'!$T$4)</f>
        <v>2</v>
      </c>
      <c r="D337" s="99" t="n">
        <f aca="false">SUMIFS(d_Net,d_Cust,A337,d_Status,"Delivered",d_Year,'Customer Analytics'!$P$4,d_City,'Customer Analytics'!$Q$4,d_Cuisine,'Customer Analytics'!$R$4,d_Pay,'Customer Analytics'!$S$4,d_Type,'Customer Analytics'!$T$4)</f>
        <v>1700</v>
      </c>
      <c r="E337" s="100" t="n">
        <f aca="false">IFERROR(AVERAGEIFS(d_CRating,d_Cust,A337,d_Year,'Customer Analytics'!$P$4,d_City,'Customer Analytics'!$Q$4,d_Cuisine,'Customer Analytics'!$R$4,d_Pay,'Customer Analytics'!$S$4,d_Type,'Customer Analytics'!$T$4),0)</f>
        <v>3</v>
      </c>
      <c r="F337" s="98" t="n">
        <f aca="false">D337+ROW()/1000000</f>
        <v>1700.000337</v>
      </c>
      <c r="G337" s="98" t="n">
        <f aca="false">RANK(F337,$F$2:$F$351)</f>
        <v>203</v>
      </c>
    </row>
    <row r="338" customFormat="false" ht="15" hidden="false" customHeight="false" outlineLevel="0" collapsed="false">
      <c r="A338" s="98" t="s">
        <v>676</v>
      </c>
      <c r="B338" s="98" t="n">
        <f aca="false">COUNTIFS(d_Cust,A338,d_Year,'Customer Analytics'!$P$4,d_City,'Customer Analytics'!$Q$4,d_Cuisine,'Customer Analytics'!$R$4,d_Pay,'Customer Analytics'!$S$4,d_Type,'Customer Analytics'!$T$4)</f>
        <v>3</v>
      </c>
      <c r="C338" s="98" t="n">
        <f aca="false">COUNTIFS(d_Cust,A338,d_Status,"Delivered",d_Year,'Customer Analytics'!$P$4,d_City,'Customer Analytics'!$Q$4,d_Cuisine,'Customer Analytics'!$R$4,d_Pay,'Customer Analytics'!$S$4,d_Type,'Customer Analytics'!$T$4)</f>
        <v>2</v>
      </c>
      <c r="D338" s="99" t="n">
        <f aca="false">SUMIFS(d_Net,d_Cust,A338,d_Status,"Delivered",d_Year,'Customer Analytics'!$P$4,d_City,'Customer Analytics'!$Q$4,d_Cuisine,'Customer Analytics'!$R$4,d_Pay,'Customer Analytics'!$S$4,d_Type,'Customer Analytics'!$T$4)</f>
        <v>2099</v>
      </c>
      <c r="E338" s="100" t="n">
        <f aca="false">IFERROR(AVERAGEIFS(d_CRating,d_Cust,A338,d_Year,'Customer Analytics'!$P$4,d_City,'Customer Analytics'!$Q$4,d_Cuisine,'Customer Analytics'!$R$4,d_Pay,'Customer Analytics'!$S$4,d_Type,'Customer Analytics'!$T$4),0)</f>
        <v>4</v>
      </c>
      <c r="F338" s="98" t="n">
        <f aca="false">D338+ROW()/1000000</f>
        <v>2099.000338</v>
      </c>
      <c r="G338" s="98" t="n">
        <f aca="false">RANK(F338,$F$2:$F$351)</f>
        <v>155</v>
      </c>
    </row>
    <row r="339" customFormat="false" ht="15" hidden="false" customHeight="false" outlineLevel="0" collapsed="false">
      <c r="A339" s="98" t="s">
        <v>677</v>
      </c>
      <c r="B339" s="98" t="n">
        <f aca="false">COUNTIFS(d_Cust,A339,d_Year,'Customer Analytics'!$P$4,d_City,'Customer Analytics'!$Q$4,d_Cuisine,'Customer Analytics'!$R$4,d_Pay,'Customer Analytics'!$S$4,d_Type,'Customer Analytics'!$T$4)</f>
        <v>3</v>
      </c>
      <c r="C339" s="98" t="n">
        <f aca="false">COUNTIFS(d_Cust,A339,d_Status,"Delivered",d_Year,'Customer Analytics'!$P$4,d_City,'Customer Analytics'!$Q$4,d_Cuisine,'Customer Analytics'!$R$4,d_Pay,'Customer Analytics'!$S$4,d_Type,'Customer Analytics'!$T$4)</f>
        <v>1</v>
      </c>
      <c r="D339" s="99" t="n">
        <f aca="false">SUMIFS(d_Net,d_Cust,A339,d_Status,"Delivered",d_Year,'Customer Analytics'!$P$4,d_City,'Customer Analytics'!$Q$4,d_Cuisine,'Customer Analytics'!$R$4,d_Pay,'Customer Analytics'!$S$4,d_Type,'Customer Analytics'!$T$4)</f>
        <v>438</v>
      </c>
      <c r="E339" s="100" t="n">
        <f aca="false">IFERROR(AVERAGEIFS(d_CRating,d_Cust,A339,d_Year,'Customer Analytics'!$P$4,d_City,'Customer Analytics'!$Q$4,d_Cuisine,'Customer Analytics'!$R$4,d_Pay,'Customer Analytics'!$S$4,d_Type,'Customer Analytics'!$T$4),0)</f>
        <v>3.66666666666667</v>
      </c>
      <c r="F339" s="98" t="n">
        <f aca="false">D339+ROW()/1000000</f>
        <v>438.000339</v>
      </c>
      <c r="G339" s="98" t="n">
        <f aca="false">RANK(F339,$F$2:$F$351)</f>
        <v>334</v>
      </c>
    </row>
    <row r="340" customFormat="false" ht="15" hidden="false" customHeight="false" outlineLevel="0" collapsed="false">
      <c r="A340" s="98" t="s">
        <v>678</v>
      </c>
      <c r="B340" s="98" t="n">
        <f aca="false">COUNTIFS(d_Cust,A340,d_Year,'Customer Analytics'!$P$4,d_City,'Customer Analytics'!$Q$4,d_Cuisine,'Customer Analytics'!$R$4,d_Pay,'Customer Analytics'!$S$4,d_Type,'Customer Analytics'!$T$4)</f>
        <v>3</v>
      </c>
      <c r="C340" s="98" t="n">
        <f aca="false">COUNTIFS(d_Cust,A340,d_Status,"Delivered",d_Year,'Customer Analytics'!$P$4,d_City,'Customer Analytics'!$Q$4,d_Cuisine,'Customer Analytics'!$R$4,d_Pay,'Customer Analytics'!$S$4,d_Type,'Customer Analytics'!$T$4)</f>
        <v>1</v>
      </c>
      <c r="D340" s="99" t="n">
        <f aca="false">SUMIFS(d_Net,d_Cust,A340,d_Status,"Delivered",d_Year,'Customer Analytics'!$P$4,d_City,'Customer Analytics'!$Q$4,d_Cuisine,'Customer Analytics'!$R$4,d_Pay,'Customer Analytics'!$S$4,d_Type,'Customer Analytics'!$T$4)</f>
        <v>131</v>
      </c>
      <c r="E340" s="100" t="n">
        <f aca="false">IFERROR(AVERAGEIFS(d_CRating,d_Cust,A340,d_Year,'Customer Analytics'!$P$4,d_City,'Customer Analytics'!$Q$4,d_Cuisine,'Customer Analytics'!$R$4,d_Pay,'Customer Analytics'!$S$4,d_Type,'Customer Analytics'!$T$4),0)</f>
        <v>3.33333333333333</v>
      </c>
      <c r="F340" s="98" t="n">
        <f aca="false">D340+ROW()/1000000</f>
        <v>131.00034</v>
      </c>
      <c r="G340" s="98" t="n">
        <f aca="false">RANK(F340,$F$2:$F$351)</f>
        <v>344</v>
      </c>
    </row>
    <row r="341" customFormat="false" ht="15" hidden="false" customHeight="false" outlineLevel="0" collapsed="false">
      <c r="A341" s="98" t="s">
        <v>679</v>
      </c>
      <c r="B341" s="98" t="n">
        <f aca="false">COUNTIFS(d_Cust,A341,d_Year,'Customer Analytics'!$P$4,d_City,'Customer Analytics'!$Q$4,d_Cuisine,'Customer Analytics'!$R$4,d_Pay,'Customer Analytics'!$S$4,d_Type,'Customer Analytics'!$T$4)</f>
        <v>3</v>
      </c>
      <c r="C341" s="98" t="n">
        <f aca="false">COUNTIFS(d_Cust,A341,d_Status,"Delivered",d_Year,'Customer Analytics'!$P$4,d_City,'Customer Analytics'!$Q$4,d_Cuisine,'Customer Analytics'!$R$4,d_Pay,'Customer Analytics'!$S$4,d_Type,'Customer Analytics'!$T$4)</f>
        <v>1</v>
      </c>
      <c r="D341" s="99" t="n">
        <f aca="false">SUMIFS(d_Net,d_Cust,A341,d_Status,"Delivered",d_Year,'Customer Analytics'!$P$4,d_City,'Customer Analytics'!$Q$4,d_Cuisine,'Customer Analytics'!$R$4,d_Pay,'Customer Analytics'!$S$4,d_Type,'Customer Analytics'!$T$4)</f>
        <v>191</v>
      </c>
      <c r="E341" s="100" t="n">
        <f aca="false">IFERROR(AVERAGEIFS(d_CRating,d_Cust,A341,d_Year,'Customer Analytics'!$P$4,d_City,'Customer Analytics'!$Q$4,d_Cuisine,'Customer Analytics'!$R$4,d_Pay,'Customer Analytics'!$S$4,d_Type,'Customer Analytics'!$T$4),0)</f>
        <v>4.66666666666667</v>
      </c>
      <c r="F341" s="98" t="n">
        <f aca="false">D341+ROW()/1000000</f>
        <v>191.000341</v>
      </c>
      <c r="G341" s="98" t="n">
        <f aca="false">RANK(F341,$F$2:$F$351)</f>
        <v>343</v>
      </c>
    </row>
    <row r="342" customFormat="false" ht="15" hidden="false" customHeight="false" outlineLevel="0" collapsed="false">
      <c r="A342" s="98" t="s">
        <v>680</v>
      </c>
      <c r="B342" s="98" t="n">
        <f aca="false">COUNTIFS(d_Cust,A342,d_Year,'Customer Analytics'!$P$4,d_City,'Customer Analytics'!$Q$4,d_Cuisine,'Customer Analytics'!$R$4,d_Pay,'Customer Analytics'!$S$4,d_Type,'Customer Analytics'!$T$4)</f>
        <v>3</v>
      </c>
      <c r="C342" s="98" t="n">
        <f aca="false">COUNTIFS(d_Cust,A342,d_Status,"Delivered",d_Year,'Customer Analytics'!$P$4,d_City,'Customer Analytics'!$Q$4,d_Cuisine,'Customer Analytics'!$R$4,d_Pay,'Customer Analytics'!$S$4,d_Type,'Customer Analytics'!$T$4)</f>
        <v>2</v>
      </c>
      <c r="D342" s="99" t="n">
        <f aca="false">SUMIFS(d_Net,d_Cust,A342,d_Status,"Delivered",d_Year,'Customer Analytics'!$P$4,d_City,'Customer Analytics'!$Q$4,d_Cuisine,'Customer Analytics'!$R$4,d_Pay,'Customer Analytics'!$S$4,d_Type,'Customer Analytics'!$T$4)</f>
        <v>2447</v>
      </c>
      <c r="E342" s="100" t="n">
        <f aca="false">IFERROR(AVERAGEIFS(d_CRating,d_Cust,A342,d_Year,'Customer Analytics'!$P$4,d_City,'Customer Analytics'!$Q$4,d_Cuisine,'Customer Analytics'!$R$4,d_Pay,'Customer Analytics'!$S$4,d_Type,'Customer Analytics'!$T$4),0)</f>
        <v>4.66666666666667</v>
      </c>
      <c r="F342" s="98" t="n">
        <f aca="false">D342+ROW()/1000000</f>
        <v>2447.000342</v>
      </c>
      <c r="G342" s="98" t="n">
        <f aca="false">RANK(F342,$F$2:$F$351)</f>
        <v>121</v>
      </c>
    </row>
    <row r="343" customFormat="false" ht="15" hidden="false" customHeight="false" outlineLevel="0" collapsed="false">
      <c r="A343" s="98" t="s">
        <v>681</v>
      </c>
      <c r="B343" s="98" t="n">
        <f aca="false">COUNTIFS(d_Cust,A343,d_Year,'Customer Analytics'!$P$4,d_City,'Customer Analytics'!$Q$4,d_Cuisine,'Customer Analytics'!$R$4,d_Pay,'Customer Analytics'!$S$4,d_Type,'Customer Analytics'!$T$4)</f>
        <v>3</v>
      </c>
      <c r="C343" s="98" t="n">
        <f aca="false">COUNTIFS(d_Cust,A343,d_Status,"Delivered",d_Year,'Customer Analytics'!$P$4,d_City,'Customer Analytics'!$Q$4,d_Cuisine,'Customer Analytics'!$R$4,d_Pay,'Customer Analytics'!$S$4,d_Type,'Customer Analytics'!$T$4)</f>
        <v>2</v>
      </c>
      <c r="D343" s="99" t="n">
        <f aca="false">SUMIFS(d_Net,d_Cust,A343,d_Status,"Delivered",d_Year,'Customer Analytics'!$P$4,d_City,'Customer Analytics'!$Q$4,d_Cuisine,'Customer Analytics'!$R$4,d_Pay,'Customer Analytics'!$S$4,d_Type,'Customer Analytics'!$T$4)</f>
        <v>1773</v>
      </c>
      <c r="E343" s="100" t="n">
        <f aca="false">IFERROR(AVERAGEIFS(d_CRating,d_Cust,A343,d_Year,'Customer Analytics'!$P$4,d_City,'Customer Analytics'!$Q$4,d_Cuisine,'Customer Analytics'!$R$4,d_Pay,'Customer Analytics'!$S$4,d_Type,'Customer Analytics'!$T$4),0)</f>
        <v>5</v>
      </c>
      <c r="F343" s="98" t="n">
        <f aca="false">D343+ROW()/1000000</f>
        <v>1773.000343</v>
      </c>
      <c r="G343" s="98" t="n">
        <f aca="false">RANK(F343,$F$2:$F$351)</f>
        <v>191</v>
      </c>
    </row>
    <row r="344" customFormat="false" ht="15" hidden="false" customHeight="false" outlineLevel="0" collapsed="false">
      <c r="A344" s="98" t="s">
        <v>682</v>
      </c>
      <c r="B344" s="98" t="n">
        <f aca="false">COUNTIFS(d_Cust,A344,d_Year,'Customer Analytics'!$P$4,d_City,'Customer Analytics'!$Q$4,d_Cuisine,'Customer Analytics'!$R$4,d_Pay,'Customer Analytics'!$S$4,d_Type,'Customer Analytics'!$T$4)</f>
        <v>3</v>
      </c>
      <c r="C344" s="98" t="n">
        <f aca="false">COUNTIFS(d_Cust,A344,d_Status,"Delivered",d_Year,'Customer Analytics'!$P$4,d_City,'Customer Analytics'!$Q$4,d_Cuisine,'Customer Analytics'!$R$4,d_Pay,'Customer Analytics'!$S$4,d_Type,'Customer Analytics'!$T$4)</f>
        <v>3</v>
      </c>
      <c r="D344" s="99" t="n">
        <f aca="false">SUMIFS(d_Net,d_Cust,A344,d_Status,"Delivered",d_Year,'Customer Analytics'!$P$4,d_City,'Customer Analytics'!$Q$4,d_Cuisine,'Customer Analytics'!$R$4,d_Pay,'Customer Analytics'!$S$4,d_Type,'Customer Analytics'!$T$4)</f>
        <v>1766</v>
      </c>
      <c r="E344" s="100" t="n">
        <f aca="false">IFERROR(AVERAGEIFS(d_CRating,d_Cust,A344,d_Year,'Customer Analytics'!$P$4,d_City,'Customer Analytics'!$Q$4,d_Cuisine,'Customer Analytics'!$R$4,d_Pay,'Customer Analytics'!$S$4,d_Type,'Customer Analytics'!$T$4),0)</f>
        <v>4.33333333333333</v>
      </c>
      <c r="F344" s="98" t="n">
        <f aca="false">D344+ROW()/1000000</f>
        <v>1766.000344</v>
      </c>
      <c r="G344" s="98" t="n">
        <f aca="false">RANK(F344,$F$2:$F$351)</f>
        <v>193</v>
      </c>
    </row>
    <row r="345" customFormat="false" ht="15" hidden="false" customHeight="false" outlineLevel="0" collapsed="false">
      <c r="A345" s="98" t="s">
        <v>683</v>
      </c>
      <c r="B345" s="98" t="n">
        <f aca="false">COUNTIFS(d_Cust,A345,d_Year,'Customer Analytics'!$P$4,d_City,'Customer Analytics'!$Q$4,d_Cuisine,'Customer Analytics'!$R$4,d_Pay,'Customer Analytics'!$S$4,d_Type,'Customer Analytics'!$T$4)</f>
        <v>3</v>
      </c>
      <c r="C345" s="98" t="n">
        <f aca="false">COUNTIFS(d_Cust,A345,d_Status,"Delivered",d_Year,'Customer Analytics'!$P$4,d_City,'Customer Analytics'!$Q$4,d_Cuisine,'Customer Analytics'!$R$4,d_Pay,'Customer Analytics'!$S$4,d_Type,'Customer Analytics'!$T$4)</f>
        <v>3</v>
      </c>
      <c r="D345" s="99" t="n">
        <f aca="false">SUMIFS(d_Net,d_Cust,A345,d_Status,"Delivered",d_Year,'Customer Analytics'!$P$4,d_City,'Customer Analytics'!$Q$4,d_Cuisine,'Customer Analytics'!$R$4,d_Pay,'Customer Analytics'!$S$4,d_Type,'Customer Analytics'!$T$4)</f>
        <v>3453</v>
      </c>
      <c r="E345" s="100" t="n">
        <f aca="false">IFERROR(AVERAGEIFS(d_CRating,d_Cust,A345,d_Year,'Customer Analytics'!$P$4,d_City,'Customer Analytics'!$Q$4,d_Cuisine,'Customer Analytics'!$R$4,d_Pay,'Customer Analytics'!$S$4,d_Type,'Customer Analytics'!$T$4),0)</f>
        <v>4.66666666666667</v>
      </c>
      <c r="F345" s="98" t="n">
        <f aca="false">D345+ROW()/1000000</f>
        <v>3453.000345</v>
      </c>
      <c r="G345" s="98" t="n">
        <f aca="false">RANK(F345,$F$2:$F$351)</f>
        <v>34</v>
      </c>
    </row>
    <row r="346" customFormat="false" ht="15" hidden="false" customHeight="false" outlineLevel="0" collapsed="false">
      <c r="A346" s="98" t="s">
        <v>684</v>
      </c>
      <c r="B346" s="98" t="n">
        <f aca="false">COUNTIFS(d_Cust,A346,d_Year,'Customer Analytics'!$P$4,d_City,'Customer Analytics'!$Q$4,d_Cuisine,'Customer Analytics'!$R$4,d_Pay,'Customer Analytics'!$S$4,d_Type,'Customer Analytics'!$T$4)</f>
        <v>3</v>
      </c>
      <c r="C346" s="98" t="n">
        <f aca="false">COUNTIFS(d_Cust,A346,d_Status,"Delivered",d_Year,'Customer Analytics'!$P$4,d_City,'Customer Analytics'!$Q$4,d_Cuisine,'Customer Analytics'!$R$4,d_Pay,'Customer Analytics'!$S$4,d_Type,'Customer Analytics'!$T$4)</f>
        <v>2</v>
      </c>
      <c r="D346" s="99" t="n">
        <f aca="false">SUMIFS(d_Net,d_Cust,A346,d_Status,"Delivered",d_Year,'Customer Analytics'!$P$4,d_City,'Customer Analytics'!$Q$4,d_Cuisine,'Customer Analytics'!$R$4,d_Pay,'Customer Analytics'!$S$4,d_Type,'Customer Analytics'!$T$4)</f>
        <v>1818</v>
      </c>
      <c r="E346" s="100" t="n">
        <f aca="false">IFERROR(AVERAGEIFS(d_CRating,d_Cust,A346,d_Year,'Customer Analytics'!$P$4,d_City,'Customer Analytics'!$Q$4,d_Cuisine,'Customer Analytics'!$R$4,d_Pay,'Customer Analytics'!$S$4,d_Type,'Customer Analytics'!$T$4),0)</f>
        <v>4</v>
      </c>
      <c r="F346" s="98" t="n">
        <f aca="false">D346+ROW()/1000000</f>
        <v>1818.000346</v>
      </c>
      <c r="G346" s="98" t="n">
        <f aca="false">RANK(F346,$F$2:$F$351)</f>
        <v>184</v>
      </c>
    </row>
    <row r="347" customFormat="false" ht="15" hidden="false" customHeight="false" outlineLevel="0" collapsed="false">
      <c r="A347" s="98" t="s">
        <v>685</v>
      </c>
      <c r="B347" s="98" t="n">
        <f aca="false">COUNTIFS(d_Cust,A347,d_Year,'Customer Analytics'!$P$4,d_City,'Customer Analytics'!$Q$4,d_Cuisine,'Customer Analytics'!$R$4,d_Pay,'Customer Analytics'!$S$4,d_Type,'Customer Analytics'!$T$4)</f>
        <v>3</v>
      </c>
      <c r="C347" s="98" t="n">
        <f aca="false">COUNTIFS(d_Cust,A347,d_Status,"Delivered",d_Year,'Customer Analytics'!$P$4,d_City,'Customer Analytics'!$Q$4,d_Cuisine,'Customer Analytics'!$R$4,d_Pay,'Customer Analytics'!$S$4,d_Type,'Customer Analytics'!$T$4)</f>
        <v>2</v>
      </c>
      <c r="D347" s="99" t="n">
        <f aca="false">SUMIFS(d_Net,d_Cust,A347,d_Status,"Delivered",d_Year,'Customer Analytics'!$P$4,d_City,'Customer Analytics'!$Q$4,d_Cuisine,'Customer Analytics'!$R$4,d_Pay,'Customer Analytics'!$S$4,d_Type,'Customer Analytics'!$T$4)</f>
        <v>803</v>
      </c>
      <c r="E347" s="100" t="n">
        <f aca="false">IFERROR(AVERAGEIFS(d_CRating,d_Cust,A347,d_Year,'Customer Analytics'!$P$4,d_City,'Customer Analytics'!$Q$4,d_Cuisine,'Customer Analytics'!$R$4,d_Pay,'Customer Analytics'!$S$4,d_Type,'Customer Analytics'!$T$4),0)</f>
        <v>3.66666666666667</v>
      </c>
      <c r="F347" s="98" t="n">
        <f aca="false">D347+ROW()/1000000</f>
        <v>803.000347</v>
      </c>
      <c r="G347" s="98" t="n">
        <f aca="false">RANK(F347,$F$2:$F$351)</f>
        <v>302</v>
      </c>
    </row>
    <row r="348" customFormat="false" ht="15" hidden="false" customHeight="false" outlineLevel="0" collapsed="false">
      <c r="A348" s="98" t="s">
        <v>686</v>
      </c>
      <c r="B348" s="98" t="n">
        <f aca="false">COUNTIFS(d_Cust,A348,d_Year,'Customer Analytics'!$P$4,d_City,'Customer Analytics'!$Q$4,d_Cuisine,'Customer Analytics'!$R$4,d_Pay,'Customer Analytics'!$S$4,d_Type,'Customer Analytics'!$T$4)</f>
        <v>3</v>
      </c>
      <c r="C348" s="98" t="n">
        <f aca="false">COUNTIFS(d_Cust,A348,d_Status,"Delivered",d_Year,'Customer Analytics'!$P$4,d_City,'Customer Analytics'!$Q$4,d_Cuisine,'Customer Analytics'!$R$4,d_Pay,'Customer Analytics'!$S$4,d_Type,'Customer Analytics'!$T$4)</f>
        <v>3</v>
      </c>
      <c r="D348" s="99" t="n">
        <f aca="false">SUMIFS(d_Net,d_Cust,A348,d_Status,"Delivered",d_Year,'Customer Analytics'!$P$4,d_City,'Customer Analytics'!$Q$4,d_Cuisine,'Customer Analytics'!$R$4,d_Pay,'Customer Analytics'!$S$4,d_Type,'Customer Analytics'!$T$4)</f>
        <v>3061</v>
      </c>
      <c r="E348" s="100" t="n">
        <f aca="false">IFERROR(AVERAGEIFS(d_CRating,d_Cust,A348,d_Year,'Customer Analytics'!$P$4,d_City,'Customer Analytics'!$Q$4,d_Cuisine,'Customer Analytics'!$R$4,d_Pay,'Customer Analytics'!$S$4,d_Type,'Customer Analytics'!$T$4),0)</f>
        <v>3.33333333333333</v>
      </c>
      <c r="F348" s="98" t="n">
        <f aca="false">D348+ROW()/1000000</f>
        <v>3061.000348</v>
      </c>
      <c r="G348" s="98" t="n">
        <f aca="false">RANK(F348,$F$2:$F$351)</f>
        <v>58</v>
      </c>
    </row>
    <row r="349" customFormat="false" ht="15" hidden="false" customHeight="false" outlineLevel="0" collapsed="false">
      <c r="A349" s="98" t="s">
        <v>687</v>
      </c>
      <c r="B349" s="98" t="n">
        <f aca="false">COUNTIFS(d_Cust,A349,d_Year,'Customer Analytics'!$P$4,d_City,'Customer Analytics'!$Q$4,d_Cuisine,'Customer Analytics'!$R$4,d_Pay,'Customer Analytics'!$S$4,d_Type,'Customer Analytics'!$T$4)</f>
        <v>3</v>
      </c>
      <c r="C349" s="98" t="n">
        <f aca="false">COUNTIFS(d_Cust,A349,d_Status,"Delivered",d_Year,'Customer Analytics'!$P$4,d_City,'Customer Analytics'!$Q$4,d_Cuisine,'Customer Analytics'!$R$4,d_Pay,'Customer Analytics'!$S$4,d_Type,'Customer Analytics'!$T$4)</f>
        <v>1</v>
      </c>
      <c r="D349" s="99" t="n">
        <f aca="false">SUMIFS(d_Net,d_Cust,A349,d_Status,"Delivered",d_Year,'Customer Analytics'!$P$4,d_City,'Customer Analytics'!$Q$4,d_Cuisine,'Customer Analytics'!$R$4,d_Pay,'Customer Analytics'!$S$4,d_Type,'Customer Analytics'!$T$4)</f>
        <v>1363</v>
      </c>
      <c r="E349" s="100" t="n">
        <f aca="false">IFERROR(AVERAGEIFS(d_CRating,d_Cust,A349,d_Year,'Customer Analytics'!$P$4,d_City,'Customer Analytics'!$Q$4,d_Cuisine,'Customer Analytics'!$R$4,d_Pay,'Customer Analytics'!$S$4,d_Type,'Customer Analytics'!$T$4),0)</f>
        <v>2.66666666666667</v>
      </c>
      <c r="F349" s="98" t="n">
        <f aca="false">D349+ROW()/1000000</f>
        <v>1363.000349</v>
      </c>
      <c r="G349" s="98" t="n">
        <f aca="false">RANK(F349,$F$2:$F$351)</f>
        <v>253</v>
      </c>
    </row>
    <row r="350" customFormat="false" ht="15" hidden="false" customHeight="false" outlineLevel="0" collapsed="false">
      <c r="A350" s="98" t="s">
        <v>688</v>
      </c>
      <c r="B350" s="98" t="n">
        <f aca="false">COUNTIFS(d_Cust,A350,d_Year,'Customer Analytics'!$P$4,d_City,'Customer Analytics'!$Q$4,d_Cuisine,'Customer Analytics'!$R$4,d_Pay,'Customer Analytics'!$S$4,d_Type,'Customer Analytics'!$T$4)</f>
        <v>3</v>
      </c>
      <c r="C350" s="98" t="n">
        <f aca="false">COUNTIFS(d_Cust,A350,d_Status,"Delivered",d_Year,'Customer Analytics'!$P$4,d_City,'Customer Analytics'!$Q$4,d_Cuisine,'Customer Analytics'!$R$4,d_Pay,'Customer Analytics'!$S$4,d_Type,'Customer Analytics'!$T$4)</f>
        <v>3</v>
      </c>
      <c r="D350" s="99" t="n">
        <f aca="false">SUMIFS(d_Net,d_Cust,A350,d_Status,"Delivered",d_Year,'Customer Analytics'!$P$4,d_City,'Customer Analytics'!$Q$4,d_Cuisine,'Customer Analytics'!$R$4,d_Pay,'Customer Analytics'!$S$4,d_Type,'Customer Analytics'!$T$4)</f>
        <v>3442</v>
      </c>
      <c r="E350" s="100" t="n">
        <f aca="false">IFERROR(AVERAGEIFS(d_CRating,d_Cust,A350,d_Year,'Customer Analytics'!$P$4,d_City,'Customer Analytics'!$Q$4,d_Cuisine,'Customer Analytics'!$R$4,d_Pay,'Customer Analytics'!$S$4,d_Type,'Customer Analytics'!$T$4),0)</f>
        <v>4.33333333333333</v>
      </c>
      <c r="F350" s="98" t="n">
        <f aca="false">D350+ROW()/1000000</f>
        <v>3442.00035</v>
      </c>
      <c r="G350" s="98" t="n">
        <f aca="false">RANK(F350,$F$2:$F$351)</f>
        <v>35</v>
      </c>
    </row>
    <row r="351" customFormat="false" ht="15" hidden="false" customHeight="false" outlineLevel="0" collapsed="false">
      <c r="A351" s="98" t="s">
        <v>689</v>
      </c>
      <c r="B351" s="98" t="n">
        <f aca="false">COUNTIFS(d_Cust,A351,d_Year,'Customer Analytics'!$P$4,d_City,'Customer Analytics'!$Q$4,d_Cuisine,'Customer Analytics'!$R$4,d_Pay,'Customer Analytics'!$S$4,d_Type,'Customer Analytics'!$T$4)</f>
        <v>3</v>
      </c>
      <c r="C351" s="98" t="n">
        <f aca="false">COUNTIFS(d_Cust,A351,d_Status,"Delivered",d_Year,'Customer Analytics'!$P$4,d_City,'Customer Analytics'!$Q$4,d_Cuisine,'Customer Analytics'!$R$4,d_Pay,'Customer Analytics'!$S$4,d_Type,'Customer Analytics'!$T$4)</f>
        <v>2</v>
      </c>
      <c r="D351" s="99" t="n">
        <f aca="false">SUMIFS(d_Net,d_Cust,A351,d_Status,"Delivered",d_Year,'Customer Analytics'!$P$4,d_City,'Customer Analytics'!$Q$4,d_Cuisine,'Customer Analytics'!$R$4,d_Pay,'Customer Analytics'!$S$4,d_Type,'Customer Analytics'!$T$4)</f>
        <v>1396</v>
      </c>
      <c r="E351" s="100" t="n">
        <f aca="false">IFERROR(AVERAGEIFS(d_CRating,d_Cust,A351,d_Year,'Customer Analytics'!$P$4,d_City,'Customer Analytics'!$Q$4,d_Cuisine,'Customer Analytics'!$R$4,d_Pay,'Customer Analytics'!$S$4,d_Type,'Customer Analytics'!$T$4),0)</f>
        <v>4.33333333333333</v>
      </c>
      <c r="F351" s="98" t="n">
        <f aca="false">D351+ROW()/1000000</f>
        <v>1396.000351</v>
      </c>
      <c r="G351" s="98" t="n">
        <f aca="false">RANK(F351,$F$2:$F$351)</f>
        <v>250</v>
      </c>
    </row>
    <row r="353" customFormat="false" ht="15" hidden="false" customHeight="false" outlineLevel="0" collapsed="false">
      <c r="A353" s="50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3"/>
    <col collapsed="false" customWidth="true" hidden="false" outlineLevel="0" max="14" min="14" style="0" width="24"/>
  </cols>
  <sheetData>
    <row r="1" customFormat="false" ht="15" hidden="false" customHeight="false" outlineLevel="0" collapsed="false">
      <c r="A1" s="101" t="s">
        <v>691</v>
      </c>
      <c r="B1" s="101" t="s">
        <v>99</v>
      </c>
      <c r="C1" s="101" t="s">
        <v>80</v>
      </c>
      <c r="D1" s="101" t="s">
        <v>692</v>
      </c>
      <c r="E1" s="101" t="s">
        <v>75</v>
      </c>
      <c r="G1" s="101" t="s">
        <v>99</v>
      </c>
      <c r="H1" s="101" t="s">
        <v>80</v>
      </c>
      <c r="I1" s="101" t="s">
        <v>124</v>
      </c>
      <c r="J1" s="101" t="s">
        <v>92</v>
      </c>
      <c r="K1" s="101" t="s">
        <v>75</v>
      </c>
      <c r="L1" s="101" t="s">
        <v>169</v>
      </c>
      <c r="N1" s="101" t="s">
        <v>693</v>
      </c>
    </row>
    <row r="2" customFormat="false" ht="15" hidden="false" customHeight="false" outlineLevel="0" collapsed="false">
      <c r="A2" s="98" t="s">
        <v>45</v>
      </c>
      <c r="B2" s="98" t="s">
        <v>45</v>
      </c>
      <c r="C2" s="98" t="s">
        <v>45</v>
      </c>
      <c r="D2" s="98" t="s">
        <v>45</v>
      </c>
      <c r="E2" s="98" t="s">
        <v>45</v>
      </c>
      <c r="G2" s="98" t="s">
        <v>100</v>
      </c>
      <c r="H2" s="98" t="s">
        <v>81</v>
      </c>
      <c r="I2" s="98" t="s">
        <v>131</v>
      </c>
      <c r="J2" s="98" t="s">
        <v>93</v>
      </c>
      <c r="K2" s="98" t="s">
        <v>77</v>
      </c>
      <c r="L2" s="98" t="s">
        <v>170</v>
      </c>
      <c r="N2" s="98" t="s">
        <v>64</v>
      </c>
    </row>
    <row r="3" customFormat="false" ht="15" hidden="false" customHeight="false" outlineLevel="0" collapsed="false">
      <c r="A3" s="98" t="n">
        <v>2025</v>
      </c>
      <c r="B3" s="98" t="s">
        <v>100</v>
      </c>
      <c r="C3" s="98" t="s">
        <v>81</v>
      </c>
      <c r="D3" s="98" t="s">
        <v>93</v>
      </c>
      <c r="E3" s="98" t="s">
        <v>77</v>
      </c>
      <c r="G3" s="98" t="s">
        <v>101</v>
      </c>
      <c r="H3" s="98" t="s">
        <v>82</v>
      </c>
      <c r="I3" s="98" t="s">
        <v>132</v>
      </c>
      <c r="J3" s="98" t="s">
        <v>94</v>
      </c>
      <c r="K3" s="98" t="s">
        <v>78</v>
      </c>
      <c r="L3" s="98" t="s">
        <v>171</v>
      </c>
      <c r="N3" s="98" t="s">
        <v>694</v>
      </c>
    </row>
    <row r="4" customFormat="false" ht="15" hidden="false" customHeight="false" outlineLevel="0" collapsed="false">
      <c r="A4" s="98" t="n">
        <v>2026</v>
      </c>
      <c r="B4" s="98" t="s">
        <v>101</v>
      </c>
      <c r="C4" s="98" t="s">
        <v>82</v>
      </c>
      <c r="D4" s="98" t="s">
        <v>94</v>
      </c>
      <c r="E4" s="98" t="s">
        <v>78</v>
      </c>
      <c r="G4" s="98" t="s">
        <v>102</v>
      </c>
      <c r="H4" s="98" t="s">
        <v>83</v>
      </c>
      <c r="I4" s="98" t="s">
        <v>133</v>
      </c>
      <c r="J4" s="98" t="s">
        <v>95</v>
      </c>
      <c r="L4" s="98" t="s">
        <v>172</v>
      </c>
      <c r="N4" s="98" t="s">
        <v>695</v>
      </c>
    </row>
    <row r="5" customFormat="false" ht="15" hidden="false" customHeight="false" outlineLevel="0" collapsed="false">
      <c r="B5" s="98" t="s">
        <v>102</v>
      </c>
      <c r="C5" s="98" t="s">
        <v>83</v>
      </c>
      <c r="D5" s="98" t="s">
        <v>95</v>
      </c>
      <c r="G5" s="98" t="s">
        <v>103</v>
      </c>
      <c r="H5" s="98" t="s">
        <v>84</v>
      </c>
      <c r="I5" s="98" t="s">
        <v>134</v>
      </c>
      <c r="J5" s="98" t="s">
        <v>96</v>
      </c>
      <c r="N5" s="98" t="s">
        <v>125</v>
      </c>
    </row>
    <row r="6" customFormat="false" ht="15" hidden="false" customHeight="false" outlineLevel="0" collapsed="false">
      <c r="B6" s="98" t="s">
        <v>103</v>
      </c>
      <c r="C6" s="98" t="s">
        <v>84</v>
      </c>
      <c r="D6" s="98" t="s">
        <v>96</v>
      </c>
      <c r="G6" s="98" t="s">
        <v>104</v>
      </c>
      <c r="H6" s="98" t="s">
        <v>85</v>
      </c>
      <c r="I6" s="98" t="s">
        <v>135</v>
      </c>
      <c r="J6" s="98" t="s">
        <v>97</v>
      </c>
      <c r="N6" s="98" t="s">
        <v>129</v>
      </c>
    </row>
    <row r="7" customFormat="false" ht="15" hidden="false" customHeight="false" outlineLevel="0" collapsed="false">
      <c r="B7" s="98" t="s">
        <v>104</v>
      </c>
      <c r="C7" s="98" t="s">
        <v>85</v>
      </c>
      <c r="D7" s="98" t="s">
        <v>97</v>
      </c>
      <c r="G7" s="98" t="s">
        <v>105</v>
      </c>
      <c r="H7" s="98" t="s">
        <v>86</v>
      </c>
      <c r="I7" s="98" t="s">
        <v>136</v>
      </c>
      <c r="N7" s="98" t="s">
        <v>128</v>
      </c>
    </row>
    <row r="8" customFormat="false" ht="15" hidden="false" customHeight="false" outlineLevel="0" collapsed="false">
      <c r="B8" s="98" t="s">
        <v>105</v>
      </c>
      <c r="C8" s="98" t="s">
        <v>86</v>
      </c>
      <c r="G8" s="98" t="s">
        <v>106</v>
      </c>
      <c r="H8" s="98" t="s">
        <v>87</v>
      </c>
      <c r="I8" s="98" t="s">
        <v>137</v>
      </c>
    </row>
    <row r="9" customFormat="false" ht="15" hidden="false" customHeight="false" outlineLevel="0" collapsed="false">
      <c r="B9" s="98" t="s">
        <v>106</v>
      </c>
      <c r="C9" s="98" t="s">
        <v>87</v>
      </c>
      <c r="G9" s="98" t="s">
        <v>107</v>
      </c>
      <c r="H9" s="98" t="s">
        <v>88</v>
      </c>
      <c r="I9" s="98" t="s">
        <v>138</v>
      </c>
    </row>
    <row r="10" customFormat="false" ht="15" hidden="false" customHeight="false" outlineLevel="0" collapsed="false">
      <c r="B10" s="98" t="s">
        <v>107</v>
      </c>
      <c r="C10" s="98" t="s">
        <v>88</v>
      </c>
      <c r="G10" s="98" t="s">
        <v>108</v>
      </c>
      <c r="H10" s="98" t="s">
        <v>89</v>
      </c>
      <c r="I10" s="98" t="s">
        <v>139</v>
      </c>
    </row>
    <row r="11" customFormat="false" ht="15" hidden="false" customHeight="false" outlineLevel="0" collapsed="false">
      <c r="B11" s="98" t="s">
        <v>108</v>
      </c>
      <c r="C11" s="98" t="s">
        <v>89</v>
      </c>
      <c r="G11" s="98" t="s">
        <v>109</v>
      </c>
      <c r="H11" s="98" t="s">
        <v>90</v>
      </c>
      <c r="I11" s="98" t="s">
        <v>140</v>
      </c>
    </row>
    <row r="12" customFormat="false" ht="15" hidden="false" customHeight="false" outlineLevel="0" collapsed="false">
      <c r="B12" s="98" t="s">
        <v>109</v>
      </c>
      <c r="C12" s="98" t="s">
        <v>90</v>
      </c>
      <c r="G12" s="98" t="s">
        <v>110</v>
      </c>
      <c r="I12" s="98" t="s">
        <v>141</v>
      </c>
    </row>
    <row r="13" customFormat="false" ht="15" hidden="false" customHeight="false" outlineLevel="0" collapsed="false">
      <c r="B13" s="98" t="s">
        <v>110</v>
      </c>
      <c r="G13" s="98" t="s">
        <v>111</v>
      </c>
      <c r="I13" s="98" t="s">
        <v>142</v>
      </c>
    </row>
    <row r="14" customFormat="false" ht="15" hidden="false" customHeight="false" outlineLevel="0" collapsed="false">
      <c r="B14" s="98" t="s">
        <v>111</v>
      </c>
    </row>
    <row r="20" customFormat="false" ht="15" hidden="false" customHeight="false" outlineLevel="0" collapsed="false">
      <c r="A20" s="50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V1201"/>
  <sheetViews>
    <sheetView showFormulas="false" showGridLines="true" showRowColHeaders="true" showZeros="true" rightToLeft="false" tabSelected="false" showOutlineSymbols="true" defaultGridColor="true" view="normal" topLeftCell="A268" colorId="64" zoomScale="100" zoomScaleNormal="100" zoomScalePageLayoutView="100" workbookViewId="0">
      <selection pane="topLeft" activeCell="A274" activeCellId="0" sqref="A27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6.45"/>
    <col collapsed="false" customWidth="true" hidden="false" outlineLevel="0" max="3" min="3" style="0" width="15.73"/>
    <col collapsed="false" customWidth="true" hidden="false" outlineLevel="0" max="4" min="4" style="0" width="12.36"/>
    <col collapsed="false" customWidth="true" hidden="false" outlineLevel="0" max="5" min="5" style="0" width="18"/>
    <col collapsed="false" customWidth="true" hidden="false" outlineLevel="0" max="6" min="6" style="0" width="14.63"/>
    <col collapsed="false" customWidth="true" hidden="false" outlineLevel="0" max="7" min="7" style="0" width="11.73"/>
    <col collapsed="false" customWidth="true" hidden="false" outlineLevel="0" max="8" min="8" style="0" width="27.54"/>
    <col collapsed="false" customWidth="true" hidden="false" outlineLevel="0" max="9" min="9" style="0" width="17.18"/>
    <col collapsed="false" customWidth="true" hidden="false" outlineLevel="0" max="10" min="10" style="0" width="17.27"/>
    <col collapsed="false" customWidth="true" hidden="false" outlineLevel="0" max="11" min="11" style="0" width="14.09"/>
    <col collapsed="false" customWidth="true" hidden="false" outlineLevel="0" max="12" min="12" style="0" width="21.36"/>
    <col collapsed="false" customWidth="true" hidden="false" outlineLevel="0" max="13" min="13" style="0" width="17.63"/>
    <col collapsed="false" customWidth="true" hidden="false" outlineLevel="0" max="14" min="14" style="0" width="15.09"/>
    <col collapsed="false" customWidth="true" hidden="false" outlineLevel="0" max="15" min="15" style="0" width="24.09"/>
    <col collapsed="false" customWidth="true" hidden="false" outlineLevel="0" max="16" min="16" style="0" width="18.18"/>
    <col collapsed="false" customWidth="true" hidden="false" outlineLevel="0" max="17" min="17" style="0" width="20.27"/>
    <col collapsed="false" customWidth="true" hidden="false" outlineLevel="0" max="18" min="18" style="0" width="21.73"/>
    <col collapsed="false" customWidth="true" hidden="false" outlineLevel="0" max="19" min="19" style="0" width="21.63"/>
    <col collapsed="false" customWidth="true" hidden="false" outlineLevel="0" max="20" min="20" style="0" width="20.63"/>
    <col collapsed="false" customWidth="true" hidden="false" outlineLevel="0" max="21" min="21" style="0" width="13.27"/>
  </cols>
  <sheetData>
    <row r="1" customFormat="false" ht="15" hidden="false" customHeight="true" outlineLevel="0" collapsed="false">
      <c r="A1" s="102" t="s">
        <v>697</v>
      </c>
      <c r="B1" s="102" t="s">
        <v>336</v>
      </c>
      <c r="C1" s="102" t="s">
        <v>698</v>
      </c>
      <c r="D1" s="102" t="s">
        <v>99</v>
      </c>
      <c r="E1" s="102" t="s">
        <v>699</v>
      </c>
      <c r="F1" s="102" t="s">
        <v>169</v>
      </c>
      <c r="G1" s="102" t="s">
        <v>80</v>
      </c>
      <c r="H1" s="102" t="s">
        <v>700</v>
      </c>
      <c r="I1" s="102" t="s">
        <v>701</v>
      </c>
      <c r="J1" s="102" t="s">
        <v>702</v>
      </c>
      <c r="K1" s="102" t="s">
        <v>703</v>
      </c>
      <c r="L1" s="102" t="s">
        <v>704</v>
      </c>
      <c r="M1" s="102" t="s">
        <v>705</v>
      </c>
      <c r="N1" s="102" t="s">
        <v>706</v>
      </c>
      <c r="O1" s="102" t="s">
        <v>707</v>
      </c>
      <c r="P1" s="102" t="s">
        <v>708</v>
      </c>
      <c r="Q1" s="102" t="s">
        <v>709</v>
      </c>
      <c r="R1" s="102" t="s">
        <v>710</v>
      </c>
      <c r="S1" s="102" t="s">
        <v>711</v>
      </c>
      <c r="T1" s="102" t="s">
        <v>712</v>
      </c>
      <c r="U1" s="102" t="s">
        <v>62</v>
      </c>
      <c r="V1" s="102" t="s">
        <v>691</v>
      </c>
    </row>
    <row r="2" customFormat="false" ht="14.25" hidden="false" customHeight="false" outlineLevel="0" collapsed="false">
      <c r="A2" s="103" t="s">
        <v>713</v>
      </c>
      <c r="B2" s="103" t="s">
        <v>340</v>
      </c>
      <c r="C2" s="104" t="n">
        <v>45658</v>
      </c>
      <c r="D2" s="103" t="s">
        <v>108</v>
      </c>
      <c r="E2" s="103" t="n">
        <v>54</v>
      </c>
      <c r="F2" s="103" t="s">
        <v>170</v>
      </c>
      <c r="G2" s="103" t="s">
        <v>88</v>
      </c>
      <c r="H2" s="103" t="n">
        <v>4.2</v>
      </c>
      <c r="I2" s="103" t="n">
        <v>1473</v>
      </c>
      <c r="J2" s="103" t="n">
        <v>30</v>
      </c>
      <c r="K2" s="103" t="n">
        <v>150</v>
      </c>
      <c r="L2" s="103" t="s">
        <v>93</v>
      </c>
      <c r="M2" s="103" t="s">
        <v>65</v>
      </c>
      <c r="N2" s="103" t="s">
        <v>78</v>
      </c>
      <c r="O2" s="103" t="n">
        <v>21</v>
      </c>
      <c r="P2" s="103" t="n">
        <v>6.5</v>
      </c>
      <c r="Q2" s="103" t="n">
        <v>5</v>
      </c>
      <c r="R2" s="103" t="s">
        <v>139</v>
      </c>
      <c r="S2" s="103" t="n">
        <v>1503</v>
      </c>
      <c r="T2" s="103" t="n">
        <v>1353</v>
      </c>
      <c r="U2" s="103" t="s">
        <v>714</v>
      </c>
      <c r="V2" s="103" t="n">
        <v>2025</v>
      </c>
    </row>
    <row r="3" customFormat="false" ht="14.25" hidden="false" customHeight="false" outlineLevel="0" collapsed="false">
      <c r="A3" s="103" t="s">
        <v>715</v>
      </c>
      <c r="B3" s="103" t="s">
        <v>341</v>
      </c>
      <c r="C3" s="104" t="n">
        <v>45658</v>
      </c>
      <c r="D3" s="103" t="s">
        <v>106</v>
      </c>
      <c r="E3" s="103" t="n">
        <v>25</v>
      </c>
      <c r="F3" s="103" t="s">
        <v>170</v>
      </c>
      <c r="G3" s="103" t="s">
        <v>87</v>
      </c>
      <c r="H3" s="103" t="n">
        <v>4.9</v>
      </c>
      <c r="I3" s="103" t="n">
        <v>350</v>
      </c>
      <c r="J3" s="103" t="n">
        <v>60</v>
      </c>
      <c r="K3" s="103" t="n">
        <v>50</v>
      </c>
      <c r="L3" s="103" t="s">
        <v>93</v>
      </c>
      <c r="M3" s="103" t="s">
        <v>65</v>
      </c>
      <c r="N3" s="103" t="s">
        <v>77</v>
      </c>
      <c r="O3" s="103" t="n">
        <v>23</v>
      </c>
      <c r="P3" s="103" t="n">
        <v>4.9</v>
      </c>
      <c r="Q3" s="103" t="n">
        <v>5</v>
      </c>
      <c r="R3" s="103" t="s">
        <v>138</v>
      </c>
      <c r="S3" s="103" t="n">
        <v>410</v>
      </c>
      <c r="T3" s="103" t="n">
        <v>360</v>
      </c>
      <c r="U3" s="103" t="s">
        <v>714</v>
      </c>
      <c r="V3" s="103" t="n">
        <v>2025</v>
      </c>
    </row>
    <row r="4" customFormat="false" ht="14.25" hidden="false" customHeight="false" outlineLevel="0" collapsed="false">
      <c r="A4" s="103" t="s">
        <v>716</v>
      </c>
      <c r="B4" s="103" t="s">
        <v>342</v>
      </c>
      <c r="C4" s="104" t="n">
        <v>45658</v>
      </c>
      <c r="D4" s="103" t="s">
        <v>111</v>
      </c>
      <c r="E4" s="103" t="n">
        <v>59</v>
      </c>
      <c r="F4" s="103" t="s">
        <v>171</v>
      </c>
      <c r="G4" s="103" t="s">
        <v>84</v>
      </c>
      <c r="H4" s="103" t="n">
        <v>2.6</v>
      </c>
      <c r="I4" s="103" t="n">
        <v>237</v>
      </c>
      <c r="J4" s="103" t="n">
        <v>0</v>
      </c>
      <c r="K4" s="103" t="n">
        <v>50</v>
      </c>
      <c r="L4" s="103" t="s">
        <v>93</v>
      </c>
      <c r="M4" s="103" t="s">
        <v>66</v>
      </c>
      <c r="N4" s="103" t="s">
        <v>77</v>
      </c>
      <c r="O4" s="103" t="n">
        <v>30</v>
      </c>
      <c r="P4" s="103" t="n">
        <v>13.9</v>
      </c>
      <c r="Q4" s="103" t="n">
        <v>2</v>
      </c>
      <c r="R4" s="103" t="s">
        <v>142</v>
      </c>
      <c r="S4" s="103" t="n">
        <v>237</v>
      </c>
      <c r="T4" s="103" t="n">
        <v>187</v>
      </c>
      <c r="U4" s="103" t="s">
        <v>714</v>
      </c>
      <c r="V4" s="103" t="n">
        <v>2025</v>
      </c>
    </row>
    <row r="5" customFormat="false" ht="14.25" hidden="false" customHeight="false" outlineLevel="0" collapsed="false">
      <c r="A5" s="103" t="s">
        <v>717</v>
      </c>
      <c r="B5" s="103" t="s">
        <v>343</v>
      </c>
      <c r="C5" s="104" t="n">
        <v>45659</v>
      </c>
      <c r="D5" s="103" t="s">
        <v>105</v>
      </c>
      <c r="E5" s="103" t="n">
        <v>45</v>
      </c>
      <c r="F5" s="103" t="s">
        <v>170</v>
      </c>
      <c r="G5" s="103" t="s">
        <v>85</v>
      </c>
      <c r="H5" s="103" t="n">
        <v>3.3</v>
      </c>
      <c r="I5" s="103" t="n">
        <v>1621</v>
      </c>
      <c r="J5" s="103" t="n">
        <v>20</v>
      </c>
      <c r="K5" s="103" t="n">
        <v>200</v>
      </c>
      <c r="L5" s="103" t="s">
        <v>93</v>
      </c>
      <c r="M5" s="103" t="s">
        <v>65</v>
      </c>
      <c r="N5" s="103" t="s">
        <v>78</v>
      </c>
      <c r="O5" s="103" t="n">
        <v>19</v>
      </c>
      <c r="P5" s="103" t="n">
        <v>5.9</v>
      </c>
      <c r="Q5" s="103" t="n">
        <v>3</v>
      </c>
      <c r="R5" s="103" t="s">
        <v>140</v>
      </c>
      <c r="S5" s="103" t="n">
        <v>1641</v>
      </c>
      <c r="T5" s="103" t="n">
        <v>1441</v>
      </c>
      <c r="U5" s="103" t="s">
        <v>714</v>
      </c>
      <c r="V5" s="103" t="n">
        <v>2025</v>
      </c>
    </row>
    <row r="6" customFormat="false" ht="14.25" hidden="false" customHeight="false" outlineLevel="0" collapsed="false">
      <c r="A6" s="103" t="s">
        <v>718</v>
      </c>
      <c r="B6" s="103" t="s">
        <v>344</v>
      </c>
      <c r="C6" s="104" t="n">
        <v>45659</v>
      </c>
      <c r="D6" s="103" t="s">
        <v>103</v>
      </c>
      <c r="E6" s="103" t="n">
        <v>48</v>
      </c>
      <c r="F6" s="103" t="s">
        <v>170</v>
      </c>
      <c r="G6" s="103" t="s">
        <v>89</v>
      </c>
      <c r="H6" s="103" t="n">
        <v>3.6</v>
      </c>
      <c r="I6" s="103" t="n">
        <v>772</v>
      </c>
      <c r="J6" s="103" t="n">
        <v>30</v>
      </c>
      <c r="K6" s="103" t="n">
        <v>20</v>
      </c>
      <c r="L6" s="103" t="s">
        <v>96</v>
      </c>
      <c r="M6" s="103" t="s">
        <v>66</v>
      </c>
      <c r="N6" s="103" t="s">
        <v>78</v>
      </c>
      <c r="O6" s="103" t="n">
        <v>48</v>
      </c>
      <c r="P6" s="103" t="n">
        <v>11.5</v>
      </c>
      <c r="Q6" s="103" t="n">
        <v>3</v>
      </c>
      <c r="R6" s="103" t="s">
        <v>138</v>
      </c>
      <c r="S6" s="103" t="n">
        <v>802</v>
      </c>
      <c r="T6" s="103" t="n">
        <v>782</v>
      </c>
      <c r="U6" s="103" t="s">
        <v>714</v>
      </c>
      <c r="V6" s="103" t="n">
        <v>2025</v>
      </c>
    </row>
    <row r="7" customFormat="false" ht="14.25" hidden="false" customHeight="false" outlineLevel="0" collapsed="false">
      <c r="A7" s="103" t="s">
        <v>719</v>
      </c>
      <c r="B7" s="103" t="s">
        <v>345</v>
      </c>
      <c r="C7" s="104" t="n">
        <v>45659</v>
      </c>
      <c r="D7" s="103" t="s">
        <v>108</v>
      </c>
      <c r="E7" s="103" t="n">
        <v>26</v>
      </c>
      <c r="F7" s="103" t="s">
        <v>170</v>
      </c>
      <c r="G7" s="103" t="s">
        <v>82</v>
      </c>
      <c r="H7" s="103" t="n">
        <v>4.7</v>
      </c>
      <c r="I7" s="103" t="n">
        <v>604</v>
      </c>
      <c r="J7" s="103" t="n">
        <v>60</v>
      </c>
      <c r="K7" s="103" t="n">
        <v>20</v>
      </c>
      <c r="L7" s="103" t="s">
        <v>93</v>
      </c>
      <c r="M7" s="103" t="s">
        <v>65</v>
      </c>
      <c r="N7" s="103" t="s">
        <v>77</v>
      </c>
      <c r="O7" s="103" t="n">
        <v>37</v>
      </c>
      <c r="P7" s="103" t="n">
        <v>8.2</v>
      </c>
      <c r="Q7" s="103" t="n">
        <v>5</v>
      </c>
      <c r="R7" s="103" t="s">
        <v>131</v>
      </c>
      <c r="S7" s="103" t="n">
        <v>664</v>
      </c>
      <c r="T7" s="103" t="n">
        <v>644</v>
      </c>
      <c r="U7" s="103" t="s">
        <v>714</v>
      </c>
      <c r="V7" s="103" t="n">
        <v>2025</v>
      </c>
    </row>
    <row r="8" customFormat="false" ht="14.25" hidden="false" customHeight="false" outlineLevel="0" collapsed="false">
      <c r="A8" s="103" t="s">
        <v>720</v>
      </c>
      <c r="B8" s="103" t="s">
        <v>346</v>
      </c>
      <c r="C8" s="104" t="n">
        <v>45660</v>
      </c>
      <c r="D8" s="103" t="s">
        <v>104</v>
      </c>
      <c r="E8" s="103" t="n">
        <v>46</v>
      </c>
      <c r="F8" s="103" t="s">
        <v>170</v>
      </c>
      <c r="G8" s="103" t="s">
        <v>85</v>
      </c>
      <c r="H8" s="103" t="n">
        <v>4.9</v>
      </c>
      <c r="I8" s="103" t="n">
        <v>1337</v>
      </c>
      <c r="J8" s="103" t="n">
        <v>60</v>
      </c>
      <c r="K8" s="103" t="n">
        <v>100</v>
      </c>
      <c r="L8" s="103" t="s">
        <v>94</v>
      </c>
      <c r="M8" s="103" t="s">
        <v>65</v>
      </c>
      <c r="N8" s="103" t="s">
        <v>77</v>
      </c>
      <c r="O8" s="103" t="n">
        <v>57</v>
      </c>
      <c r="P8" s="103" t="n">
        <v>10.7</v>
      </c>
      <c r="Q8" s="103" t="n">
        <v>5</v>
      </c>
      <c r="R8" s="103" t="s">
        <v>141</v>
      </c>
      <c r="S8" s="103" t="n">
        <v>1397</v>
      </c>
      <c r="T8" s="103" t="n">
        <v>1297</v>
      </c>
      <c r="U8" s="103" t="s">
        <v>714</v>
      </c>
      <c r="V8" s="103" t="n">
        <v>2025</v>
      </c>
    </row>
    <row r="9" customFormat="false" ht="14.25" hidden="false" customHeight="false" outlineLevel="0" collapsed="false">
      <c r="A9" s="103" t="s">
        <v>721</v>
      </c>
      <c r="B9" s="103" t="s">
        <v>347</v>
      </c>
      <c r="C9" s="104" t="n">
        <v>45660</v>
      </c>
      <c r="D9" s="103" t="s">
        <v>102</v>
      </c>
      <c r="E9" s="103" t="n">
        <v>31</v>
      </c>
      <c r="F9" s="103" t="s">
        <v>170</v>
      </c>
      <c r="G9" s="103" t="s">
        <v>83</v>
      </c>
      <c r="H9" s="103" t="n">
        <v>3.6</v>
      </c>
      <c r="I9" s="103" t="n">
        <v>1525</v>
      </c>
      <c r="J9" s="103" t="n">
        <v>30</v>
      </c>
      <c r="K9" s="103" t="n">
        <v>200</v>
      </c>
      <c r="L9" s="103" t="s">
        <v>94</v>
      </c>
      <c r="M9" s="103" t="s">
        <v>66</v>
      </c>
      <c r="N9" s="103" t="s">
        <v>78</v>
      </c>
      <c r="O9" s="103" t="n">
        <v>64</v>
      </c>
      <c r="P9" s="103" t="n">
        <v>4.3</v>
      </c>
      <c r="Q9" s="103" t="n">
        <v>5</v>
      </c>
      <c r="R9" s="103" t="s">
        <v>140</v>
      </c>
      <c r="S9" s="103" t="n">
        <v>1555</v>
      </c>
      <c r="T9" s="103" t="n">
        <v>1355</v>
      </c>
      <c r="U9" s="103" t="s">
        <v>714</v>
      </c>
      <c r="V9" s="103" t="n">
        <v>2025</v>
      </c>
    </row>
    <row r="10" customFormat="false" ht="14.25" hidden="false" customHeight="false" outlineLevel="0" collapsed="false">
      <c r="A10" s="103" t="s">
        <v>722</v>
      </c>
      <c r="B10" s="103" t="s">
        <v>348</v>
      </c>
      <c r="C10" s="104" t="n">
        <v>45660</v>
      </c>
      <c r="D10" s="103" t="s">
        <v>108</v>
      </c>
      <c r="E10" s="103" t="n">
        <v>57</v>
      </c>
      <c r="F10" s="103" t="s">
        <v>171</v>
      </c>
      <c r="G10" s="103" t="s">
        <v>83</v>
      </c>
      <c r="H10" s="103" t="n">
        <v>4.4</v>
      </c>
      <c r="I10" s="103" t="n">
        <v>1569</v>
      </c>
      <c r="J10" s="103" t="n">
        <v>50</v>
      </c>
      <c r="K10" s="103" t="n">
        <v>75</v>
      </c>
      <c r="L10" s="103" t="s">
        <v>94</v>
      </c>
      <c r="M10" s="103" t="s">
        <v>66</v>
      </c>
      <c r="N10" s="103" t="s">
        <v>77</v>
      </c>
      <c r="O10" s="103" t="n">
        <v>39</v>
      </c>
      <c r="P10" s="103" t="n">
        <v>14.2</v>
      </c>
      <c r="Q10" s="103" t="n">
        <v>5</v>
      </c>
      <c r="R10" s="103" t="s">
        <v>133</v>
      </c>
      <c r="S10" s="103" t="n">
        <v>1619</v>
      </c>
      <c r="T10" s="103" t="n">
        <v>1544</v>
      </c>
      <c r="U10" s="103" t="s">
        <v>714</v>
      </c>
      <c r="V10" s="103" t="n">
        <v>2025</v>
      </c>
    </row>
    <row r="11" customFormat="false" ht="14.25" hidden="false" customHeight="false" outlineLevel="0" collapsed="false">
      <c r="A11" s="103" t="s">
        <v>723</v>
      </c>
      <c r="B11" s="103" t="s">
        <v>349</v>
      </c>
      <c r="C11" s="104" t="n">
        <v>45661</v>
      </c>
      <c r="D11" s="103" t="s">
        <v>111</v>
      </c>
      <c r="E11" s="103" t="n">
        <v>58</v>
      </c>
      <c r="F11" s="103" t="s">
        <v>170</v>
      </c>
      <c r="G11" s="103" t="s">
        <v>87</v>
      </c>
      <c r="H11" s="103" t="n">
        <v>3.8</v>
      </c>
      <c r="I11" s="103" t="n">
        <v>651</v>
      </c>
      <c r="J11" s="103" t="n">
        <v>0</v>
      </c>
      <c r="K11" s="103" t="n">
        <v>10</v>
      </c>
      <c r="L11" s="103" t="s">
        <v>94</v>
      </c>
      <c r="M11" s="103" t="s">
        <v>65</v>
      </c>
      <c r="N11" s="103" t="s">
        <v>78</v>
      </c>
      <c r="O11" s="103" t="n">
        <v>65</v>
      </c>
      <c r="P11" s="103" t="n">
        <v>8.2</v>
      </c>
      <c r="Q11" s="103" t="n">
        <v>3</v>
      </c>
      <c r="R11" s="103" t="s">
        <v>140</v>
      </c>
      <c r="S11" s="103" t="n">
        <v>651</v>
      </c>
      <c r="T11" s="103" t="n">
        <v>641</v>
      </c>
      <c r="U11" s="103" t="s">
        <v>714</v>
      </c>
      <c r="V11" s="103" t="n">
        <v>2025</v>
      </c>
    </row>
    <row r="12" customFormat="false" ht="14.25" hidden="false" customHeight="false" outlineLevel="0" collapsed="false">
      <c r="A12" s="103" t="s">
        <v>724</v>
      </c>
      <c r="B12" s="103" t="s">
        <v>350</v>
      </c>
      <c r="C12" s="104" t="n">
        <v>45661</v>
      </c>
      <c r="D12" s="103" t="s">
        <v>111</v>
      </c>
      <c r="E12" s="103" t="n">
        <v>39</v>
      </c>
      <c r="F12" s="103" t="s">
        <v>171</v>
      </c>
      <c r="G12" s="103" t="s">
        <v>90</v>
      </c>
      <c r="H12" s="103" t="n">
        <v>3.8</v>
      </c>
      <c r="I12" s="103" t="n">
        <v>1552</v>
      </c>
      <c r="J12" s="103" t="n">
        <v>20</v>
      </c>
      <c r="K12" s="103" t="n">
        <v>0</v>
      </c>
      <c r="L12" s="103" t="s">
        <v>95</v>
      </c>
      <c r="M12" s="103" t="s">
        <v>65</v>
      </c>
      <c r="N12" s="103" t="s">
        <v>78</v>
      </c>
      <c r="O12" s="103" t="n">
        <v>27</v>
      </c>
      <c r="P12" s="103" t="n">
        <v>12.6</v>
      </c>
      <c r="Q12" s="103" t="n">
        <v>4</v>
      </c>
      <c r="R12" s="103" t="s">
        <v>142</v>
      </c>
      <c r="S12" s="103" t="n">
        <v>1572</v>
      </c>
      <c r="T12" s="103" t="n">
        <v>1572</v>
      </c>
      <c r="U12" s="103" t="s">
        <v>714</v>
      </c>
      <c r="V12" s="103" t="n">
        <v>2025</v>
      </c>
    </row>
    <row r="13" customFormat="false" ht="14.25" hidden="false" customHeight="false" outlineLevel="0" collapsed="false">
      <c r="A13" s="103" t="s">
        <v>725</v>
      </c>
      <c r="B13" s="103" t="s">
        <v>351</v>
      </c>
      <c r="C13" s="104" t="n">
        <v>45661</v>
      </c>
      <c r="D13" s="103" t="s">
        <v>105</v>
      </c>
      <c r="E13" s="103" t="n">
        <v>28</v>
      </c>
      <c r="F13" s="103" t="s">
        <v>171</v>
      </c>
      <c r="G13" s="103" t="s">
        <v>83</v>
      </c>
      <c r="H13" s="103" t="n">
        <v>3.2</v>
      </c>
      <c r="I13" s="103" t="n">
        <v>189</v>
      </c>
      <c r="J13" s="103" t="n">
        <v>30</v>
      </c>
      <c r="K13" s="103" t="n">
        <v>10</v>
      </c>
      <c r="L13" s="103" t="s">
        <v>93</v>
      </c>
      <c r="M13" s="103" t="s">
        <v>65</v>
      </c>
      <c r="N13" s="103" t="s">
        <v>78</v>
      </c>
      <c r="O13" s="103" t="n">
        <v>38</v>
      </c>
      <c r="P13" s="103" t="n">
        <v>5.8</v>
      </c>
      <c r="Q13" s="103" t="n">
        <v>3</v>
      </c>
      <c r="R13" s="103" t="s">
        <v>137</v>
      </c>
      <c r="S13" s="103" t="n">
        <v>219</v>
      </c>
      <c r="T13" s="103" t="n">
        <v>209</v>
      </c>
      <c r="U13" s="103" t="s">
        <v>714</v>
      </c>
      <c r="V13" s="103" t="n">
        <v>2025</v>
      </c>
    </row>
    <row r="14" customFormat="false" ht="14.25" hidden="false" customHeight="false" outlineLevel="0" collapsed="false">
      <c r="A14" s="103" t="s">
        <v>726</v>
      </c>
      <c r="B14" s="103" t="s">
        <v>352</v>
      </c>
      <c r="C14" s="104" t="n">
        <v>45662</v>
      </c>
      <c r="D14" s="103" t="s">
        <v>103</v>
      </c>
      <c r="E14" s="103" t="n">
        <v>40</v>
      </c>
      <c r="F14" s="103" t="s">
        <v>171</v>
      </c>
      <c r="G14" s="103" t="s">
        <v>83</v>
      </c>
      <c r="H14" s="103" t="n">
        <v>3</v>
      </c>
      <c r="I14" s="103" t="n">
        <v>203</v>
      </c>
      <c r="J14" s="103" t="n">
        <v>20</v>
      </c>
      <c r="K14" s="103" t="n">
        <v>0</v>
      </c>
      <c r="L14" s="103" t="s">
        <v>93</v>
      </c>
      <c r="M14" s="103" t="s">
        <v>67</v>
      </c>
      <c r="N14" s="103" t="s">
        <v>77</v>
      </c>
      <c r="O14" s="103" t="n">
        <v>25</v>
      </c>
      <c r="P14" s="103" t="n">
        <v>2</v>
      </c>
      <c r="Q14" s="103" t="n">
        <v>4</v>
      </c>
      <c r="R14" s="103" t="s">
        <v>132</v>
      </c>
      <c r="S14" s="103" t="n">
        <v>223</v>
      </c>
      <c r="T14" s="103" t="n">
        <v>223</v>
      </c>
      <c r="U14" s="103" t="s">
        <v>714</v>
      </c>
      <c r="V14" s="103" t="n">
        <v>2025</v>
      </c>
    </row>
    <row r="15" customFormat="false" ht="14.25" hidden="false" customHeight="false" outlineLevel="0" collapsed="false">
      <c r="A15" s="103" t="s">
        <v>727</v>
      </c>
      <c r="B15" s="103" t="s">
        <v>353</v>
      </c>
      <c r="C15" s="104" t="n">
        <v>45662</v>
      </c>
      <c r="D15" s="103" t="s">
        <v>106</v>
      </c>
      <c r="E15" s="103" t="n">
        <v>18</v>
      </c>
      <c r="F15" s="103" t="s">
        <v>171</v>
      </c>
      <c r="G15" s="103" t="s">
        <v>84</v>
      </c>
      <c r="H15" s="103" t="n">
        <v>3.2</v>
      </c>
      <c r="I15" s="103" t="n">
        <v>1168</v>
      </c>
      <c r="J15" s="103" t="n">
        <v>40</v>
      </c>
      <c r="K15" s="103" t="n">
        <v>200</v>
      </c>
      <c r="L15" s="103" t="s">
        <v>94</v>
      </c>
      <c r="M15" s="103" t="s">
        <v>65</v>
      </c>
      <c r="N15" s="103" t="s">
        <v>77</v>
      </c>
      <c r="O15" s="103" t="n">
        <v>66</v>
      </c>
      <c r="P15" s="103" t="n">
        <v>10.3</v>
      </c>
      <c r="Q15" s="103" t="n">
        <v>5</v>
      </c>
      <c r="R15" s="103" t="s">
        <v>141</v>
      </c>
      <c r="S15" s="103" t="n">
        <v>1208</v>
      </c>
      <c r="T15" s="103" t="n">
        <v>1008</v>
      </c>
      <c r="U15" s="103" t="s">
        <v>714</v>
      </c>
      <c r="V15" s="103" t="n">
        <v>2025</v>
      </c>
    </row>
    <row r="16" customFormat="false" ht="14.25" hidden="false" customHeight="false" outlineLevel="0" collapsed="false">
      <c r="A16" s="103" t="s">
        <v>728</v>
      </c>
      <c r="B16" s="103" t="s">
        <v>354</v>
      </c>
      <c r="C16" s="104" t="n">
        <v>45662</v>
      </c>
      <c r="D16" s="103" t="s">
        <v>105</v>
      </c>
      <c r="E16" s="103" t="n">
        <v>54</v>
      </c>
      <c r="F16" s="103" t="s">
        <v>171</v>
      </c>
      <c r="G16" s="103" t="s">
        <v>87</v>
      </c>
      <c r="H16" s="103" t="n">
        <v>3.9</v>
      </c>
      <c r="I16" s="103" t="n">
        <v>226</v>
      </c>
      <c r="J16" s="103" t="n">
        <v>60</v>
      </c>
      <c r="K16" s="103" t="n">
        <v>150</v>
      </c>
      <c r="L16" s="103" t="s">
        <v>95</v>
      </c>
      <c r="M16" s="103" t="s">
        <v>67</v>
      </c>
      <c r="N16" s="103" t="s">
        <v>78</v>
      </c>
      <c r="O16" s="103" t="n">
        <v>65</v>
      </c>
      <c r="P16" s="103" t="n">
        <v>0.6</v>
      </c>
      <c r="Q16" s="103" t="n">
        <v>5</v>
      </c>
      <c r="R16" s="103" t="s">
        <v>142</v>
      </c>
      <c r="S16" s="103" t="n">
        <v>286</v>
      </c>
      <c r="T16" s="103" t="n">
        <v>136</v>
      </c>
      <c r="U16" s="103" t="s">
        <v>714</v>
      </c>
      <c r="V16" s="103" t="n">
        <v>2025</v>
      </c>
    </row>
    <row r="17" customFormat="false" ht="14.25" hidden="false" customHeight="false" outlineLevel="0" collapsed="false">
      <c r="A17" s="103" t="s">
        <v>729</v>
      </c>
      <c r="B17" s="103" t="s">
        <v>355</v>
      </c>
      <c r="C17" s="104" t="n">
        <v>45663</v>
      </c>
      <c r="D17" s="103" t="s">
        <v>105</v>
      </c>
      <c r="E17" s="103" t="n">
        <v>38</v>
      </c>
      <c r="F17" s="103" t="s">
        <v>171</v>
      </c>
      <c r="G17" s="103" t="s">
        <v>85</v>
      </c>
      <c r="H17" s="103" t="n">
        <v>2.6</v>
      </c>
      <c r="I17" s="103" t="n">
        <v>665</v>
      </c>
      <c r="J17" s="103" t="n">
        <v>60</v>
      </c>
      <c r="K17" s="103" t="n">
        <v>100</v>
      </c>
      <c r="L17" s="103" t="s">
        <v>93</v>
      </c>
      <c r="M17" s="103" t="s">
        <v>67</v>
      </c>
      <c r="N17" s="103" t="s">
        <v>78</v>
      </c>
      <c r="O17" s="103" t="n">
        <v>31</v>
      </c>
      <c r="P17" s="103" t="n">
        <v>7.4</v>
      </c>
      <c r="Q17" s="103" t="n">
        <v>5</v>
      </c>
      <c r="R17" s="103" t="s">
        <v>135</v>
      </c>
      <c r="S17" s="103" t="n">
        <v>725</v>
      </c>
      <c r="T17" s="103" t="n">
        <v>625</v>
      </c>
      <c r="U17" s="103" t="s">
        <v>714</v>
      </c>
      <c r="V17" s="103" t="n">
        <v>2025</v>
      </c>
    </row>
    <row r="18" customFormat="false" ht="14.25" hidden="false" customHeight="false" outlineLevel="0" collapsed="false">
      <c r="A18" s="103" t="s">
        <v>730</v>
      </c>
      <c r="B18" s="103" t="s">
        <v>356</v>
      </c>
      <c r="C18" s="104" t="n">
        <v>45663</v>
      </c>
      <c r="D18" s="103" t="s">
        <v>102</v>
      </c>
      <c r="E18" s="103" t="n">
        <v>43</v>
      </c>
      <c r="F18" s="103" t="s">
        <v>170</v>
      </c>
      <c r="G18" s="103" t="s">
        <v>90</v>
      </c>
      <c r="H18" s="103" t="n">
        <v>4.8</v>
      </c>
      <c r="I18" s="103" t="n">
        <v>1250</v>
      </c>
      <c r="J18" s="103" t="n">
        <v>30</v>
      </c>
      <c r="K18" s="103" t="n">
        <v>20</v>
      </c>
      <c r="L18" s="103" t="s">
        <v>96</v>
      </c>
      <c r="M18" s="103" t="s">
        <v>67</v>
      </c>
      <c r="N18" s="103" t="s">
        <v>77</v>
      </c>
      <c r="O18" s="103" t="n">
        <v>51</v>
      </c>
      <c r="P18" s="103" t="n">
        <v>3.3</v>
      </c>
      <c r="Q18" s="103" t="n">
        <v>4</v>
      </c>
      <c r="R18" s="103" t="s">
        <v>131</v>
      </c>
      <c r="S18" s="103" t="n">
        <v>1280</v>
      </c>
      <c r="T18" s="103" t="n">
        <v>1260</v>
      </c>
      <c r="U18" s="103" t="s">
        <v>714</v>
      </c>
      <c r="V18" s="103" t="n">
        <v>2025</v>
      </c>
    </row>
    <row r="19" customFormat="false" ht="14.25" hidden="false" customHeight="false" outlineLevel="0" collapsed="false">
      <c r="A19" s="103" t="s">
        <v>731</v>
      </c>
      <c r="B19" s="103" t="s">
        <v>357</v>
      </c>
      <c r="C19" s="104" t="n">
        <v>45663</v>
      </c>
      <c r="D19" s="103" t="s">
        <v>107</v>
      </c>
      <c r="E19" s="103" t="n">
        <v>53</v>
      </c>
      <c r="F19" s="103" t="s">
        <v>170</v>
      </c>
      <c r="G19" s="103" t="s">
        <v>88</v>
      </c>
      <c r="H19" s="103" t="n">
        <v>2.9</v>
      </c>
      <c r="I19" s="103" t="n">
        <v>687</v>
      </c>
      <c r="J19" s="103" t="n">
        <v>30</v>
      </c>
      <c r="K19" s="103" t="n">
        <v>150</v>
      </c>
      <c r="L19" s="103" t="s">
        <v>93</v>
      </c>
      <c r="M19" s="103" t="s">
        <v>65</v>
      </c>
      <c r="N19" s="103" t="s">
        <v>78</v>
      </c>
      <c r="O19" s="103" t="n">
        <v>27</v>
      </c>
      <c r="P19" s="103" t="n">
        <v>9.6</v>
      </c>
      <c r="Q19" s="103" t="n">
        <v>1</v>
      </c>
      <c r="R19" s="103" t="s">
        <v>139</v>
      </c>
      <c r="S19" s="103" t="n">
        <v>717</v>
      </c>
      <c r="T19" s="103" t="n">
        <v>567</v>
      </c>
      <c r="U19" s="103" t="s">
        <v>714</v>
      </c>
      <c r="V19" s="103" t="n">
        <v>2025</v>
      </c>
    </row>
    <row r="20" customFormat="false" ht="14.25" hidden="false" customHeight="false" outlineLevel="0" collapsed="false">
      <c r="A20" s="103" t="s">
        <v>732</v>
      </c>
      <c r="B20" s="103" t="s">
        <v>358</v>
      </c>
      <c r="C20" s="104" t="n">
        <v>45664</v>
      </c>
      <c r="D20" s="103" t="s">
        <v>103</v>
      </c>
      <c r="E20" s="103" t="n">
        <v>40</v>
      </c>
      <c r="F20" s="103" t="s">
        <v>170</v>
      </c>
      <c r="G20" s="103" t="s">
        <v>82</v>
      </c>
      <c r="H20" s="103" t="n">
        <v>3.1</v>
      </c>
      <c r="I20" s="103" t="n">
        <v>422</v>
      </c>
      <c r="J20" s="103" t="n">
        <v>40</v>
      </c>
      <c r="K20" s="103" t="n">
        <v>10</v>
      </c>
      <c r="L20" s="103" t="s">
        <v>93</v>
      </c>
      <c r="M20" s="103" t="s">
        <v>67</v>
      </c>
      <c r="N20" s="103" t="s">
        <v>77</v>
      </c>
      <c r="O20" s="103" t="n">
        <v>41</v>
      </c>
      <c r="P20" s="103" t="n">
        <v>14.7</v>
      </c>
      <c r="Q20" s="103" t="n">
        <v>2</v>
      </c>
      <c r="R20" s="103" t="s">
        <v>142</v>
      </c>
      <c r="S20" s="103" t="n">
        <v>462</v>
      </c>
      <c r="T20" s="103" t="n">
        <v>452</v>
      </c>
      <c r="U20" s="103" t="s">
        <v>714</v>
      </c>
      <c r="V20" s="103" t="n">
        <v>2025</v>
      </c>
    </row>
    <row r="21" customFormat="false" ht="14.25" hidden="false" customHeight="false" outlineLevel="0" collapsed="false">
      <c r="A21" s="103" t="s">
        <v>733</v>
      </c>
      <c r="B21" s="103" t="s">
        <v>359</v>
      </c>
      <c r="C21" s="104" t="n">
        <v>45664</v>
      </c>
      <c r="D21" s="103" t="s">
        <v>110</v>
      </c>
      <c r="E21" s="103" t="n">
        <v>18</v>
      </c>
      <c r="F21" s="103" t="s">
        <v>171</v>
      </c>
      <c r="G21" s="103" t="s">
        <v>86</v>
      </c>
      <c r="H21" s="103" t="n">
        <v>3.8</v>
      </c>
      <c r="I21" s="103" t="n">
        <v>593</v>
      </c>
      <c r="J21" s="103" t="n">
        <v>50</v>
      </c>
      <c r="K21" s="103" t="n">
        <v>10</v>
      </c>
      <c r="L21" s="103" t="s">
        <v>93</v>
      </c>
      <c r="M21" s="103" t="s">
        <v>66</v>
      </c>
      <c r="N21" s="103" t="s">
        <v>78</v>
      </c>
      <c r="O21" s="103" t="n">
        <v>34</v>
      </c>
      <c r="P21" s="103" t="n">
        <v>7.2</v>
      </c>
      <c r="Q21" s="103" t="n">
        <v>4</v>
      </c>
      <c r="R21" s="103" t="s">
        <v>134</v>
      </c>
      <c r="S21" s="103" t="n">
        <v>643</v>
      </c>
      <c r="T21" s="103" t="n">
        <v>633</v>
      </c>
      <c r="U21" s="103" t="s">
        <v>714</v>
      </c>
      <c r="V21" s="103" t="n">
        <v>2025</v>
      </c>
    </row>
    <row r="22" customFormat="false" ht="14.25" hidden="false" customHeight="false" outlineLevel="0" collapsed="false">
      <c r="A22" s="103" t="s">
        <v>734</v>
      </c>
      <c r="B22" s="103" t="s">
        <v>360</v>
      </c>
      <c r="C22" s="104" t="n">
        <v>45664</v>
      </c>
      <c r="D22" s="103" t="s">
        <v>105</v>
      </c>
      <c r="E22" s="103" t="n">
        <v>57</v>
      </c>
      <c r="F22" s="103" t="s">
        <v>171</v>
      </c>
      <c r="G22" s="103" t="s">
        <v>89</v>
      </c>
      <c r="H22" s="103" t="n">
        <v>4.3</v>
      </c>
      <c r="I22" s="103" t="n">
        <v>889</v>
      </c>
      <c r="J22" s="103" t="n">
        <v>30</v>
      </c>
      <c r="K22" s="103" t="n">
        <v>20</v>
      </c>
      <c r="L22" s="103" t="s">
        <v>94</v>
      </c>
      <c r="M22" s="103" t="s">
        <v>65</v>
      </c>
      <c r="N22" s="103" t="s">
        <v>77</v>
      </c>
      <c r="O22" s="103" t="n">
        <v>47</v>
      </c>
      <c r="P22" s="103" t="n">
        <v>12.4</v>
      </c>
      <c r="Q22" s="103" t="n">
        <v>5</v>
      </c>
      <c r="R22" s="103" t="s">
        <v>140</v>
      </c>
      <c r="S22" s="103" t="n">
        <v>919</v>
      </c>
      <c r="T22" s="103" t="n">
        <v>899</v>
      </c>
      <c r="U22" s="103" t="s">
        <v>714</v>
      </c>
      <c r="V22" s="103" t="n">
        <v>2025</v>
      </c>
    </row>
    <row r="23" customFormat="false" ht="14.25" hidden="false" customHeight="false" outlineLevel="0" collapsed="false">
      <c r="A23" s="103" t="s">
        <v>735</v>
      </c>
      <c r="B23" s="103" t="s">
        <v>361</v>
      </c>
      <c r="C23" s="104" t="n">
        <v>45665</v>
      </c>
      <c r="D23" s="103" t="s">
        <v>101</v>
      </c>
      <c r="E23" s="103" t="n">
        <v>32</v>
      </c>
      <c r="F23" s="103" t="s">
        <v>170</v>
      </c>
      <c r="G23" s="103" t="s">
        <v>83</v>
      </c>
      <c r="H23" s="103" t="n">
        <v>2.7</v>
      </c>
      <c r="I23" s="103" t="n">
        <v>919</v>
      </c>
      <c r="J23" s="103" t="n">
        <v>60</v>
      </c>
      <c r="K23" s="103" t="n">
        <v>100</v>
      </c>
      <c r="L23" s="103" t="s">
        <v>95</v>
      </c>
      <c r="M23" s="103" t="s">
        <v>66</v>
      </c>
      <c r="N23" s="103" t="s">
        <v>77</v>
      </c>
      <c r="O23" s="103" t="n">
        <v>56</v>
      </c>
      <c r="P23" s="103" t="n">
        <v>7.9</v>
      </c>
      <c r="Q23" s="103" t="n">
        <v>3</v>
      </c>
      <c r="R23" s="103" t="s">
        <v>136</v>
      </c>
      <c r="S23" s="103" t="n">
        <v>979</v>
      </c>
      <c r="T23" s="103" t="n">
        <v>879</v>
      </c>
      <c r="U23" s="103" t="s">
        <v>714</v>
      </c>
      <c r="V23" s="103" t="n">
        <v>2025</v>
      </c>
    </row>
    <row r="24" customFormat="false" ht="14.25" hidden="false" customHeight="false" outlineLevel="0" collapsed="false">
      <c r="A24" s="103" t="s">
        <v>736</v>
      </c>
      <c r="B24" s="103" t="s">
        <v>362</v>
      </c>
      <c r="C24" s="104" t="n">
        <v>45665</v>
      </c>
      <c r="D24" s="103" t="s">
        <v>107</v>
      </c>
      <c r="E24" s="103" t="n">
        <v>38</v>
      </c>
      <c r="F24" s="103" t="s">
        <v>171</v>
      </c>
      <c r="G24" s="103" t="s">
        <v>87</v>
      </c>
      <c r="H24" s="103" t="n">
        <v>3.3</v>
      </c>
      <c r="I24" s="103" t="n">
        <v>1435</v>
      </c>
      <c r="J24" s="103" t="n">
        <v>20</v>
      </c>
      <c r="K24" s="103" t="n">
        <v>0</v>
      </c>
      <c r="L24" s="103" t="s">
        <v>93</v>
      </c>
      <c r="M24" s="103" t="s">
        <v>66</v>
      </c>
      <c r="N24" s="103" t="s">
        <v>77</v>
      </c>
      <c r="O24" s="103" t="n">
        <v>46</v>
      </c>
      <c r="P24" s="103" t="n">
        <v>7.7</v>
      </c>
      <c r="Q24" s="103" t="n">
        <v>5</v>
      </c>
      <c r="R24" s="103" t="s">
        <v>134</v>
      </c>
      <c r="S24" s="103" t="n">
        <v>1455</v>
      </c>
      <c r="T24" s="103" t="n">
        <v>1455</v>
      </c>
      <c r="U24" s="103" t="s">
        <v>714</v>
      </c>
      <c r="V24" s="103" t="n">
        <v>2025</v>
      </c>
    </row>
    <row r="25" customFormat="false" ht="14.25" hidden="false" customHeight="false" outlineLevel="0" collapsed="false">
      <c r="A25" s="103" t="s">
        <v>737</v>
      </c>
      <c r="B25" s="103" t="s">
        <v>363</v>
      </c>
      <c r="C25" s="104" t="n">
        <v>45665</v>
      </c>
      <c r="D25" s="103" t="s">
        <v>110</v>
      </c>
      <c r="E25" s="103" t="n">
        <v>26</v>
      </c>
      <c r="F25" s="103" t="s">
        <v>171</v>
      </c>
      <c r="G25" s="103" t="s">
        <v>86</v>
      </c>
      <c r="H25" s="103" t="n">
        <v>4.9</v>
      </c>
      <c r="I25" s="103" t="n">
        <v>1380</v>
      </c>
      <c r="J25" s="103" t="n">
        <v>0</v>
      </c>
      <c r="K25" s="103" t="n">
        <v>150</v>
      </c>
      <c r="L25" s="103" t="s">
        <v>93</v>
      </c>
      <c r="M25" s="103" t="s">
        <v>65</v>
      </c>
      <c r="N25" s="103" t="s">
        <v>77</v>
      </c>
      <c r="O25" s="103" t="n">
        <v>22</v>
      </c>
      <c r="P25" s="103" t="n">
        <v>14</v>
      </c>
      <c r="Q25" s="103" t="n">
        <v>5</v>
      </c>
      <c r="R25" s="103" t="s">
        <v>142</v>
      </c>
      <c r="S25" s="103" t="n">
        <v>1380</v>
      </c>
      <c r="T25" s="103" t="n">
        <v>1230</v>
      </c>
      <c r="U25" s="103" t="s">
        <v>714</v>
      </c>
      <c r="V25" s="103" t="n">
        <v>2025</v>
      </c>
    </row>
    <row r="26" customFormat="false" ht="14.25" hidden="false" customHeight="false" outlineLevel="0" collapsed="false">
      <c r="A26" s="103" t="s">
        <v>738</v>
      </c>
      <c r="B26" s="103" t="s">
        <v>364</v>
      </c>
      <c r="C26" s="104" t="n">
        <v>45666</v>
      </c>
      <c r="D26" s="103" t="s">
        <v>101</v>
      </c>
      <c r="E26" s="103" t="n">
        <v>26</v>
      </c>
      <c r="F26" s="103" t="s">
        <v>170</v>
      </c>
      <c r="G26" s="103" t="s">
        <v>89</v>
      </c>
      <c r="H26" s="103" t="n">
        <v>3.2</v>
      </c>
      <c r="I26" s="103" t="n">
        <v>887</v>
      </c>
      <c r="J26" s="103" t="n">
        <v>20</v>
      </c>
      <c r="K26" s="103" t="n">
        <v>100</v>
      </c>
      <c r="L26" s="103" t="s">
        <v>95</v>
      </c>
      <c r="M26" s="103" t="s">
        <v>65</v>
      </c>
      <c r="N26" s="103" t="s">
        <v>78</v>
      </c>
      <c r="O26" s="103" t="n">
        <v>70</v>
      </c>
      <c r="P26" s="103" t="n">
        <v>13.4</v>
      </c>
      <c r="Q26" s="103" t="n">
        <v>4</v>
      </c>
      <c r="R26" s="103" t="s">
        <v>133</v>
      </c>
      <c r="S26" s="103" t="n">
        <v>907</v>
      </c>
      <c r="T26" s="103" t="n">
        <v>807</v>
      </c>
      <c r="U26" s="103" t="s">
        <v>714</v>
      </c>
      <c r="V26" s="103" t="n">
        <v>2025</v>
      </c>
    </row>
    <row r="27" customFormat="false" ht="14.25" hidden="false" customHeight="false" outlineLevel="0" collapsed="false">
      <c r="A27" s="103" t="s">
        <v>739</v>
      </c>
      <c r="B27" s="103" t="s">
        <v>365</v>
      </c>
      <c r="C27" s="104" t="n">
        <v>45666</v>
      </c>
      <c r="D27" s="103" t="s">
        <v>103</v>
      </c>
      <c r="E27" s="103" t="n">
        <v>27</v>
      </c>
      <c r="F27" s="103" t="s">
        <v>171</v>
      </c>
      <c r="G27" s="103" t="s">
        <v>89</v>
      </c>
      <c r="H27" s="103" t="n">
        <v>3.3</v>
      </c>
      <c r="I27" s="103" t="n">
        <v>1541</v>
      </c>
      <c r="J27" s="103" t="n">
        <v>50</v>
      </c>
      <c r="K27" s="103" t="n">
        <v>30</v>
      </c>
      <c r="L27" s="103" t="s">
        <v>93</v>
      </c>
      <c r="M27" s="103" t="s">
        <v>67</v>
      </c>
      <c r="N27" s="103" t="s">
        <v>77</v>
      </c>
      <c r="O27" s="103" t="n">
        <v>43</v>
      </c>
      <c r="P27" s="103" t="n">
        <v>11.9</v>
      </c>
      <c r="Q27" s="103" t="n">
        <v>5</v>
      </c>
      <c r="R27" s="103" t="s">
        <v>136</v>
      </c>
      <c r="S27" s="103" t="n">
        <v>1591</v>
      </c>
      <c r="T27" s="103" t="n">
        <v>1561</v>
      </c>
      <c r="U27" s="103" t="s">
        <v>714</v>
      </c>
      <c r="V27" s="103" t="n">
        <v>2025</v>
      </c>
    </row>
    <row r="28" customFormat="false" ht="14.25" hidden="false" customHeight="false" outlineLevel="0" collapsed="false">
      <c r="A28" s="103" t="s">
        <v>740</v>
      </c>
      <c r="B28" s="103" t="s">
        <v>366</v>
      </c>
      <c r="C28" s="104" t="n">
        <v>45666</v>
      </c>
      <c r="D28" s="103" t="s">
        <v>100</v>
      </c>
      <c r="E28" s="103" t="n">
        <v>43</v>
      </c>
      <c r="F28" s="103" t="s">
        <v>170</v>
      </c>
      <c r="G28" s="103" t="s">
        <v>88</v>
      </c>
      <c r="H28" s="103" t="n">
        <v>4.6</v>
      </c>
      <c r="I28" s="103" t="n">
        <v>312</v>
      </c>
      <c r="J28" s="103" t="n">
        <v>0</v>
      </c>
      <c r="K28" s="103" t="n">
        <v>50</v>
      </c>
      <c r="L28" s="103" t="s">
        <v>93</v>
      </c>
      <c r="M28" s="103" t="s">
        <v>65</v>
      </c>
      <c r="N28" s="103" t="s">
        <v>77</v>
      </c>
      <c r="O28" s="103" t="n">
        <v>54</v>
      </c>
      <c r="P28" s="103" t="n">
        <v>4.8</v>
      </c>
      <c r="Q28" s="103" t="n">
        <v>4</v>
      </c>
      <c r="R28" s="103" t="s">
        <v>136</v>
      </c>
      <c r="S28" s="103" t="n">
        <v>312</v>
      </c>
      <c r="T28" s="103" t="n">
        <v>262</v>
      </c>
      <c r="U28" s="103" t="s">
        <v>714</v>
      </c>
      <c r="V28" s="103" t="n">
        <v>2025</v>
      </c>
    </row>
    <row r="29" customFormat="false" ht="14.25" hidden="false" customHeight="false" outlineLevel="0" collapsed="false">
      <c r="A29" s="103" t="s">
        <v>741</v>
      </c>
      <c r="B29" s="103" t="s">
        <v>367</v>
      </c>
      <c r="C29" s="104" t="n">
        <v>45667</v>
      </c>
      <c r="D29" s="103" t="s">
        <v>101</v>
      </c>
      <c r="E29" s="103" t="n">
        <v>58</v>
      </c>
      <c r="F29" s="103" t="s">
        <v>170</v>
      </c>
      <c r="G29" s="103" t="s">
        <v>88</v>
      </c>
      <c r="H29" s="103" t="n">
        <v>2.6</v>
      </c>
      <c r="I29" s="103" t="n">
        <v>549</v>
      </c>
      <c r="J29" s="103" t="n">
        <v>20</v>
      </c>
      <c r="K29" s="103" t="n">
        <v>0</v>
      </c>
      <c r="L29" s="103" t="s">
        <v>95</v>
      </c>
      <c r="M29" s="103" t="s">
        <v>65</v>
      </c>
      <c r="N29" s="103" t="s">
        <v>78</v>
      </c>
      <c r="O29" s="103" t="n">
        <v>33</v>
      </c>
      <c r="P29" s="103" t="n">
        <v>8.4</v>
      </c>
      <c r="Q29" s="103" t="n">
        <v>5</v>
      </c>
      <c r="R29" s="103" t="s">
        <v>136</v>
      </c>
      <c r="S29" s="103" t="n">
        <v>569</v>
      </c>
      <c r="T29" s="103" t="n">
        <v>569</v>
      </c>
      <c r="U29" s="103" t="s">
        <v>714</v>
      </c>
      <c r="V29" s="103" t="n">
        <v>2025</v>
      </c>
    </row>
    <row r="30" customFormat="false" ht="14.25" hidden="false" customHeight="false" outlineLevel="0" collapsed="false">
      <c r="A30" s="103" t="s">
        <v>742</v>
      </c>
      <c r="B30" s="103" t="s">
        <v>368</v>
      </c>
      <c r="C30" s="104" t="n">
        <v>45667</v>
      </c>
      <c r="D30" s="103" t="s">
        <v>104</v>
      </c>
      <c r="E30" s="103" t="n">
        <v>52</v>
      </c>
      <c r="F30" s="103" t="s">
        <v>171</v>
      </c>
      <c r="G30" s="103" t="s">
        <v>88</v>
      </c>
      <c r="H30" s="103" t="n">
        <v>3.7</v>
      </c>
      <c r="I30" s="103" t="n">
        <v>1511</v>
      </c>
      <c r="J30" s="103" t="n">
        <v>20</v>
      </c>
      <c r="K30" s="103" t="n">
        <v>30</v>
      </c>
      <c r="L30" s="103" t="s">
        <v>93</v>
      </c>
      <c r="M30" s="103" t="s">
        <v>65</v>
      </c>
      <c r="N30" s="103" t="s">
        <v>77</v>
      </c>
      <c r="O30" s="103" t="n">
        <v>20</v>
      </c>
      <c r="P30" s="103" t="n">
        <v>3.7</v>
      </c>
      <c r="Q30" s="103" t="n">
        <v>5</v>
      </c>
      <c r="R30" s="103" t="s">
        <v>138</v>
      </c>
      <c r="S30" s="103" t="n">
        <v>1531</v>
      </c>
      <c r="T30" s="103" t="n">
        <v>1501</v>
      </c>
      <c r="U30" s="103" t="s">
        <v>714</v>
      </c>
      <c r="V30" s="103" t="n">
        <v>2025</v>
      </c>
    </row>
    <row r="31" customFormat="false" ht="14.25" hidden="false" customHeight="false" outlineLevel="0" collapsed="false">
      <c r="A31" s="103" t="s">
        <v>743</v>
      </c>
      <c r="B31" s="103" t="s">
        <v>369</v>
      </c>
      <c r="C31" s="104" t="n">
        <v>45667</v>
      </c>
      <c r="D31" s="103" t="s">
        <v>107</v>
      </c>
      <c r="E31" s="103" t="n">
        <v>42</v>
      </c>
      <c r="F31" s="103" t="s">
        <v>171</v>
      </c>
      <c r="G31" s="103" t="s">
        <v>81</v>
      </c>
      <c r="H31" s="103" t="n">
        <v>3.4</v>
      </c>
      <c r="I31" s="103" t="n">
        <v>755</v>
      </c>
      <c r="J31" s="103" t="n">
        <v>40</v>
      </c>
      <c r="K31" s="103" t="n">
        <v>0</v>
      </c>
      <c r="L31" s="103" t="s">
        <v>96</v>
      </c>
      <c r="M31" s="103" t="s">
        <v>65</v>
      </c>
      <c r="N31" s="103" t="s">
        <v>77</v>
      </c>
      <c r="O31" s="103" t="n">
        <v>58</v>
      </c>
      <c r="P31" s="103" t="n">
        <v>6.9</v>
      </c>
      <c r="Q31" s="103" t="n">
        <v>5</v>
      </c>
      <c r="R31" s="103" t="s">
        <v>134</v>
      </c>
      <c r="S31" s="103" t="n">
        <v>795</v>
      </c>
      <c r="T31" s="103" t="n">
        <v>795</v>
      </c>
      <c r="U31" s="103" t="s">
        <v>714</v>
      </c>
      <c r="V31" s="103" t="n">
        <v>2025</v>
      </c>
    </row>
    <row r="32" customFormat="false" ht="14.25" hidden="false" customHeight="false" outlineLevel="0" collapsed="false">
      <c r="A32" s="103" t="s">
        <v>744</v>
      </c>
      <c r="B32" s="103" t="s">
        <v>370</v>
      </c>
      <c r="C32" s="104" t="n">
        <v>45668</v>
      </c>
      <c r="D32" s="103" t="s">
        <v>101</v>
      </c>
      <c r="E32" s="103" t="n">
        <v>43</v>
      </c>
      <c r="F32" s="103" t="s">
        <v>170</v>
      </c>
      <c r="G32" s="103" t="s">
        <v>81</v>
      </c>
      <c r="H32" s="103" t="n">
        <v>3.3</v>
      </c>
      <c r="I32" s="103" t="n">
        <v>1768</v>
      </c>
      <c r="J32" s="103" t="n">
        <v>50</v>
      </c>
      <c r="K32" s="103" t="n">
        <v>0</v>
      </c>
      <c r="L32" s="103" t="s">
        <v>93</v>
      </c>
      <c r="M32" s="103" t="s">
        <v>65</v>
      </c>
      <c r="N32" s="103" t="s">
        <v>78</v>
      </c>
      <c r="O32" s="103" t="n">
        <v>53</v>
      </c>
      <c r="P32" s="103" t="n">
        <v>7.5</v>
      </c>
      <c r="Q32" s="103" t="n">
        <v>4</v>
      </c>
      <c r="R32" s="103" t="s">
        <v>135</v>
      </c>
      <c r="S32" s="103" t="n">
        <v>1818</v>
      </c>
      <c r="T32" s="103" t="n">
        <v>1818</v>
      </c>
      <c r="U32" s="103" t="s">
        <v>714</v>
      </c>
      <c r="V32" s="103" t="n">
        <v>2025</v>
      </c>
    </row>
    <row r="33" customFormat="false" ht="14.25" hidden="false" customHeight="false" outlineLevel="0" collapsed="false">
      <c r="A33" s="103" t="s">
        <v>745</v>
      </c>
      <c r="B33" s="103" t="s">
        <v>371</v>
      </c>
      <c r="C33" s="104" t="n">
        <v>45668</v>
      </c>
      <c r="D33" s="103" t="s">
        <v>109</v>
      </c>
      <c r="E33" s="103" t="n">
        <v>28</v>
      </c>
      <c r="F33" s="103" t="s">
        <v>171</v>
      </c>
      <c r="G33" s="103" t="s">
        <v>89</v>
      </c>
      <c r="H33" s="103" t="n">
        <v>3.2</v>
      </c>
      <c r="I33" s="103" t="n">
        <v>903</v>
      </c>
      <c r="J33" s="103" t="n">
        <v>60</v>
      </c>
      <c r="K33" s="103" t="n">
        <v>0</v>
      </c>
      <c r="L33" s="103" t="s">
        <v>95</v>
      </c>
      <c r="M33" s="103" t="s">
        <v>65</v>
      </c>
      <c r="N33" s="103" t="s">
        <v>77</v>
      </c>
      <c r="O33" s="103" t="n">
        <v>62</v>
      </c>
      <c r="P33" s="103" t="n">
        <v>12.6</v>
      </c>
      <c r="Q33" s="103" t="n">
        <v>4</v>
      </c>
      <c r="R33" s="103" t="s">
        <v>133</v>
      </c>
      <c r="S33" s="103" t="n">
        <v>963</v>
      </c>
      <c r="T33" s="103" t="n">
        <v>963</v>
      </c>
      <c r="U33" s="103" t="s">
        <v>714</v>
      </c>
      <c r="V33" s="103" t="n">
        <v>2025</v>
      </c>
    </row>
    <row r="34" customFormat="false" ht="14.25" hidden="false" customHeight="false" outlineLevel="0" collapsed="false">
      <c r="A34" s="103" t="s">
        <v>746</v>
      </c>
      <c r="B34" s="103" t="s">
        <v>372</v>
      </c>
      <c r="C34" s="104" t="n">
        <v>45668</v>
      </c>
      <c r="D34" s="103" t="s">
        <v>100</v>
      </c>
      <c r="E34" s="103" t="n">
        <v>55</v>
      </c>
      <c r="F34" s="103" t="s">
        <v>171</v>
      </c>
      <c r="G34" s="103" t="s">
        <v>88</v>
      </c>
      <c r="H34" s="103" t="n">
        <v>2.7</v>
      </c>
      <c r="I34" s="103" t="n">
        <v>1450</v>
      </c>
      <c r="J34" s="103" t="n">
        <v>40</v>
      </c>
      <c r="K34" s="103" t="n">
        <v>100</v>
      </c>
      <c r="L34" s="103" t="s">
        <v>94</v>
      </c>
      <c r="M34" s="103" t="s">
        <v>65</v>
      </c>
      <c r="N34" s="103" t="s">
        <v>78</v>
      </c>
      <c r="O34" s="103" t="n">
        <v>55</v>
      </c>
      <c r="P34" s="103" t="n">
        <v>13.5</v>
      </c>
      <c r="Q34" s="103" t="n">
        <v>3</v>
      </c>
      <c r="R34" s="103" t="s">
        <v>131</v>
      </c>
      <c r="S34" s="103" t="n">
        <v>1490</v>
      </c>
      <c r="T34" s="103" t="n">
        <v>1390</v>
      </c>
      <c r="U34" s="103" t="s">
        <v>714</v>
      </c>
      <c r="V34" s="103" t="n">
        <v>2025</v>
      </c>
    </row>
    <row r="35" customFormat="false" ht="14.25" hidden="false" customHeight="false" outlineLevel="0" collapsed="false">
      <c r="A35" s="103" t="s">
        <v>747</v>
      </c>
      <c r="B35" s="103" t="s">
        <v>373</v>
      </c>
      <c r="C35" s="104" t="n">
        <v>45669</v>
      </c>
      <c r="D35" s="103" t="s">
        <v>111</v>
      </c>
      <c r="E35" s="103" t="n">
        <v>19</v>
      </c>
      <c r="F35" s="103" t="s">
        <v>172</v>
      </c>
      <c r="G35" s="103" t="s">
        <v>84</v>
      </c>
      <c r="H35" s="103" t="n">
        <v>3.3</v>
      </c>
      <c r="I35" s="103" t="n">
        <v>796</v>
      </c>
      <c r="J35" s="103" t="n">
        <v>0</v>
      </c>
      <c r="K35" s="103" t="n">
        <v>100</v>
      </c>
      <c r="L35" s="103" t="s">
        <v>96</v>
      </c>
      <c r="M35" s="103" t="s">
        <v>65</v>
      </c>
      <c r="N35" s="103" t="s">
        <v>78</v>
      </c>
      <c r="O35" s="103" t="n">
        <v>35</v>
      </c>
      <c r="P35" s="103" t="n">
        <v>6.5</v>
      </c>
      <c r="Q35" s="103" t="n">
        <v>3</v>
      </c>
      <c r="R35" s="103" t="s">
        <v>132</v>
      </c>
      <c r="S35" s="103" t="n">
        <v>796</v>
      </c>
      <c r="T35" s="103" t="n">
        <v>696</v>
      </c>
      <c r="U35" s="103" t="s">
        <v>714</v>
      </c>
      <c r="V35" s="103" t="n">
        <v>2025</v>
      </c>
    </row>
    <row r="36" customFormat="false" ht="14.25" hidden="false" customHeight="false" outlineLevel="0" collapsed="false">
      <c r="A36" s="103" t="s">
        <v>748</v>
      </c>
      <c r="B36" s="103" t="s">
        <v>374</v>
      </c>
      <c r="C36" s="104" t="n">
        <v>45669</v>
      </c>
      <c r="D36" s="103" t="s">
        <v>111</v>
      </c>
      <c r="E36" s="103" t="n">
        <v>24</v>
      </c>
      <c r="F36" s="103" t="s">
        <v>171</v>
      </c>
      <c r="G36" s="103" t="s">
        <v>83</v>
      </c>
      <c r="H36" s="103" t="n">
        <v>2.6</v>
      </c>
      <c r="I36" s="103" t="n">
        <v>834</v>
      </c>
      <c r="J36" s="103" t="n">
        <v>60</v>
      </c>
      <c r="K36" s="103" t="n">
        <v>30</v>
      </c>
      <c r="L36" s="103" t="s">
        <v>93</v>
      </c>
      <c r="M36" s="103" t="s">
        <v>65</v>
      </c>
      <c r="N36" s="103" t="s">
        <v>77</v>
      </c>
      <c r="O36" s="103" t="n">
        <v>36</v>
      </c>
      <c r="P36" s="103" t="n">
        <v>0.8</v>
      </c>
      <c r="Q36" s="103" t="n">
        <v>5</v>
      </c>
      <c r="R36" s="103" t="s">
        <v>133</v>
      </c>
      <c r="S36" s="103" t="n">
        <v>894</v>
      </c>
      <c r="T36" s="103" t="n">
        <v>864</v>
      </c>
      <c r="U36" s="103" t="s">
        <v>714</v>
      </c>
      <c r="V36" s="103" t="n">
        <v>2025</v>
      </c>
    </row>
    <row r="37" customFormat="false" ht="14.25" hidden="false" customHeight="false" outlineLevel="0" collapsed="false">
      <c r="A37" s="103" t="s">
        <v>749</v>
      </c>
      <c r="B37" s="103" t="s">
        <v>375</v>
      </c>
      <c r="C37" s="104" t="n">
        <v>45669</v>
      </c>
      <c r="D37" s="103" t="s">
        <v>104</v>
      </c>
      <c r="E37" s="103" t="n">
        <v>35</v>
      </c>
      <c r="F37" s="103" t="s">
        <v>170</v>
      </c>
      <c r="G37" s="103" t="s">
        <v>86</v>
      </c>
      <c r="H37" s="103" t="n">
        <v>4.5</v>
      </c>
      <c r="I37" s="103" t="n">
        <v>763</v>
      </c>
      <c r="J37" s="103" t="n">
        <v>40</v>
      </c>
      <c r="K37" s="103" t="n">
        <v>10</v>
      </c>
      <c r="L37" s="103" t="s">
        <v>95</v>
      </c>
      <c r="M37" s="103" t="s">
        <v>65</v>
      </c>
      <c r="N37" s="103" t="s">
        <v>77</v>
      </c>
      <c r="O37" s="103" t="n">
        <v>56</v>
      </c>
      <c r="P37" s="103" t="n">
        <v>13</v>
      </c>
      <c r="Q37" s="103" t="n">
        <v>5</v>
      </c>
      <c r="R37" s="103" t="s">
        <v>131</v>
      </c>
      <c r="S37" s="103" t="n">
        <v>803</v>
      </c>
      <c r="T37" s="103" t="n">
        <v>793</v>
      </c>
      <c r="U37" s="103" t="s">
        <v>714</v>
      </c>
      <c r="V37" s="103" t="n">
        <v>2025</v>
      </c>
    </row>
    <row r="38" customFormat="false" ht="14.25" hidden="false" customHeight="false" outlineLevel="0" collapsed="false">
      <c r="A38" s="103" t="s">
        <v>750</v>
      </c>
      <c r="B38" s="103" t="s">
        <v>376</v>
      </c>
      <c r="C38" s="104" t="n">
        <v>45670</v>
      </c>
      <c r="D38" s="103" t="s">
        <v>101</v>
      </c>
      <c r="E38" s="103" t="n">
        <v>44</v>
      </c>
      <c r="F38" s="103" t="s">
        <v>172</v>
      </c>
      <c r="G38" s="103" t="s">
        <v>86</v>
      </c>
      <c r="H38" s="103" t="n">
        <v>3.5</v>
      </c>
      <c r="I38" s="103" t="n">
        <v>1328</v>
      </c>
      <c r="J38" s="103" t="n">
        <v>50</v>
      </c>
      <c r="K38" s="103" t="n">
        <v>20</v>
      </c>
      <c r="L38" s="103" t="s">
        <v>94</v>
      </c>
      <c r="M38" s="103" t="s">
        <v>67</v>
      </c>
      <c r="N38" s="103" t="s">
        <v>78</v>
      </c>
      <c r="O38" s="103" t="n">
        <v>24</v>
      </c>
      <c r="P38" s="103" t="n">
        <v>3</v>
      </c>
      <c r="Q38" s="103" t="n">
        <v>4</v>
      </c>
      <c r="R38" s="103" t="s">
        <v>142</v>
      </c>
      <c r="S38" s="103" t="n">
        <v>1378</v>
      </c>
      <c r="T38" s="103" t="n">
        <v>1358</v>
      </c>
      <c r="U38" s="103" t="s">
        <v>714</v>
      </c>
      <c r="V38" s="103" t="n">
        <v>2025</v>
      </c>
    </row>
    <row r="39" customFormat="false" ht="14.25" hidden="false" customHeight="false" outlineLevel="0" collapsed="false">
      <c r="A39" s="103" t="s">
        <v>751</v>
      </c>
      <c r="B39" s="103" t="s">
        <v>377</v>
      </c>
      <c r="C39" s="104" t="n">
        <v>45670</v>
      </c>
      <c r="D39" s="103" t="s">
        <v>101</v>
      </c>
      <c r="E39" s="103" t="n">
        <v>51</v>
      </c>
      <c r="F39" s="103" t="s">
        <v>171</v>
      </c>
      <c r="G39" s="103" t="s">
        <v>81</v>
      </c>
      <c r="H39" s="103" t="n">
        <v>3.6</v>
      </c>
      <c r="I39" s="103" t="n">
        <v>1040</v>
      </c>
      <c r="J39" s="103" t="n">
        <v>30</v>
      </c>
      <c r="K39" s="103" t="n">
        <v>150</v>
      </c>
      <c r="L39" s="103" t="s">
        <v>94</v>
      </c>
      <c r="M39" s="103" t="s">
        <v>66</v>
      </c>
      <c r="N39" s="103" t="s">
        <v>77</v>
      </c>
      <c r="O39" s="103" t="n">
        <v>24</v>
      </c>
      <c r="P39" s="103" t="n">
        <v>9.5</v>
      </c>
      <c r="Q39" s="103" t="n">
        <v>3</v>
      </c>
      <c r="R39" s="103" t="s">
        <v>142</v>
      </c>
      <c r="S39" s="103" t="n">
        <v>1070</v>
      </c>
      <c r="T39" s="103" t="n">
        <v>920</v>
      </c>
      <c r="U39" s="103" t="s">
        <v>714</v>
      </c>
      <c r="V39" s="103" t="n">
        <v>2025</v>
      </c>
    </row>
    <row r="40" customFormat="false" ht="14.25" hidden="false" customHeight="false" outlineLevel="0" collapsed="false">
      <c r="A40" s="103" t="s">
        <v>752</v>
      </c>
      <c r="B40" s="103" t="s">
        <v>378</v>
      </c>
      <c r="C40" s="104" t="n">
        <v>45670</v>
      </c>
      <c r="D40" s="103" t="s">
        <v>102</v>
      </c>
      <c r="E40" s="103" t="n">
        <v>44</v>
      </c>
      <c r="F40" s="103" t="s">
        <v>171</v>
      </c>
      <c r="G40" s="103" t="s">
        <v>89</v>
      </c>
      <c r="H40" s="103" t="n">
        <v>4.7</v>
      </c>
      <c r="I40" s="103" t="n">
        <v>1706</v>
      </c>
      <c r="J40" s="103" t="n">
        <v>30</v>
      </c>
      <c r="K40" s="103" t="n">
        <v>150</v>
      </c>
      <c r="L40" s="103" t="s">
        <v>94</v>
      </c>
      <c r="M40" s="103" t="s">
        <v>65</v>
      </c>
      <c r="N40" s="103" t="s">
        <v>78</v>
      </c>
      <c r="O40" s="103" t="n">
        <v>66</v>
      </c>
      <c r="P40" s="103" t="n">
        <v>0.9</v>
      </c>
      <c r="Q40" s="103" t="n">
        <v>4</v>
      </c>
      <c r="R40" s="103" t="s">
        <v>131</v>
      </c>
      <c r="S40" s="103" t="n">
        <v>1736</v>
      </c>
      <c r="T40" s="103" t="n">
        <v>1586</v>
      </c>
      <c r="U40" s="103" t="s">
        <v>714</v>
      </c>
      <c r="V40" s="103" t="n">
        <v>2025</v>
      </c>
    </row>
    <row r="41" customFormat="false" ht="14.25" hidden="false" customHeight="false" outlineLevel="0" collapsed="false">
      <c r="A41" s="103" t="s">
        <v>753</v>
      </c>
      <c r="B41" s="103" t="s">
        <v>379</v>
      </c>
      <c r="C41" s="104" t="n">
        <v>45671</v>
      </c>
      <c r="D41" s="103" t="s">
        <v>101</v>
      </c>
      <c r="E41" s="103" t="n">
        <v>34</v>
      </c>
      <c r="F41" s="103" t="s">
        <v>171</v>
      </c>
      <c r="G41" s="103" t="s">
        <v>87</v>
      </c>
      <c r="H41" s="103" t="n">
        <v>4.1</v>
      </c>
      <c r="I41" s="103" t="n">
        <v>541</v>
      </c>
      <c r="J41" s="103" t="n">
        <v>0</v>
      </c>
      <c r="K41" s="103" t="n">
        <v>75</v>
      </c>
      <c r="L41" s="103" t="s">
        <v>95</v>
      </c>
      <c r="M41" s="103" t="s">
        <v>65</v>
      </c>
      <c r="N41" s="103" t="s">
        <v>78</v>
      </c>
      <c r="O41" s="103" t="n">
        <v>43</v>
      </c>
      <c r="P41" s="103" t="n">
        <v>6.3</v>
      </c>
      <c r="Q41" s="103" t="n">
        <v>4</v>
      </c>
      <c r="R41" s="103" t="s">
        <v>136</v>
      </c>
      <c r="S41" s="103" t="n">
        <v>541</v>
      </c>
      <c r="T41" s="103" t="n">
        <v>466</v>
      </c>
      <c r="U41" s="103" t="s">
        <v>714</v>
      </c>
      <c r="V41" s="103" t="n">
        <v>2025</v>
      </c>
    </row>
    <row r="42" customFormat="false" ht="14.25" hidden="false" customHeight="false" outlineLevel="0" collapsed="false">
      <c r="A42" s="103" t="s">
        <v>754</v>
      </c>
      <c r="B42" s="103" t="s">
        <v>380</v>
      </c>
      <c r="C42" s="104" t="n">
        <v>45671</v>
      </c>
      <c r="D42" s="103" t="s">
        <v>108</v>
      </c>
      <c r="E42" s="103" t="n">
        <v>60</v>
      </c>
      <c r="F42" s="103" t="s">
        <v>171</v>
      </c>
      <c r="G42" s="103" t="s">
        <v>85</v>
      </c>
      <c r="H42" s="103" t="n">
        <v>2.5</v>
      </c>
      <c r="I42" s="103" t="n">
        <v>289</v>
      </c>
      <c r="J42" s="103" t="n">
        <v>30</v>
      </c>
      <c r="K42" s="103" t="n">
        <v>200</v>
      </c>
      <c r="L42" s="103" t="s">
        <v>97</v>
      </c>
      <c r="M42" s="103" t="s">
        <v>65</v>
      </c>
      <c r="N42" s="103" t="s">
        <v>77</v>
      </c>
      <c r="O42" s="103" t="n">
        <v>30</v>
      </c>
      <c r="P42" s="103" t="n">
        <v>14.8</v>
      </c>
      <c r="Q42" s="103" t="n">
        <v>4</v>
      </c>
      <c r="R42" s="103" t="s">
        <v>141</v>
      </c>
      <c r="S42" s="103" t="n">
        <v>319</v>
      </c>
      <c r="T42" s="103" t="n">
        <v>119</v>
      </c>
      <c r="U42" s="103" t="s">
        <v>714</v>
      </c>
      <c r="V42" s="103" t="n">
        <v>2025</v>
      </c>
    </row>
    <row r="43" customFormat="false" ht="14.25" hidden="false" customHeight="false" outlineLevel="0" collapsed="false">
      <c r="A43" s="103" t="s">
        <v>755</v>
      </c>
      <c r="B43" s="103" t="s">
        <v>381</v>
      </c>
      <c r="C43" s="104" t="n">
        <v>45671</v>
      </c>
      <c r="D43" s="103" t="s">
        <v>106</v>
      </c>
      <c r="E43" s="103" t="n">
        <v>41</v>
      </c>
      <c r="F43" s="103" t="s">
        <v>171</v>
      </c>
      <c r="G43" s="103" t="s">
        <v>85</v>
      </c>
      <c r="H43" s="103" t="n">
        <v>4.9</v>
      </c>
      <c r="I43" s="103" t="n">
        <v>781</v>
      </c>
      <c r="J43" s="103" t="n">
        <v>40</v>
      </c>
      <c r="K43" s="103" t="n">
        <v>200</v>
      </c>
      <c r="L43" s="103" t="s">
        <v>93</v>
      </c>
      <c r="M43" s="103" t="s">
        <v>65</v>
      </c>
      <c r="N43" s="103" t="s">
        <v>77</v>
      </c>
      <c r="O43" s="103" t="n">
        <v>15</v>
      </c>
      <c r="P43" s="103" t="n">
        <v>2</v>
      </c>
      <c r="Q43" s="103" t="n">
        <v>3</v>
      </c>
      <c r="R43" s="103" t="s">
        <v>134</v>
      </c>
      <c r="S43" s="103" t="n">
        <v>821</v>
      </c>
      <c r="T43" s="103" t="n">
        <v>621</v>
      </c>
      <c r="U43" s="103" t="s">
        <v>714</v>
      </c>
      <c r="V43" s="103" t="n">
        <v>2025</v>
      </c>
    </row>
    <row r="44" customFormat="false" ht="14.25" hidden="false" customHeight="false" outlineLevel="0" collapsed="false">
      <c r="A44" s="103" t="s">
        <v>756</v>
      </c>
      <c r="B44" s="103" t="s">
        <v>382</v>
      </c>
      <c r="C44" s="104" t="n">
        <v>45672</v>
      </c>
      <c r="D44" s="103" t="s">
        <v>109</v>
      </c>
      <c r="E44" s="103" t="n">
        <v>42</v>
      </c>
      <c r="F44" s="103" t="s">
        <v>170</v>
      </c>
      <c r="G44" s="103" t="s">
        <v>81</v>
      </c>
      <c r="H44" s="103" t="n">
        <v>3.1</v>
      </c>
      <c r="I44" s="103" t="n">
        <v>1156</v>
      </c>
      <c r="J44" s="103" t="n">
        <v>0</v>
      </c>
      <c r="K44" s="103" t="n">
        <v>30</v>
      </c>
      <c r="L44" s="103" t="s">
        <v>93</v>
      </c>
      <c r="M44" s="103" t="s">
        <v>65</v>
      </c>
      <c r="N44" s="103" t="s">
        <v>77</v>
      </c>
      <c r="O44" s="103" t="n">
        <v>31</v>
      </c>
      <c r="P44" s="103" t="n">
        <v>6.6</v>
      </c>
      <c r="Q44" s="103" t="n">
        <v>5</v>
      </c>
      <c r="R44" s="103" t="s">
        <v>131</v>
      </c>
      <c r="S44" s="103" t="n">
        <v>1156</v>
      </c>
      <c r="T44" s="103" t="n">
        <v>1126</v>
      </c>
      <c r="U44" s="103" t="s">
        <v>714</v>
      </c>
      <c r="V44" s="103" t="n">
        <v>2025</v>
      </c>
    </row>
    <row r="45" customFormat="false" ht="14.25" hidden="false" customHeight="false" outlineLevel="0" collapsed="false">
      <c r="A45" s="103" t="s">
        <v>757</v>
      </c>
      <c r="B45" s="103" t="s">
        <v>383</v>
      </c>
      <c r="C45" s="104" t="n">
        <v>45672</v>
      </c>
      <c r="D45" s="103" t="s">
        <v>102</v>
      </c>
      <c r="E45" s="103" t="n">
        <v>24</v>
      </c>
      <c r="F45" s="103" t="s">
        <v>171</v>
      </c>
      <c r="G45" s="103" t="s">
        <v>87</v>
      </c>
      <c r="H45" s="103" t="n">
        <v>2.8</v>
      </c>
      <c r="I45" s="103" t="n">
        <v>1566</v>
      </c>
      <c r="J45" s="103" t="n">
        <v>60</v>
      </c>
      <c r="K45" s="103" t="n">
        <v>0</v>
      </c>
      <c r="L45" s="103" t="s">
        <v>96</v>
      </c>
      <c r="M45" s="103" t="s">
        <v>65</v>
      </c>
      <c r="N45" s="103" t="s">
        <v>77</v>
      </c>
      <c r="O45" s="103" t="n">
        <v>44</v>
      </c>
      <c r="P45" s="103" t="n">
        <v>5</v>
      </c>
      <c r="Q45" s="103" t="n">
        <v>1</v>
      </c>
      <c r="R45" s="103" t="s">
        <v>134</v>
      </c>
      <c r="S45" s="103" t="n">
        <v>1626</v>
      </c>
      <c r="T45" s="103" t="n">
        <v>1626</v>
      </c>
      <c r="U45" s="103" t="s">
        <v>714</v>
      </c>
      <c r="V45" s="103" t="n">
        <v>2025</v>
      </c>
    </row>
    <row r="46" customFormat="false" ht="14.25" hidden="false" customHeight="false" outlineLevel="0" collapsed="false">
      <c r="A46" s="103" t="s">
        <v>758</v>
      </c>
      <c r="B46" s="103" t="s">
        <v>384</v>
      </c>
      <c r="C46" s="104" t="n">
        <v>45672</v>
      </c>
      <c r="D46" s="103" t="s">
        <v>103</v>
      </c>
      <c r="E46" s="103" t="n">
        <v>23</v>
      </c>
      <c r="F46" s="103" t="s">
        <v>170</v>
      </c>
      <c r="G46" s="103" t="s">
        <v>81</v>
      </c>
      <c r="H46" s="103" t="n">
        <v>4.4</v>
      </c>
      <c r="I46" s="103" t="n">
        <v>702</v>
      </c>
      <c r="J46" s="103" t="n">
        <v>50</v>
      </c>
      <c r="K46" s="103" t="n">
        <v>0</v>
      </c>
      <c r="L46" s="103" t="s">
        <v>93</v>
      </c>
      <c r="M46" s="103" t="s">
        <v>67</v>
      </c>
      <c r="N46" s="103" t="s">
        <v>77</v>
      </c>
      <c r="O46" s="103" t="n">
        <v>40</v>
      </c>
      <c r="P46" s="103" t="n">
        <v>13.6</v>
      </c>
      <c r="Q46" s="103" t="n">
        <v>4</v>
      </c>
      <c r="R46" s="103" t="s">
        <v>137</v>
      </c>
      <c r="S46" s="103" t="n">
        <v>752</v>
      </c>
      <c r="T46" s="103" t="n">
        <v>752</v>
      </c>
      <c r="U46" s="103" t="s">
        <v>714</v>
      </c>
      <c r="V46" s="103" t="n">
        <v>2025</v>
      </c>
    </row>
    <row r="47" customFormat="false" ht="14.25" hidden="false" customHeight="false" outlineLevel="0" collapsed="false">
      <c r="A47" s="103" t="s">
        <v>759</v>
      </c>
      <c r="B47" s="103" t="s">
        <v>385</v>
      </c>
      <c r="C47" s="104" t="n">
        <v>45673</v>
      </c>
      <c r="D47" s="103" t="s">
        <v>102</v>
      </c>
      <c r="E47" s="103" t="n">
        <v>41</v>
      </c>
      <c r="F47" s="103" t="s">
        <v>172</v>
      </c>
      <c r="G47" s="103" t="s">
        <v>85</v>
      </c>
      <c r="H47" s="103" t="n">
        <v>3.8</v>
      </c>
      <c r="I47" s="103" t="n">
        <v>1218</v>
      </c>
      <c r="J47" s="103" t="n">
        <v>0</v>
      </c>
      <c r="K47" s="103" t="n">
        <v>50</v>
      </c>
      <c r="L47" s="103" t="s">
        <v>97</v>
      </c>
      <c r="M47" s="103" t="s">
        <v>65</v>
      </c>
      <c r="N47" s="103" t="s">
        <v>77</v>
      </c>
      <c r="O47" s="103" t="n">
        <v>67</v>
      </c>
      <c r="P47" s="103" t="n">
        <v>13.1</v>
      </c>
      <c r="Q47" s="103" t="n">
        <v>5</v>
      </c>
      <c r="R47" s="103" t="s">
        <v>138</v>
      </c>
      <c r="S47" s="103" t="n">
        <v>1218</v>
      </c>
      <c r="T47" s="103" t="n">
        <v>1168</v>
      </c>
      <c r="U47" s="103" t="s">
        <v>714</v>
      </c>
      <c r="V47" s="103" t="n">
        <v>2025</v>
      </c>
    </row>
    <row r="48" customFormat="false" ht="14.25" hidden="false" customHeight="false" outlineLevel="0" collapsed="false">
      <c r="A48" s="103" t="s">
        <v>760</v>
      </c>
      <c r="B48" s="103" t="s">
        <v>386</v>
      </c>
      <c r="C48" s="104" t="n">
        <v>45673</v>
      </c>
      <c r="D48" s="103" t="s">
        <v>108</v>
      </c>
      <c r="E48" s="103" t="n">
        <v>50</v>
      </c>
      <c r="F48" s="103" t="s">
        <v>170</v>
      </c>
      <c r="G48" s="103" t="s">
        <v>87</v>
      </c>
      <c r="H48" s="103" t="n">
        <v>3.6</v>
      </c>
      <c r="I48" s="103" t="n">
        <v>708</v>
      </c>
      <c r="J48" s="103" t="n">
        <v>60</v>
      </c>
      <c r="K48" s="103" t="n">
        <v>10</v>
      </c>
      <c r="L48" s="103" t="s">
        <v>94</v>
      </c>
      <c r="M48" s="103" t="s">
        <v>65</v>
      </c>
      <c r="N48" s="103" t="s">
        <v>78</v>
      </c>
      <c r="O48" s="103" t="n">
        <v>60</v>
      </c>
      <c r="P48" s="103" t="n">
        <v>3.9</v>
      </c>
      <c r="Q48" s="103" t="n">
        <v>4</v>
      </c>
      <c r="R48" s="103" t="s">
        <v>132</v>
      </c>
      <c r="S48" s="103" t="n">
        <v>768</v>
      </c>
      <c r="T48" s="103" t="n">
        <v>758</v>
      </c>
      <c r="U48" s="103" t="s">
        <v>714</v>
      </c>
      <c r="V48" s="103" t="n">
        <v>2025</v>
      </c>
    </row>
    <row r="49" customFormat="false" ht="14.25" hidden="false" customHeight="false" outlineLevel="0" collapsed="false">
      <c r="A49" s="103" t="s">
        <v>761</v>
      </c>
      <c r="B49" s="103" t="s">
        <v>387</v>
      </c>
      <c r="C49" s="104" t="n">
        <v>45673</v>
      </c>
      <c r="D49" s="103" t="s">
        <v>103</v>
      </c>
      <c r="E49" s="103" t="n">
        <v>46</v>
      </c>
      <c r="F49" s="103" t="s">
        <v>170</v>
      </c>
      <c r="G49" s="103" t="s">
        <v>88</v>
      </c>
      <c r="H49" s="103" t="n">
        <v>3.1</v>
      </c>
      <c r="I49" s="103" t="n">
        <v>1157</v>
      </c>
      <c r="J49" s="103" t="n">
        <v>0</v>
      </c>
      <c r="K49" s="103" t="n">
        <v>75</v>
      </c>
      <c r="L49" s="103" t="s">
        <v>95</v>
      </c>
      <c r="M49" s="103" t="s">
        <v>65</v>
      </c>
      <c r="N49" s="103" t="s">
        <v>78</v>
      </c>
      <c r="O49" s="103" t="n">
        <v>33</v>
      </c>
      <c r="P49" s="103" t="n">
        <v>1.7</v>
      </c>
      <c r="Q49" s="103" t="n">
        <v>5</v>
      </c>
      <c r="R49" s="103" t="s">
        <v>137</v>
      </c>
      <c r="S49" s="103" t="n">
        <v>1157</v>
      </c>
      <c r="T49" s="103" t="n">
        <v>1082</v>
      </c>
      <c r="U49" s="103" t="s">
        <v>714</v>
      </c>
      <c r="V49" s="103" t="n">
        <v>2025</v>
      </c>
    </row>
    <row r="50" customFormat="false" ht="14.25" hidden="false" customHeight="false" outlineLevel="0" collapsed="false">
      <c r="A50" s="103" t="s">
        <v>762</v>
      </c>
      <c r="B50" s="103" t="s">
        <v>388</v>
      </c>
      <c r="C50" s="104" t="n">
        <v>45674</v>
      </c>
      <c r="D50" s="103" t="s">
        <v>109</v>
      </c>
      <c r="E50" s="103" t="n">
        <v>60</v>
      </c>
      <c r="F50" s="103" t="s">
        <v>171</v>
      </c>
      <c r="G50" s="103" t="s">
        <v>89</v>
      </c>
      <c r="H50" s="103" t="n">
        <v>3.9</v>
      </c>
      <c r="I50" s="103" t="n">
        <v>1606</v>
      </c>
      <c r="J50" s="103" t="n">
        <v>20</v>
      </c>
      <c r="K50" s="103" t="n">
        <v>100</v>
      </c>
      <c r="L50" s="103" t="s">
        <v>93</v>
      </c>
      <c r="M50" s="103" t="s">
        <v>65</v>
      </c>
      <c r="N50" s="103" t="s">
        <v>78</v>
      </c>
      <c r="O50" s="103" t="n">
        <v>67</v>
      </c>
      <c r="P50" s="103" t="n">
        <v>9.6</v>
      </c>
      <c r="Q50" s="103" t="n">
        <v>5</v>
      </c>
      <c r="R50" s="103" t="s">
        <v>131</v>
      </c>
      <c r="S50" s="103" t="n">
        <v>1626</v>
      </c>
      <c r="T50" s="103" t="n">
        <v>1526</v>
      </c>
      <c r="U50" s="103" t="s">
        <v>714</v>
      </c>
      <c r="V50" s="103" t="n">
        <v>2025</v>
      </c>
    </row>
    <row r="51" customFormat="false" ht="14.25" hidden="false" customHeight="false" outlineLevel="0" collapsed="false">
      <c r="A51" s="103" t="s">
        <v>763</v>
      </c>
      <c r="B51" s="103" t="s">
        <v>389</v>
      </c>
      <c r="C51" s="104" t="n">
        <v>45674</v>
      </c>
      <c r="D51" s="103" t="s">
        <v>108</v>
      </c>
      <c r="E51" s="103" t="n">
        <v>39</v>
      </c>
      <c r="F51" s="103" t="s">
        <v>170</v>
      </c>
      <c r="G51" s="103" t="s">
        <v>86</v>
      </c>
      <c r="H51" s="103" t="n">
        <v>3.2</v>
      </c>
      <c r="I51" s="103" t="n">
        <v>509</v>
      </c>
      <c r="J51" s="103" t="n">
        <v>20</v>
      </c>
      <c r="K51" s="103" t="n">
        <v>0</v>
      </c>
      <c r="L51" s="103" t="s">
        <v>93</v>
      </c>
      <c r="M51" s="103" t="s">
        <v>65</v>
      </c>
      <c r="N51" s="103" t="s">
        <v>78</v>
      </c>
      <c r="O51" s="103" t="n">
        <v>35</v>
      </c>
      <c r="P51" s="103" t="n">
        <v>5.4</v>
      </c>
      <c r="Q51" s="103" t="n">
        <v>5</v>
      </c>
      <c r="R51" s="103" t="s">
        <v>133</v>
      </c>
      <c r="S51" s="103" t="n">
        <v>529</v>
      </c>
      <c r="T51" s="103" t="n">
        <v>529</v>
      </c>
      <c r="U51" s="103" t="s">
        <v>714</v>
      </c>
      <c r="V51" s="103" t="n">
        <v>2025</v>
      </c>
    </row>
    <row r="52" customFormat="false" ht="14.25" hidden="false" customHeight="false" outlineLevel="0" collapsed="false">
      <c r="A52" s="103" t="s">
        <v>764</v>
      </c>
      <c r="B52" s="103" t="s">
        <v>390</v>
      </c>
      <c r="C52" s="104" t="n">
        <v>45674</v>
      </c>
      <c r="D52" s="103" t="s">
        <v>110</v>
      </c>
      <c r="E52" s="103" t="n">
        <v>43</v>
      </c>
      <c r="F52" s="103" t="s">
        <v>170</v>
      </c>
      <c r="G52" s="103" t="s">
        <v>84</v>
      </c>
      <c r="H52" s="103" t="n">
        <v>4.8</v>
      </c>
      <c r="I52" s="103" t="n">
        <v>799</v>
      </c>
      <c r="J52" s="103" t="n">
        <v>0</v>
      </c>
      <c r="K52" s="103" t="n">
        <v>75</v>
      </c>
      <c r="L52" s="103" t="s">
        <v>95</v>
      </c>
      <c r="M52" s="103" t="s">
        <v>66</v>
      </c>
      <c r="N52" s="103" t="s">
        <v>78</v>
      </c>
      <c r="O52" s="103" t="n">
        <v>31</v>
      </c>
      <c r="P52" s="103" t="n">
        <v>10.2</v>
      </c>
      <c r="Q52" s="103" t="n">
        <v>4</v>
      </c>
      <c r="R52" s="103" t="s">
        <v>134</v>
      </c>
      <c r="S52" s="103" t="n">
        <v>799</v>
      </c>
      <c r="T52" s="103" t="n">
        <v>724</v>
      </c>
      <c r="U52" s="103" t="s">
        <v>714</v>
      </c>
      <c r="V52" s="103" t="n">
        <v>2025</v>
      </c>
    </row>
    <row r="53" customFormat="false" ht="14.25" hidden="false" customHeight="false" outlineLevel="0" collapsed="false">
      <c r="A53" s="103" t="s">
        <v>765</v>
      </c>
      <c r="B53" s="103" t="s">
        <v>391</v>
      </c>
      <c r="C53" s="104" t="n">
        <v>45675</v>
      </c>
      <c r="D53" s="103" t="s">
        <v>106</v>
      </c>
      <c r="E53" s="103" t="n">
        <v>45</v>
      </c>
      <c r="F53" s="103" t="s">
        <v>171</v>
      </c>
      <c r="G53" s="103" t="s">
        <v>90</v>
      </c>
      <c r="H53" s="103" t="n">
        <v>3</v>
      </c>
      <c r="I53" s="103" t="n">
        <v>1789</v>
      </c>
      <c r="J53" s="103" t="n">
        <v>30</v>
      </c>
      <c r="K53" s="103" t="n">
        <v>150</v>
      </c>
      <c r="L53" s="103" t="s">
        <v>96</v>
      </c>
      <c r="M53" s="103" t="s">
        <v>65</v>
      </c>
      <c r="N53" s="103" t="s">
        <v>77</v>
      </c>
      <c r="O53" s="103" t="n">
        <v>60</v>
      </c>
      <c r="P53" s="103" t="n">
        <v>1</v>
      </c>
      <c r="Q53" s="103" t="n">
        <v>4</v>
      </c>
      <c r="R53" s="103" t="s">
        <v>137</v>
      </c>
      <c r="S53" s="103" t="n">
        <v>1819</v>
      </c>
      <c r="T53" s="103" t="n">
        <v>1669</v>
      </c>
      <c r="U53" s="103" t="s">
        <v>714</v>
      </c>
      <c r="V53" s="103" t="n">
        <v>2025</v>
      </c>
    </row>
    <row r="54" customFormat="false" ht="14.25" hidden="false" customHeight="false" outlineLevel="0" collapsed="false">
      <c r="A54" s="103" t="s">
        <v>766</v>
      </c>
      <c r="B54" s="103" t="s">
        <v>392</v>
      </c>
      <c r="C54" s="104" t="n">
        <v>45675</v>
      </c>
      <c r="D54" s="103" t="s">
        <v>109</v>
      </c>
      <c r="E54" s="103" t="n">
        <v>38</v>
      </c>
      <c r="F54" s="103" t="s">
        <v>171</v>
      </c>
      <c r="G54" s="103" t="s">
        <v>89</v>
      </c>
      <c r="H54" s="103" t="n">
        <v>4.7</v>
      </c>
      <c r="I54" s="103" t="n">
        <v>1579</v>
      </c>
      <c r="J54" s="103" t="n">
        <v>20</v>
      </c>
      <c r="K54" s="103" t="n">
        <v>50</v>
      </c>
      <c r="L54" s="103" t="s">
        <v>97</v>
      </c>
      <c r="M54" s="103" t="s">
        <v>65</v>
      </c>
      <c r="N54" s="103" t="s">
        <v>78</v>
      </c>
      <c r="O54" s="103" t="n">
        <v>54</v>
      </c>
      <c r="P54" s="103" t="n">
        <v>2.4</v>
      </c>
      <c r="Q54" s="103" t="n">
        <v>5</v>
      </c>
      <c r="R54" s="103" t="s">
        <v>134</v>
      </c>
      <c r="S54" s="103" t="n">
        <v>1599</v>
      </c>
      <c r="T54" s="103" t="n">
        <v>1549</v>
      </c>
      <c r="U54" s="103" t="s">
        <v>714</v>
      </c>
      <c r="V54" s="103" t="n">
        <v>2025</v>
      </c>
    </row>
    <row r="55" customFormat="false" ht="14.25" hidden="false" customHeight="false" outlineLevel="0" collapsed="false">
      <c r="A55" s="103" t="s">
        <v>767</v>
      </c>
      <c r="B55" s="103" t="s">
        <v>393</v>
      </c>
      <c r="C55" s="104" t="n">
        <v>45675</v>
      </c>
      <c r="D55" s="103" t="s">
        <v>101</v>
      </c>
      <c r="E55" s="103" t="n">
        <v>24</v>
      </c>
      <c r="F55" s="103" t="s">
        <v>170</v>
      </c>
      <c r="G55" s="103" t="s">
        <v>88</v>
      </c>
      <c r="H55" s="103" t="n">
        <v>3.9</v>
      </c>
      <c r="I55" s="103" t="n">
        <v>1069</v>
      </c>
      <c r="J55" s="103" t="n">
        <v>50</v>
      </c>
      <c r="K55" s="103" t="n">
        <v>100</v>
      </c>
      <c r="L55" s="103" t="s">
        <v>93</v>
      </c>
      <c r="M55" s="103" t="s">
        <v>65</v>
      </c>
      <c r="N55" s="103" t="s">
        <v>78</v>
      </c>
      <c r="O55" s="103" t="n">
        <v>35</v>
      </c>
      <c r="P55" s="103" t="n">
        <v>10.5</v>
      </c>
      <c r="Q55" s="103" t="n">
        <v>5</v>
      </c>
      <c r="R55" s="103" t="s">
        <v>135</v>
      </c>
      <c r="S55" s="103" t="n">
        <v>1119</v>
      </c>
      <c r="T55" s="103" t="n">
        <v>1019</v>
      </c>
      <c r="U55" s="103" t="s">
        <v>714</v>
      </c>
      <c r="V55" s="103" t="n">
        <v>2025</v>
      </c>
    </row>
    <row r="56" customFormat="false" ht="14.25" hidden="false" customHeight="false" outlineLevel="0" collapsed="false">
      <c r="A56" s="103" t="s">
        <v>768</v>
      </c>
      <c r="B56" s="103" t="s">
        <v>394</v>
      </c>
      <c r="C56" s="104" t="n">
        <v>45676</v>
      </c>
      <c r="D56" s="103" t="s">
        <v>110</v>
      </c>
      <c r="E56" s="103" t="n">
        <v>34</v>
      </c>
      <c r="F56" s="103" t="s">
        <v>171</v>
      </c>
      <c r="G56" s="103" t="s">
        <v>85</v>
      </c>
      <c r="H56" s="103" t="n">
        <v>4.6</v>
      </c>
      <c r="I56" s="103" t="n">
        <v>988</v>
      </c>
      <c r="J56" s="103" t="n">
        <v>60</v>
      </c>
      <c r="K56" s="103" t="n">
        <v>75</v>
      </c>
      <c r="L56" s="103" t="s">
        <v>93</v>
      </c>
      <c r="M56" s="103" t="s">
        <v>65</v>
      </c>
      <c r="N56" s="103" t="s">
        <v>77</v>
      </c>
      <c r="O56" s="103" t="n">
        <v>67</v>
      </c>
      <c r="P56" s="103" t="n">
        <v>3.6</v>
      </c>
      <c r="Q56" s="103" t="n">
        <v>4</v>
      </c>
      <c r="R56" s="103" t="s">
        <v>138</v>
      </c>
      <c r="S56" s="103" t="n">
        <v>1048</v>
      </c>
      <c r="T56" s="103" t="n">
        <v>973</v>
      </c>
      <c r="U56" s="103" t="s">
        <v>714</v>
      </c>
      <c r="V56" s="103" t="n">
        <v>2025</v>
      </c>
    </row>
    <row r="57" customFormat="false" ht="14.25" hidden="false" customHeight="false" outlineLevel="0" collapsed="false">
      <c r="A57" s="103" t="s">
        <v>769</v>
      </c>
      <c r="B57" s="103" t="s">
        <v>395</v>
      </c>
      <c r="C57" s="104" t="n">
        <v>45676</v>
      </c>
      <c r="D57" s="103" t="s">
        <v>104</v>
      </c>
      <c r="E57" s="103" t="n">
        <v>37</v>
      </c>
      <c r="F57" s="103" t="s">
        <v>171</v>
      </c>
      <c r="G57" s="103" t="s">
        <v>88</v>
      </c>
      <c r="H57" s="103" t="n">
        <v>4.3</v>
      </c>
      <c r="I57" s="103" t="n">
        <v>598</v>
      </c>
      <c r="J57" s="103" t="n">
        <v>40</v>
      </c>
      <c r="K57" s="103" t="n">
        <v>30</v>
      </c>
      <c r="L57" s="103" t="s">
        <v>93</v>
      </c>
      <c r="M57" s="103" t="s">
        <v>65</v>
      </c>
      <c r="N57" s="103" t="s">
        <v>78</v>
      </c>
      <c r="O57" s="103" t="n">
        <v>55</v>
      </c>
      <c r="P57" s="103" t="n">
        <v>12.9</v>
      </c>
      <c r="Q57" s="103" t="n">
        <v>2</v>
      </c>
      <c r="R57" s="103" t="s">
        <v>133</v>
      </c>
      <c r="S57" s="103" t="n">
        <v>638</v>
      </c>
      <c r="T57" s="103" t="n">
        <v>608</v>
      </c>
      <c r="U57" s="103" t="s">
        <v>714</v>
      </c>
      <c r="V57" s="103" t="n">
        <v>2025</v>
      </c>
    </row>
    <row r="58" customFormat="false" ht="14.25" hidden="false" customHeight="false" outlineLevel="0" collapsed="false">
      <c r="A58" s="103" t="s">
        <v>770</v>
      </c>
      <c r="B58" s="103" t="s">
        <v>396</v>
      </c>
      <c r="C58" s="104" t="n">
        <v>45676</v>
      </c>
      <c r="D58" s="103" t="s">
        <v>109</v>
      </c>
      <c r="E58" s="103" t="n">
        <v>58</v>
      </c>
      <c r="F58" s="103" t="s">
        <v>171</v>
      </c>
      <c r="G58" s="103" t="s">
        <v>81</v>
      </c>
      <c r="H58" s="103" t="n">
        <v>4.2</v>
      </c>
      <c r="I58" s="103" t="n">
        <v>989</v>
      </c>
      <c r="J58" s="103" t="n">
        <v>20</v>
      </c>
      <c r="K58" s="103" t="n">
        <v>100</v>
      </c>
      <c r="L58" s="103" t="s">
        <v>96</v>
      </c>
      <c r="M58" s="103" t="s">
        <v>65</v>
      </c>
      <c r="N58" s="103" t="s">
        <v>77</v>
      </c>
      <c r="O58" s="103" t="n">
        <v>54</v>
      </c>
      <c r="P58" s="103" t="n">
        <v>1.3</v>
      </c>
      <c r="Q58" s="103" t="n">
        <v>2</v>
      </c>
      <c r="R58" s="103" t="s">
        <v>137</v>
      </c>
      <c r="S58" s="103" t="n">
        <v>1009</v>
      </c>
      <c r="T58" s="103" t="n">
        <v>909</v>
      </c>
      <c r="U58" s="103" t="s">
        <v>714</v>
      </c>
      <c r="V58" s="103" t="n">
        <v>2025</v>
      </c>
    </row>
    <row r="59" customFormat="false" ht="14.25" hidden="false" customHeight="false" outlineLevel="0" collapsed="false">
      <c r="A59" s="103" t="s">
        <v>771</v>
      </c>
      <c r="B59" s="103" t="s">
        <v>397</v>
      </c>
      <c r="C59" s="104" t="n">
        <v>45677</v>
      </c>
      <c r="D59" s="103" t="s">
        <v>104</v>
      </c>
      <c r="E59" s="103" t="n">
        <v>37</v>
      </c>
      <c r="F59" s="103" t="s">
        <v>171</v>
      </c>
      <c r="G59" s="103" t="s">
        <v>87</v>
      </c>
      <c r="H59" s="103" t="n">
        <v>3.3</v>
      </c>
      <c r="I59" s="103" t="n">
        <v>1545</v>
      </c>
      <c r="J59" s="103" t="n">
        <v>0</v>
      </c>
      <c r="K59" s="103" t="n">
        <v>200</v>
      </c>
      <c r="L59" s="103" t="s">
        <v>93</v>
      </c>
      <c r="M59" s="103" t="s">
        <v>66</v>
      </c>
      <c r="N59" s="103" t="s">
        <v>77</v>
      </c>
      <c r="O59" s="103" t="n">
        <v>59</v>
      </c>
      <c r="P59" s="103" t="n">
        <v>3.6</v>
      </c>
      <c r="Q59" s="103" t="n">
        <v>2</v>
      </c>
      <c r="R59" s="103" t="s">
        <v>134</v>
      </c>
      <c r="S59" s="103" t="n">
        <v>1545</v>
      </c>
      <c r="T59" s="103" t="n">
        <v>1345</v>
      </c>
      <c r="U59" s="103" t="s">
        <v>714</v>
      </c>
      <c r="V59" s="103" t="n">
        <v>2025</v>
      </c>
    </row>
    <row r="60" customFormat="false" ht="14.25" hidden="false" customHeight="false" outlineLevel="0" collapsed="false">
      <c r="A60" s="103" t="s">
        <v>772</v>
      </c>
      <c r="B60" s="103" t="s">
        <v>398</v>
      </c>
      <c r="C60" s="104" t="n">
        <v>45677</v>
      </c>
      <c r="D60" s="103" t="s">
        <v>103</v>
      </c>
      <c r="E60" s="103" t="n">
        <v>39</v>
      </c>
      <c r="F60" s="103" t="s">
        <v>170</v>
      </c>
      <c r="G60" s="103" t="s">
        <v>86</v>
      </c>
      <c r="H60" s="103" t="n">
        <v>3.1</v>
      </c>
      <c r="I60" s="103" t="n">
        <v>1271</v>
      </c>
      <c r="J60" s="103" t="n">
        <v>30</v>
      </c>
      <c r="K60" s="103" t="n">
        <v>100</v>
      </c>
      <c r="L60" s="103" t="s">
        <v>93</v>
      </c>
      <c r="M60" s="103" t="s">
        <v>67</v>
      </c>
      <c r="N60" s="103" t="s">
        <v>77</v>
      </c>
      <c r="O60" s="103" t="n">
        <v>63</v>
      </c>
      <c r="P60" s="103" t="n">
        <v>15</v>
      </c>
      <c r="Q60" s="103" t="n">
        <v>5</v>
      </c>
      <c r="R60" s="103" t="s">
        <v>135</v>
      </c>
      <c r="S60" s="103" t="n">
        <v>1301</v>
      </c>
      <c r="T60" s="103" t="n">
        <v>1201</v>
      </c>
      <c r="U60" s="103" t="s">
        <v>714</v>
      </c>
      <c r="V60" s="103" t="n">
        <v>2025</v>
      </c>
    </row>
    <row r="61" customFormat="false" ht="14.25" hidden="false" customHeight="false" outlineLevel="0" collapsed="false">
      <c r="A61" s="103" t="s">
        <v>773</v>
      </c>
      <c r="B61" s="103" t="s">
        <v>399</v>
      </c>
      <c r="C61" s="104" t="n">
        <v>45677</v>
      </c>
      <c r="D61" s="103" t="s">
        <v>110</v>
      </c>
      <c r="E61" s="103" t="n">
        <v>45</v>
      </c>
      <c r="F61" s="103" t="s">
        <v>170</v>
      </c>
      <c r="G61" s="103" t="s">
        <v>83</v>
      </c>
      <c r="H61" s="103" t="n">
        <v>3</v>
      </c>
      <c r="I61" s="103" t="n">
        <v>607</v>
      </c>
      <c r="J61" s="103" t="n">
        <v>40</v>
      </c>
      <c r="K61" s="103" t="n">
        <v>50</v>
      </c>
      <c r="L61" s="103" t="s">
        <v>93</v>
      </c>
      <c r="M61" s="103" t="s">
        <v>65</v>
      </c>
      <c r="N61" s="103" t="s">
        <v>77</v>
      </c>
      <c r="O61" s="103" t="n">
        <v>33</v>
      </c>
      <c r="P61" s="103" t="n">
        <v>6.8</v>
      </c>
      <c r="Q61" s="103" t="n">
        <v>2</v>
      </c>
      <c r="R61" s="103" t="s">
        <v>133</v>
      </c>
      <c r="S61" s="103" t="n">
        <v>647</v>
      </c>
      <c r="T61" s="103" t="n">
        <v>597</v>
      </c>
      <c r="U61" s="103" t="s">
        <v>714</v>
      </c>
      <c r="V61" s="103" t="n">
        <v>2025</v>
      </c>
    </row>
    <row r="62" customFormat="false" ht="14.25" hidden="false" customHeight="false" outlineLevel="0" collapsed="false">
      <c r="A62" s="103" t="s">
        <v>774</v>
      </c>
      <c r="B62" s="103" t="s">
        <v>400</v>
      </c>
      <c r="C62" s="104" t="n">
        <v>45678</v>
      </c>
      <c r="D62" s="103" t="s">
        <v>106</v>
      </c>
      <c r="E62" s="103" t="n">
        <v>57</v>
      </c>
      <c r="F62" s="103" t="s">
        <v>170</v>
      </c>
      <c r="G62" s="103" t="s">
        <v>81</v>
      </c>
      <c r="H62" s="103" t="n">
        <v>4.6</v>
      </c>
      <c r="I62" s="103" t="n">
        <v>458</v>
      </c>
      <c r="J62" s="103" t="n">
        <v>60</v>
      </c>
      <c r="K62" s="103" t="n">
        <v>100</v>
      </c>
      <c r="L62" s="103" t="s">
        <v>93</v>
      </c>
      <c r="M62" s="103" t="s">
        <v>65</v>
      </c>
      <c r="N62" s="103" t="s">
        <v>77</v>
      </c>
      <c r="O62" s="103" t="n">
        <v>21</v>
      </c>
      <c r="P62" s="103" t="n">
        <v>10.7</v>
      </c>
      <c r="Q62" s="103" t="n">
        <v>4</v>
      </c>
      <c r="R62" s="103" t="s">
        <v>136</v>
      </c>
      <c r="S62" s="103" t="n">
        <v>518</v>
      </c>
      <c r="T62" s="103" t="n">
        <v>418</v>
      </c>
      <c r="U62" s="103" t="s">
        <v>714</v>
      </c>
      <c r="V62" s="103" t="n">
        <v>2025</v>
      </c>
    </row>
    <row r="63" customFormat="false" ht="14.25" hidden="false" customHeight="false" outlineLevel="0" collapsed="false">
      <c r="A63" s="103" t="s">
        <v>775</v>
      </c>
      <c r="B63" s="103" t="s">
        <v>401</v>
      </c>
      <c r="C63" s="104" t="n">
        <v>45678</v>
      </c>
      <c r="D63" s="103" t="s">
        <v>101</v>
      </c>
      <c r="E63" s="103" t="n">
        <v>24</v>
      </c>
      <c r="F63" s="103" t="s">
        <v>171</v>
      </c>
      <c r="G63" s="103" t="s">
        <v>89</v>
      </c>
      <c r="H63" s="103" t="n">
        <v>4.6</v>
      </c>
      <c r="I63" s="103" t="n">
        <v>566</v>
      </c>
      <c r="J63" s="103" t="n">
        <v>60</v>
      </c>
      <c r="K63" s="103" t="n">
        <v>20</v>
      </c>
      <c r="L63" s="103" t="s">
        <v>97</v>
      </c>
      <c r="M63" s="103" t="s">
        <v>65</v>
      </c>
      <c r="N63" s="103" t="s">
        <v>78</v>
      </c>
      <c r="O63" s="103" t="n">
        <v>31</v>
      </c>
      <c r="P63" s="103" t="n">
        <v>3.1</v>
      </c>
      <c r="Q63" s="103" t="n">
        <v>5</v>
      </c>
      <c r="R63" s="103" t="s">
        <v>140</v>
      </c>
      <c r="S63" s="103" t="n">
        <v>626</v>
      </c>
      <c r="T63" s="103" t="n">
        <v>606</v>
      </c>
      <c r="U63" s="103" t="s">
        <v>714</v>
      </c>
      <c r="V63" s="103" t="n">
        <v>2025</v>
      </c>
    </row>
    <row r="64" customFormat="false" ht="14.25" hidden="false" customHeight="false" outlineLevel="0" collapsed="false">
      <c r="A64" s="103" t="s">
        <v>776</v>
      </c>
      <c r="B64" s="103" t="s">
        <v>402</v>
      </c>
      <c r="C64" s="104" t="n">
        <v>45678</v>
      </c>
      <c r="D64" s="103" t="s">
        <v>101</v>
      </c>
      <c r="E64" s="103" t="n">
        <v>18</v>
      </c>
      <c r="F64" s="103" t="s">
        <v>171</v>
      </c>
      <c r="G64" s="103" t="s">
        <v>81</v>
      </c>
      <c r="H64" s="103" t="n">
        <v>3.6</v>
      </c>
      <c r="I64" s="103" t="n">
        <v>405</v>
      </c>
      <c r="J64" s="103" t="n">
        <v>20</v>
      </c>
      <c r="K64" s="103" t="n">
        <v>10</v>
      </c>
      <c r="L64" s="103" t="s">
        <v>94</v>
      </c>
      <c r="M64" s="103" t="s">
        <v>65</v>
      </c>
      <c r="N64" s="103" t="s">
        <v>77</v>
      </c>
      <c r="O64" s="103" t="n">
        <v>15</v>
      </c>
      <c r="P64" s="103" t="n">
        <v>9.3</v>
      </c>
      <c r="Q64" s="103" t="n">
        <v>4</v>
      </c>
      <c r="R64" s="103" t="s">
        <v>136</v>
      </c>
      <c r="S64" s="103" t="n">
        <v>425</v>
      </c>
      <c r="T64" s="103" t="n">
        <v>415</v>
      </c>
      <c r="U64" s="103" t="s">
        <v>714</v>
      </c>
      <c r="V64" s="103" t="n">
        <v>2025</v>
      </c>
    </row>
    <row r="65" customFormat="false" ht="14.25" hidden="false" customHeight="false" outlineLevel="0" collapsed="false">
      <c r="A65" s="103" t="s">
        <v>777</v>
      </c>
      <c r="B65" s="103" t="s">
        <v>403</v>
      </c>
      <c r="C65" s="104" t="n">
        <v>45679</v>
      </c>
      <c r="D65" s="103" t="s">
        <v>108</v>
      </c>
      <c r="E65" s="103" t="n">
        <v>49</v>
      </c>
      <c r="F65" s="103" t="s">
        <v>170</v>
      </c>
      <c r="G65" s="103" t="s">
        <v>89</v>
      </c>
      <c r="H65" s="103" t="n">
        <v>2.8</v>
      </c>
      <c r="I65" s="103" t="n">
        <v>281</v>
      </c>
      <c r="J65" s="103" t="n">
        <v>60</v>
      </c>
      <c r="K65" s="103" t="n">
        <v>50</v>
      </c>
      <c r="L65" s="103" t="s">
        <v>93</v>
      </c>
      <c r="M65" s="103" t="s">
        <v>65</v>
      </c>
      <c r="N65" s="103" t="s">
        <v>77</v>
      </c>
      <c r="O65" s="103" t="n">
        <v>51</v>
      </c>
      <c r="P65" s="103" t="n">
        <v>11</v>
      </c>
      <c r="Q65" s="103" t="n">
        <v>5</v>
      </c>
      <c r="R65" s="103" t="s">
        <v>132</v>
      </c>
      <c r="S65" s="103" t="n">
        <v>341</v>
      </c>
      <c r="T65" s="103" t="n">
        <v>291</v>
      </c>
      <c r="U65" s="103" t="s">
        <v>714</v>
      </c>
      <c r="V65" s="103" t="n">
        <v>2025</v>
      </c>
    </row>
    <row r="66" customFormat="false" ht="14.25" hidden="false" customHeight="false" outlineLevel="0" collapsed="false">
      <c r="A66" s="103" t="s">
        <v>778</v>
      </c>
      <c r="B66" s="103" t="s">
        <v>404</v>
      </c>
      <c r="C66" s="104" t="n">
        <v>45679</v>
      </c>
      <c r="D66" s="103" t="s">
        <v>101</v>
      </c>
      <c r="E66" s="103" t="n">
        <v>30</v>
      </c>
      <c r="F66" s="103" t="s">
        <v>171</v>
      </c>
      <c r="G66" s="103" t="s">
        <v>83</v>
      </c>
      <c r="H66" s="103" t="n">
        <v>3.5</v>
      </c>
      <c r="I66" s="103" t="n">
        <v>824</v>
      </c>
      <c r="J66" s="103" t="n">
        <v>60</v>
      </c>
      <c r="K66" s="103" t="n">
        <v>30</v>
      </c>
      <c r="L66" s="103" t="s">
        <v>93</v>
      </c>
      <c r="M66" s="103" t="s">
        <v>66</v>
      </c>
      <c r="N66" s="103" t="s">
        <v>77</v>
      </c>
      <c r="O66" s="103" t="n">
        <v>20</v>
      </c>
      <c r="P66" s="103" t="n">
        <v>5.1</v>
      </c>
      <c r="Q66" s="103" t="n">
        <v>5</v>
      </c>
      <c r="R66" s="103" t="s">
        <v>131</v>
      </c>
      <c r="S66" s="103" t="n">
        <v>884</v>
      </c>
      <c r="T66" s="103" t="n">
        <v>854</v>
      </c>
      <c r="U66" s="103" t="s">
        <v>714</v>
      </c>
      <c r="V66" s="103" t="n">
        <v>2025</v>
      </c>
    </row>
    <row r="67" customFormat="false" ht="14.25" hidden="false" customHeight="false" outlineLevel="0" collapsed="false">
      <c r="A67" s="103" t="s">
        <v>779</v>
      </c>
      <c r="B67" s="103" t="s">
        <v>405</v>
      </c>
      <c r="C67" s="104" t="n">
        <v>45679</v>
      </c>
      <c r="D67" s="103" t="s">
        <v>105</v>
      </c>
      <c r="E67" s="103" t="n">
        <v>47</v>
      </c>
      <c r="F67" s="103" t="s">
        <v>171</v>
      </c>
      <c r="G67" s="103" t="s">
        <v>82</v>
      </c>
      <c r="H67" s="103" t="n">
        <v>4</v>
      </c>
      <c r="I67" s="103" t="n">
        <v>310</v>
      </c>
      <c r="J67" s="103" t="n">
        <v>30</v>
      </c>
      <c r="K67" s="103" t="n">
        <v>50</v>
      </c>
      <c r="L67" s="103" t="s">
        <v>93</v>
      </c>
      <c r="M67" s="103" t="s">
        <v>67</v>
      </c>
      <c r="N67" s="103" t="s">
        <v>78</v>
      </c>
      <c r="O67" s="103" t="n">
        <v>40</v>
      </c>
      <c r="P67" s="103" t="n">
        <v>12.5</v>
      </c>
      <c r="Q67" s="103" t="n">
        <v>3</v>
      </c>
      <c r="R67" s="103" t="s">
        <v>141</v>
      </c>
      <c r="S67" s="103" t="n">
        <v>340</v>
      </c>
      <c r="T67" s="103" t="n">
        <v>290</v>
      </c>
      <c r="U67" s="103" t="s">
        <v>714</v>
      </c>
      <c r="V67" s="103" t="n">
        <v>2025</v>
      </c>
    </row>
    <row r="68" customFormat="false" ht="14.25" hidden="false" customHeight="false" outlineLevel="0" collapsed="false">
      <c r="A68" s="103" t="s">
        <v>780</v>
      </c>
      <c r="B68" s="103" t="s">
        <v>406</v>
      </c>
      <c r="C68" s="104" t="n">
        <v>45680</v>
      </c>
      <c r="D68" s="103" t="s">
        <v>102</v>
      </c>
      <c r="E68" s="103" t="n">
        <v>40</v>
      </c>
      <c r="F68" s="103" t="s">
        <v>170</v>
      </c>
      <c r="G68" s="103" t="s">
        <v>86</v>
      </c>
      <c r="H68" s="103" t="n">
        <v>3.6</v>
      </c>
      <c r="I68" s="103" t="n">
        <v>409</v>
      </c>
      <c r="J68" s="103" t="n">
        <v>30</v>
      </c>
      <c r="K68" s="103" t="n">
        <v>150</v>
      </c>
      <c r="L68" s="103" t="s">
        <v>93</v>
      </c>
      <c r="M68" s="103" t="s">
        <v>65</v>
      </c>
      <c r="N68" s="103" t="s">
        <v>77</v>
      </c>
      <c r="O68" s="103" t="n">
        <v>16</v>
      </c>
      <c r="P68" s="103" t="n">
        <v>9.2</v>
      </c>
      <c r="Q68" s="103" t="n">
        <v>5</v>
      </c>
      <c r="R68" s="103" t="s">
        <v>140</v>
      </c>
      <c r="S68" s="103" t="n">
        <v>439</v>
      </c>
      <c r="T68" s="103" t="n">
        <v>289</v>
      </c>
      <c r="U68" s="103" t="s">
        <v>714</v>
      </c>
      <c r="V68" s="103" t="n">
        <v>2025</v>
      </c>
    </row>
    <row r="69" customFormat="false" ht="14.25" hidden="false" customHeight="false" outlineLevel="0" collapsed="false">
      <c r="A69" s="103" t="s">
        <v>781</v>
      </c>
      <c r="B69" s="103" t="s">
        <v>407</v>
      </c>
      <c r="C69" s="104" t="n">
        <v>45680</v>
      </c>
      <c r="D69" s="103" t="s">
        <v>100</v>
      </c>
      <c r="E69" s="103" t="n">
        <v>36</v>
      </c>
      <c r="F69" s="103" t="s">
        <v>171</v>
      </c>
      <c r="G69" s="103" t="s">
        <v>84</v>
      </c>
      <c r="H69" s="103" t="n">
        <v>4.5</v>
      </c>
      <c r="I69" s="103" t="n">
        <v>1040</v>
      </c>
      <c r="J69" s="103" t="n">
        <v>30</v>
      </c>
      <c r="K69" s="103" t="n">
        <v>30</v>
      </c>
      <c r="L69" s="103" t="s">
        <v>93</v>
      </c>
      <c r="M69" s="103" t="s">
        <v>65</v>
      </c>
      <c r="N69" s="103" t="s">
        <v>78</v>
      </c>
      <c r="O69" s="103" t="n">
        <v>46</v>
      </c>
      <c r="P69" s="103" t="n">
        <v>6.1</v>
      </c>
      <c r="Q69" s="103" t="n">
        <v>5</v>
      </c>
      <c r="R69" s="103" t="s">
        <v>135</v>
      </c>
      <c r="S69" s="103" t="n">
        <v>1070</v>
      </c>
      <c r="T69" s="103" t="n">
        <v>1040</v>
      </c>
      <c r="U69" s="103" t="s">
        <v>714</v>
      </c>
      <c r="V69" s="103" t="n">
        <v>2025</v>
      </c>
    </row>
    <row r="70" customFormat="false" ht="14.25" hidden="false" customHeight="false" outlineLevel="0" collapsed="false">
      <c r="A70" s="103" t="s">
        <v>782</v>
      </c>
      <c r="B70" s="103" t="s">
        <v>408</v>
      </c>
      <c r="C70" s="104" t="n">
        <v>45680</v>
      </c>
      <c r="D70" s="103" t="s">
        <v>106</v>
      </c>
      <c r="E70" s="103" t="n">
        <v>49</v>
      </c>
      <c r="F70" s="103" t="s">
        <v>170</v>
      </c>
      <c r="G70" s="103" t="s">
        <v>84</v>
      </c>
      <c r="H70" s="103" t="n">
        <v>5</v>
      </c>
      <c r="I70" s="103" t="n">
        <v>397</v>
      </c>
      <c r="J70" s="103" t="n">
        <v>0</v>
      </c>
      <c r="K70" s="103" t="n">
        <v>200</v>
      </c>
      <c r="L70" s="103" t="s">
        <v>95</v>
      </c>
      <c r="M70" s="103" t="s">
        <v>65</v>
      </c>
      <c r="N70" s="103" t="s">
        <v>77</v>
      </c>
      <c r="O70" s="103" t="n">
        <v>62</v>
      </c>
      <c r="P70" s="103" t="n">
        <v>8.6</v>
      </c>
      <c r="Q70" s="103" t="n">
        <v>4</v>
      </c>
      <c r="R70" s="103" t="s">
        <v>131</v>
      </c>
      <c r="S70" s="103" t="n">
        <v>397</v>
      </c>
      <c r="T70" s="103" t="n">
        <v>197</v>
      </c>
      <c r="U70" s="103" t="s">
        <v>714</v>
      </c>
      <c r="V70" s="103" t="n">
        <v>2025</v>
      </c>
    </row>
    <row r="71" customFormat="false" ht="14.25" hidden="false" customHeight="false" outlineLevel="0" collapsed="false">
      <c r="A71" s="103" t="s">
        <v>783</v>
      </c>
      <c r="B71" s="103" t="s">
        <v>409</v>
      </c>
      <c r="C71" s="104" t="n">
        <v>45681</v>
      </c>
      <c r="D71" s="103" t="s">
        <v>110</v>
      </c>
      <c r="E71" s="103" t="n">
        <v>47</v>
      </c>
      <c r="F71" s="103" t="s">
        <v>171</v>
      </c>
      <c r="G71" s="103" t="s">
        <v>90</v>
      </c>
      <c r="H71" s="103" t="n">
        <v>3</v>
      </c>
      <c r="I71" s="103" t="n">
        <v>227</v>
      </c>
      <c r="J71" s="103" t="n">
        <v>60</v>
      </c>
      <c r="K71" s="103" t="n">
        <v>100</v>
      </c>
      <c r="L71" s="103" t="s">
        <v>93</v>
      </c>
      <c r="M71" s="103" t="s">
        <v>67</v>
      </c>
      <c r="N71" s="103" t="s">
        <v>77</v>
      </c>
      <c r="O71" s="103" t="n">
        <v>68</v>
      </c>
      <c r="P71" s="103" t="n">
        <v>8.9</v>
      </c>
      <c r="Q71" s="103" t="n">
        <v>3</v>
      </c>
      <c r="R71" s="103" t="s">
        <v>135</v>
      </c>
      <c r="S71" s="103" t="n">
        <v>287</v>
      </c>
      <c r="T71" s="103" t="n">
        <v>187</v>
      </c>
      <c r="U71" s="103" t="s">
        <v>714</v>
      </c>
      <c r="V71" s="103" t="n">
        <v>2025</v>
      </c>
    </row>
    <row r="72" customFormat="false" ht="14.25" hidden="false" customHeight="false" outlineLevel="0" collapsed="false">
      <c r="A72" s="103" t="s">
        <v>784</v>
      </c>
      <c r="B72" s="103" t="s">
        <v>410</v>
      </c>
      <c r="C72" s="104" t="n">
        <v>45681</v>
      </c>
      <c r="D72" s="103" t="s">
        <v>105</v>
      </c>
      <c r="E72" s="103" t="n">
        <v>46</v>
      </c>
      <c r="F72" s="103" t="s">
        <v>171</v>
      </c>
      <c r="G72" s="103" t="s">
        <v>88</v>
      </c>
      <c r="H72" s="103" t="n">
        <v>3.6</v>
      </c>
      <c r="I72" s="103" t="n">
        <v>653</v>
      </c>
      <c r="J72" s="103" t="n">
        <v>60</v>
      </c>
      <c r="K72" s="103" t="n">
        <v>100</v>
      </c>
      <c r="L72" s="103" t="s">
        <v>93</v>
      </c>
      <c r="M72" s="103" t="s">
        <v>65</v>
      </c>
      <c r="N72" s="103" t="s">
        <v>78</v>
      </c>
      <c r="O72" s="103" t="n">
        <v>19</v>
      </c>
      <c r="P72" s="103" t="n">
        <v>2.9</v>
      </c>
      <c r="Q72" s="103" t="n">
        <v>4</v>
      </c>
      <c r="R72" s="103" t="s">
        <v>137</v>
      </c>
      <c r="S72" s="103" t="n">
        <v>713</v>
      </c>
      <c r="T72" s="103" t="n">
        <v>613</v>
      </c>
      <c r="U72" s="103" t="s">
        <v>714</v>
      </c>
      <c r="V72" s="103" t="n">
        <v>2025</v>
      </c>
    </row>
    <row r="73" customFormat="false" ht="14.25" hidden="false" customHeight="false" outlineLevel="0" collapsed="false">
      <c r="A73" s="103" t="s">
        <v>785</v>
      </c>
      <c r="B73" s="103" t="s">
        <v>411</v>
      </c>
      <c r="C73" s="104" t="n">
        <v>45681</v>
      </c>
      <c r="D73" s="103" t="s">
        <v>106</v>
      </c>
      <c r="E73" s="103" t="n">
        <v>46</v>
      </c>
      <c r="F73" s="103" t="s">
        <v>171</v>
      </c>
      <c r="G73" s="103" t="s">
        <v>82</v>
      </c>
      <c r="H73" s="103" t="n">
        <v>3.6</v>
      </c>
      <c r="I73" s="103" t="n">
        <v>490</v>
      </c>
      <c r="J73" s="103" t="n">
        <v>60</v>
      </c>
      <c r="K73" s="103" t="n">
        <v>150</v>
      </c>
      <c r="L73" s="103" t="s">
        <v>93</v>
      </c>
      <c r="M73" s="103" t="s">
        <v>65</v>
      </c>
      <c r="N73" s="103" t="s">
        <v>77</v>
      </c>
      <c r="O73" s="103" t="n">
        <v>51</v>
      </c>
      <c r="P73" s="103" t="n">
        <v>6.3</v>
      </c>
      <c r="Q73" s="103" t="n">
        <v>5</v>
      </c>
      <c r="R73" s="103" t="s">
        <v>132</v>
      </c>
      <c r="S73" s="103" t="n">
        <v>550</v>
      </c>
      <c r="T73" s="103" t="n">
        <v>400</v>
      </c>
      <c r="U73" s="103" t="s">
        <v>714</v>
      </c>
      <c r="V73" s="103" t="n">
        <v>2025</v>
      </c>
    </row>
    <row r="74" customFormat="false" ht="14.25" hidden="false" customHeight="false" outlineLevel="0" collapsed="false">
      <c r="A74" s="103" t="s">
        <v>786</v>
      </c>
      <c r="B74" s="103" t="s">
        <v>412</v>
      </c>
      <c r="C74" s="104" t="n">
        <v>45682</v>
      </c>
      <c r="D74" s="103" t="s">
        <v>110</v>
      </c>
      <c r="E74" s="103" t="n">
        <v>47</v>
      </c>
      <c r="F74" s="103" t="s">
        <v>172</v>
      </c>
      <c r="G74" s="103" t="s">
        <v>84</v>
      </c>
      <c r="H74" s="103" t="n">
        <v>3.3</v>
      </c>
      <c r="I74" s="103" t="n">
        <v>986</v>
      </c>
      <c r="J74" s="103" t="n">
        <v>50</v>
      </c>
      <c r="K74" s="103" t="n">
        <v>75</v>
      </c>
      <c r="L74" s="103" t="s">
        <v>95</v>
      </c>
      <c r="M74" s="103" t="s">
        <v>65</v>
      </c>
      <c r="N74" s="103" t="s">
        <v>77</v>
      </c>
      <c r="O74" s="103" t="n">
        <v>45</v>
      </c>
      <c r="P74" s="103" t="n">
        <v>5.5</v>
      </c>
      <c r="Q74" s="103" t="n">
        <v>5</v>
      </c>
      <c r="R74" s="103" t="s">
        <v>138</v>
      </c>
      <c r="S74" s="103" t="n">
        <v>1036</v>
      </c>
      <c r="T74" s="103" t="n">
        <v>961</v>
      </c>
      <c r="U74" s="103" t="s">
        <v>714</v>
      </c>
      <c r="V74" s="103" t="n">
        <v>2025</v>
      </c>
    </row>
    <row r="75" customFormat="false" ht="14.25" hidden="false" customHeight="false" outlineLevel="0" collapsed="false">
      <c r="A75" s="103" t="s">
        <v>787</v>
      </c>
      <c r="B75" s="103" t="s">
        <v>413</v>
      </c>
      <c r="C75" s="104" t="n">
        <v>45682</v>
      </c>
      <c r="D75" s="103" t="s">
        <v>107</v>
      </c>
      <c r="E75" s="103" t="n">
        <v>33</v>
      </c>
      <c r="F75" s="103" t="s">
        <v>170</v>
      </c>
      <c r="G75" s="103" t="s">
        <v>81</v>
      </c>
      <c r="H75" s="103" t="n">
        <v>3</v>
      </c>
      <c r="I75" s="103" t="n">
        <v>292</v>
      </c>
      <c r="J75" s="103" t="n">
        <v>30</v>
      </c>
      <c r="K75" s="103" t="n">
        <v>150</v>
      </c>
      <c r="L75" s="103" t="s">
        <v>94</v>
      </c>
      <c r="M75" s="103" t="s">
        <v>65</v>
      </c>
      <c r="N75" s="103" t="s">
        <v>78</v>
      </c>
      <c r="O75" s="103" t="n">
        <v>26</v>
      </c>
      <c r="P75" s="103" t="n">
        <v>6.3</v>
      </c>
      <c r="Q75" s="103" t="n">
        <v>3</v>
      </c>
      <c r="R75" s="103" t="s">
        <v>132</v>
      </c>
      <c r="S75" s="103" t="n">
        <v>322</v>
      </c>
      <c r="T75" s="103" t="n">
        <v>172</v>
      </c>
      <c r="U75" s="103" t="s">
        <v>714</v>
      </c>
      <c r="V75" s="103" t="n">
        <v>2025</v>
      </c>
    </row>
    <row r="76" customFormat="false" ht="14.25" hidden="false" customHeight="false" outlineLevel="0" collapsed="false">
      <c r="A76" s="103" t="s">
        <v>788</v>
      </c>
      <c r="B76" s="103" t="s">
        <v>414</v>
      </c>
      <c r="C76" s="104" t="n">
        <v>45682</v>
      </c>
      <c r="D76" s="103" t="s">
        <v>107</v>
      </c>
      <c r="E76" s="103" t="n">
        <v>57</v>
      </c>
      <c r="F76" s="103" t="s">
        <v>170</v>
      </c>
      <c r="G76" s="103" t="s">
        <v>88</v>
      </c>
      <c r="H76" s="103" t="n">
        <v>2.7</v>
      </c>
      <c r="I76" s="103" t="n">
        <v>1383</v>
      </c>
      <c r="J76" s="103" t="n">
        <v>40</v>
      </c>
      <c r="K76" s="103" t="n">
        <v>20</v>
      </c>
      <c r="L76" s="103" t="s">
        <v>95</v>
      </c>
      <c r="M76" s="103" t="s">
        <v>65</v>
      </c>
      <c r="N76" s="103" t="s">
        <v>77</v>
      </c>
      <c r="O76" s="103" t="n">
        <v>49</v>
      </c>
      <c r="P76" s="103" t="n">
        <v>11.5</v>
      </c>
      <c r="Q76" s="103" t="n">
        <v>5</v>
      </c>
      <c r="R76" s="103" t="s">
        <v>135</v>
      </c>
      <c r="S76" s="103" t="n">
        <v>1423</v>
      </c>
      <c r="T76" s="103" t="n">
        <v>1403</v>
      </c>
      <c r="U76" s="103" t="s">
        <v>714</v>
      </c>
      <c r="V76" s="103" t="n">
        <v>2025</v>
      </c>
    </row>
    <row r="77" customFormat="false" ht="14.25" hidden="false" customHeight="false" outlineLevel="0" collapsed="false">
      <c r="A77" s="103" t="s">
        <v>789</v>
      </c>
      <c r="B77" s="103" t="s">
        <v>415</v>
      </c>
      <c r="C77" s="104" t="n">
        <v>45683</v>
      </c>
      <c r="D77" s="103" t="s">
        <v>104</v>
      </c>
      <c r="E77" s="103" t="n">
        <v>36</v>
      </c>
      <c r="F77" s="103" t="s">
        <v>170</v>
      </c>
      <c r="G77" s="103" t="s">
        <v>82</v>
      </c>
      <c r="H77" s="103" t="n">
        <v>4.7</v>
      </c>
      <c r="I77" s="103" t="n">
        <v>1642</v>
      </c>
      <c r="J77" s="103" t="n">
        <v>20</v>
      </c>
      <c r="K77" s="103" t="n">
        <v>0</v>
      </c>
      <c r="L77" s="103" t="s">
        <v>94</v>
      </c>
      <c r="M77" s="103" t="s">
        <v>66</v>
      </c>
      <c r="N77" s="103" t="s">
        <v>77</v>
      </c>
      <c r="O77" s="103" t="n">
        <v>44</v>
      </c>
      <c r="P77" s="103" t="n">
        <v>7.5</v>
      </c>
      <c r="Q77" s="103" t="n">
        <v>4</v>
      </c>
      <c r="R77" s="103" t="s">
        <v>134</v>
      </c>
      <c r="S77" s="103" t="n">
        <v>1662</v>
      </c>
      <c r="T77" s="103" t="n">
        <v>1662</v>
      </c>
      <c r="U77" s="103" t="s">
        <v>714</v>
      </c>
      <c r="V77" s="103" t="n">
        <v>2025</v>
      </c>
    </row>
    <row r="78" customFormat="false" ht="14.25" hidden="false" customHeight="false" outlineLevel="0" collapsed="false">
      <c r="A78" s="103" t="s">
        <v>790</v>
      </c>
      <c r="B78" s="103" t="s">
        <v>416</v>
      </c>
      <c r="C78" s="104" t="n">
        <v>45683</v>
      </c>
      <c r="D78" s="103" t="s">
        <v>106</v>
      </c>
      <c r="E78" s="103" t="n">
        <v>35</v>
      </c>
      <c r="F78" s="103" t="s">
        <v>171</v>
      </c>
      <c r="G78" s="103" t="s">
        <v>87</v>
      </c>
      <c r="H78" s="103" t="n">
        <v>3.5</v>
      </c>
      <c r="I78" s="103" t="n">
        <v>1369</v>
      </c>
      <c r="J78" s="103" t="n">
        <v>40</v>
      </c>
      <c r="K78" s="103" t="n">
        <v>75</v>
      </c>
      <c r="L78" s="103" t="s">
        <v>95</v>
      </c>
      <c r="M78" s="103" t="s">
        <v>65</v>
      </c>
      <c r="N78" s="103" t="s">
        <v>77</v>
      </c>
      <c r="O78" s="103" t="n">
        <v>62</v>
      </c>
      <c r="P78" s="103" t="n">
        <v>14.1</v>
      </c>
      <c r="Q78" s="103" t="n">
        <v>5</v>
      </c>
      <c r="R78" s="103" t="s">
        <v>132</v>
      </c>
      <c r="S78" s="103" t="n">
        <v>1409</v>
      </c>
      <c r="T78" s="103" t="n">
        <v>1334</v>
      </c>
      <c r="U78" s="103" t="s">
        <v>714</v>
      </c>
      <c r="V78" s="103" t="n">
        <v>2025</v>
      </c>
    </row>
    <row r="79" customFormat="false" ht="14.25" hidden="false" customHeight="false" outlineLevel="0" collapsed="false">
      <c r="A79" s="103" t="s">
        <v>791</v>
      </c>
      <c r="B79" s="103" t="s">
        <v>417</v>
      </c>
      <c r="C79" s="104" t="n">
        <v>45683</v>
      </c>
      <c r="D79" s="103" t="s">
        <v>107</v>
      </c>
      <c r="E79" s="103" t="n">
        <v>18</v>
      </c>
      <c r="F79" s="103" t="s">
        <v>170</v>
      </c>
      <c r="G79" s="103" t="s">
        <v>87</v>
      </c>
      <c r="H79" s="103" t="n">
        <v>3.7</v>
      </c>
      <c r="I79" s="103" t="n">
        <v>1015</v>
      </c>
      <c r="J79" s="103" t="n">
        <v>0</v>
      </c>
      <c r="K79" s="103" t="n">
        <v>0</v>
      </c>
      <c r="L79" s="103" t="s">
        <v>93</v>
      </c>
      <c r="M79" s="103" t="s">
        <v>65</v>
      </c>
      <c r="N79" s="103" t="s">
        <v>78</v>
      </c>
      <c r="O79" s="103" t="n">
        <v>20</v>
      </c>
      <c r="P79" s="103" t="n">
        <v>4.8</v>
      </c>
      <c r="Q79" s="103" t="n">
        <v>5</v>
      </c>
      <c r="R79" s="103" t="s">
        <v>137</v>
      </c>
      <c r="S79" s="103" t="n">
        <v>1015</v>
      </c>
      <c r="T79" s="103" t="n">
        <v>1015</v>
      </c>
      <c r="U79" s="103" t="s">
        <v>714</v>
      </c>
      <c r="V79" s="103" t="n">
        <v>2025</v>
      </c>
    </row>
    <row r="80" customFormat="false" ht="14.25" hidden="false" customHeight="false" outlineLevel="0" collapsed="false">
      <c r="A80" s="103" t="s">
        <v>792</v>
      </c>
      <c r="B80" s="103" t="s">
        <v>418</v>
      </c>
      <c r="C80" s="104" t="n">
        <v>45684</v>
      </c>
      <c r="D80" s="103" t="s">
        <v>110</v>
      </c>
      <c r="E80" s="103" t="n">
        <v>31</v>
      </c>
      <c r="F80" s="103" t="s">
        <v>171</v>
      </c>
      <c r="G80" s="103" t="s">
        <v>88</v>
      </c>
      <c r="H80" s="103" t="n">
        <v>4.8</v>
      </c>
      <c r="I80" s="103" t="n">
        <v>1566</v>
      </c>
      <c r="J80" s="103" t="n">
        <v>0</v>
      </c>
      <c r="K80" s="103" t="n">
        <v>200</v>
      </c>
      <c r="L80" s="103" t="s">
        <v>97</v>
      </c>
      <c r="M80" s="103" t="s">
        <v>67</v>
      </c>
      <c r="N80" s="103" t="s">
        <v>78</v>
      </c>
      <c r="O80" s="103" t="n">
        <v>29</v>
      </c>
      <c r="P80" s="103" t="n">
        <v>6.5</v>
      </c>
      <c r="Q80" s="103" t="n">
        <v>4</v>
      </c>
      <c r="R80" s="103" t="s">
        <v>138</v>
      </c>
      <c r="S80" s="103" t="n">
        <v>1566</v>
      </c>
      <c r="T80" s="103" t="n">
        <v>1366</v>
      </c>
      <c r="U80" s="103" t="s">
        <v>714</v>
      </c>
      <c r="V80" s="103" t="n">
        <v>2025</v>
      </c>
    </row>
    <row r="81" customFormat="false" ht="14.25" hidden="false" customHeight="false" outlineLevel="0" collapsed="false">
      <c r="A81" s="103" t="s">
        <v>793</v>
      </c>
      <c r="B81" s="103" t="s">
        <v>419</v>
      </c>
      <c r="C81" s="104" t="n">
        <v>45684</v>
      </c>
      <c r="D81" s="103" t="s">
        <v>104</v>
      </c>
      <c r="E81" s="103" t="n">
        <v>19</v>
      </c>
      <c r="F81" s="103" t="s">
        <v>170</v>
      </c>
      <c r="G81" s="103" t="s">
        <v>89</v>
      </c>
      <c r="H81" s="103" t="n">
        <v>4.4</v>
      </c>
      <c r="I81" s="103" t="n">
        <v>1287</v>
      </c>
      <c r="J81" s="103" t="n">
        <v>60</v>
      </c>
      <c r="K81" s="103" t="n">
        <v>10</v>
      </c>
      <c r="L81" s="103" t="s">
        <v>93</v>
      </c>
      <c r="M81" s="103" t="s">
        <v>65</v>
      </c>
      <c r="N81" s="103" t="s">
        <v>77</v>
      </c>
      <c r="O81" s="103" t="n">
        <v>29</v>
      </c>
      <c r="P81" s="103" t="n">
        <v>11.9</v>
      </c>
      <c r="Q81" s="103" t="n">
        <v>5</v>
      </c>
      <c r="R81" s="103" t="s">
        <v>138</v>
      </c>
      <c r="S81" s="103" t="n">
        <v>1347</v>
      </c>
      <c r="T81" s="103" t="n">
        <v>1337</v>
      </c>
      <c r="U81" s="103" t="s">
        <v>714</v>
      </c>
      <c r="V81" s="103" t="n">
        <v>2025</v>
      </c>
    </row>
    <row r="82" customFormat="false" ht="14.25" hidden="false" customHeight="false" outlineLevel="0" collapsed="false">
      <c r="A82" s="103" t="s">
        <v>794</v>
      </c>
      <c r="B82" s="103" t="s">
        <v>420</v>
      </c>
      <c r="C82" s="104" t="n">
        <v>45684</v>
      </c>
      <c r="D82" s="103" t="s">
        <v>101</v>
      </c>
      <c r="E82" s="103" t="n">
        <v>45</v>
      </c>
      <c r="F82" s="103" t="s">
        <v>171</v>
      </c>
      <c r="G82" s="103" t="s">
        <v>89</v>
      </c>
      <c r="H82" s="103" t="n">
        <v>2.8</v>
      </c>
      <c r="I82" s="103" t="n">
        <v>138</v>
      </c>
      <c r="J82" s="103" t="n">
        <v>40</v>
      </c>
      <c r="K82" s="103" t="n">
        <v>10</v>
      </c>
      <c r="L82" s="103" t="s">
        <v>93</v>
      </c>
      <c r="M82" s="103" t="s">
        <v>65</v>
      </c>
      <c r="N82" s="103" t="s">
        <v>77</v>
      </c>
      <c r="O82" s="103" t="n">
        <v>30</v>
      </c>
      <c r="P82" s="103" t="n">
        <v>8.4</v>
      </c>
      <c r="Q82" s="103" t="n">
        <v>5</v>
      </c>
      <c r="R82" s="103" t="s">
        <v>135</v>
      </c>
      <c r="S82" s="103" t="n">
        <v>178</v>
      </c>
      <c r="T82" s="103" t="n">
        <v>168</v>
      </c>
      <c r="U82" s="103" t="s">
        <v>714</v>
      </c>
      <c r="V82" s="103" t="n">
        <v>2025</v>
      </c>
    </row>
    <row r="83" customFormat="false" ht="14.25" hidden="false" customHeight="false" outlineLevel="0" collapsed="false">
      <c r="A83" s="103" t="s">
        <v>795</v>
      </c>
      <c r="B83" s="103" t="s">
        <v>421</v>
      </c>
      <c r="C83" s="104" t="n">
        <v>45685</v>
      </c>
      <c r="D83" s="103" t="s">
        <v>110</v>
      </c>
      <c r="E83" s="103" t="n">
        <v>47</v>
      </c>
      <c r="F83" s="103" t="s">
        <v>170</v>
      </c>
      <c r="G83" s="103" t="s">
        <v>81</v>
      </c>
      <c r="H83" s="103" t="n">
        <v>3.9</v>
      </c>
      <c r="I83" s="103" t="n">
        <v>782</v>
      </c>
      <c r="J83" s="103" t="n">
        <v>60</v>
      </c>
      <c r="K83" s="103" t="n">
        <v>100</v>
      </c>
      <c r="L83" s="103" t="s">
        <v>95</v>
      </c>
      <c r="M83" s="103" t="s">
        <v>65</v>
      </c>
      <c r="N83" s="103" t="s">
        <v>77</v>
      </c>
      <c r="O83" s="103" t="n">
        <v>34</v>
      </c>
      <c r="P83" s="103" t="n">
        <v>8.4</v>
      </c>
      <c r="Q83" s="103" t="n">
        <v>5</v>
      </c>
      <c r="R83" s="103" t="s">
        <v>142</v>
      </c>
      <c r="S83" s="103" t="n">
        <v>842</v>
      </c>
      <c r="T83" s="103" t="n">
        <v>742</v>
      </c>
      <c r="U83" s="103" t="s">
        <v>714</v>
      </c>
      <c r="V83" s="103" t="n">
        <v>2025</v>
      </c>
    </row>
    <row r="84" customFormat="false" ht="14.25" hidden="false" customHeight="false" outlineLevel="0" collapsed="false">
      <c r="A84" s="103" t="s">
        <v>796</v>
      </c>
      <c r="B84" s="103" t="s">
        <v>422</v>
      </c>
      <c r="C84" s="104" t="n">
        <v>45685</v>
      </c>
      <c r="D84" s="103" t="s">
        <v>104</v>
      </c>
      <c r="E84" s="103" t="n">
        <v>55</v>
      </c>
      <c r="F84" s="103" t="s">
        <v>171</v>
      </c>
      <c r="G84" s="103" t="s">
        <v>82</v>
      </c>
      <c r="H84" s="103" t="n">
        <v>3.6</v>
      </c>
      <c r="I84" s="103" t="n">
        <v>1550</v>
      </c>
      <c r="J84" s="103" t="n">
        <v>50</v>
      </c>
      <c r="K84" s="103" t="n">
        <v>10</v>
      </c>
      <c r="L84" s="103" t="s">
        <v>94</v>
      </c>
      <c r="M84" s="103" t="s">
        <v>65</v>
      </c>
      <c r="N84" s="103" t="s">
        <v>78</v>
      </c>
      <c r="O84" s="103" t="n">
        <v>27</v>
      </c>
      <c r="P84" s="103" t="n">
        <v>1.3</v>
      </c>
      <c r="Q84" s="103" t="n">
        <v>3</v>
      </c>
      <c r="R84" s="103" t="s">
        <v>135</v>
      </c>
      <c r="S84" s="103" t="n">
        <v>1600</v>
      </c>
      <c r="T84" s="103" t="n">
        <v>1590</v>
      </c>
      <c r="U84" s="103" t="s">
        <v>714</v>
      </c>
      <c r="V84" s="103" t="n">
        <v>2025</v>
      </c>
    </row>
    <row r="85" customFormat="false" ht="14.25" hidden="false" customHeight="false" outlineLevel="0" collapsed="false">
      <c r="A85" s="103" t="s">
        <v>797</v>
      </c>
      <c r="B85" s="103" t="s">
        <v>423</v>
      </c>
      <c r="C85" s="104" t="n">
        <v>45685</v>
      </c>
      <c r="D85" s="103" t="s">
        <v>106</v>
      </c>
      <c r="E85" s="103" t="n">
        <v>21</v>
      </c>
      <c r="F85" s="103" t="s">
        <v>171</v>
      </c>
      <c r="G85" s="103" t="s">
        <v>82</v>
      </c>
      <c r="H85" s="103" t="n">
        <v>4.5</v>
      </c>
      <c r="I85" s="103" t="n">
        <v>701</v>
      </c>
      <c r="J85" s="103" t="n">
        <v>0</v>
      </c>
      <c r="K85" s="103" t="n">
        <v>150</v>
      </c>
      <c r="L85" s="103" t="s">
        <v>97</v>
      </c>
      <c r="M85" s="103" t="s">
        <v>65</v>
      </c>
      <c r="N85" s="103" t="s">
        <v>77</v>
      </c>
      <c r="O85" s="103" t="n">
        <v>58</v>
      </c>
      <c r="P85" s="103" t="n">
        <v>6.3</v>
      </c>
      <c r="Q85" s="103" t="n">
        <v>5</v>
      </c>
      <c r="R85" s="103" t="s">
        <v>139</v>
      </c>
      <c r="S85" s="103" t="n">
        <v>701</v>
      </c>
      <c r="T85" s="103" t="n">
        <v>551</v>
      </c>
      <c r="U85" s="103" t="s">
        <v>714</v>
      </c>
      <c r="V85" s="103" t="n">
        <v>2025</v>
      </c>
    </row>
    <row r="86" customFormat="false" ht="14.25" hidden="false" customHeight="false" outlineLevel="0" collapsed="false">
      <c r="A86" s="103" t="s">
        <v>798</v>
      </c>
      <c r="B86" s="103" t="s">
        <v>424</v>
      </c>
      <c r="C86" s="104" t="n">
        <v>45686</v>
      </c>
      <c r="D86" s="103" t="s">
        <v>105</v>
      </c>
      <c r="E86" s="103" t="n">
        <v>18</v>
      </c>
      <c r="F86" s="103" t="s">
        <v>170</v>
      </c>
      <c r="G86" s="103" t="s">
        <v>88</v>
      </c>
      <c r="H86" s="103" t="n">
        <v>4.3</v>
      </c>
      <c r="I86" s="103" t="n">
        <v>179</v>
      </c>
      <c r="J86" s="103" t="n">
        <v>0</v>
      </c>
      <c r="K86" s="103" t="n">
        <v>75</v>
      </c>
      <c r="L86" s="103" t="s">
        <v>94</v>
      </c>
      <c r="M86" s="103" t="s">
        <v>65</v>
      </c>
      <c r="N86" s="103" t="s">
        <v>77</v>
      </c>
      <c r="O86" s="103" t="n">
        <v>56</v>
      </c>
      <c r="P86" s="103" t="n">
        <v>4.4</v>
      </c>
      <c r="Q86" s="103" t="n">
        <v>5</v>
      </c>
      <c r="R86" s="103" t="s">
        <v>132</v>
      </c>
      <c r="S86" s="103" t="n">
        <v>179</v>
      </c>
      <c r="T86" s="103" t="n">
        <v>104</v>
      </c>
      <c r="U86" s="103" t="s">
        <v>714</v>
      </c>
      <c r="V86" s="103" t="n">
        <v>2025</v>
      </c>
    </row>
    <row r="87" customFormat="false" ht="14.25" hidden="false" customHeight="false" outlineLevel="0" collapsed="false">
      <c r="A87" s="103" t="s">
        <v>799</v>
      </c>
      <c r="B87" s="103" t="s">
        <v>425</v>
      </c>
      <c r="C87" s="104" t="n">
        <v>45686</v>
      </c>
      <c r="D87" s="103" t="s">
        <v>108</v>
      </c>
      <c r="E87" s="103" t="n">
        <v>25</v>
      </c>
      <c r="F87" s="103" t="s">
        <v>171</v>
      </c>
      <c r="G87" s="103" t="s">
        <v>85</v>
      </c>
      <c r="H87" s="103" t="n">
        <v>4.2</v>
      </c>
      <c r="I87" s="103" t="n">
        <v>1374</v>
      </c>
      <c r="J87" s="103" t="n">
        <v>40</v>
      </c>
      <c r="K87" s="103" t="n">
        <v>100</v>
      </c>
      <c r="L87" s="103" t="s">
        <v>96</v>
      </c>
      <c r="M87" s="103" t="s">
        <v>65</v>
      </c>
      <c r="N87" s="103" t="s">
        <v>77</v>
      </c>
      <c r="O87" s="103" t="n">
        <v>60</v>
      </c>
      <c r="P87" s="103" t="n">
        <v>15</v>
      </c>
      <c r="Q87" s="103" t="n">
        <v>3</v>
      </c>
      <c r="R87" s="103" t="s">
        <v>136</v>
      </c>
      <c r="S87" s="103" t="n">
        <v>1414</v>
      </c>
      <c r="T87" s="103" t="n">
        <v>1314</v>
      </c>
      <c r="U87" s="103" t="s">
        <v>714</v>
      </c>
      <c r="V87" s="103" t="n">
        <v>2025</v>
      </c>
    </row>
    <row r="88" customFormat="false" ht="14.25" hidden="false" customHeight="false" outlineLevel="0" collapsed="false">
      <c r="A88" s="103" t="s">
        <v>800</v>
      </c>
      <c r="B88" s="103" t="s">
        <v>426</v>
      </c>
      <c r="C88" s="104" t="n">
        <v>45686</v>
      </c>
      <c r="D88" s="103" t="s">
        <v>101</v>
      </c>
      <c r="E88" s="103" t="n">
        <v>46</v>
      </c>
      <c r="F88" s="103" t="s">
        <v>171</v>
      </c>
      <c r="G88" s="103" t="s">
        <v>87</v>
      </c>
      <c r="H88" s="103" t="n">
        <v>3.4</v>
      </c>
      <c r="I88" s="103" t="n">
        <v>1467</v>
      </c>
      <c r="J88" s="103" t="n">
        <v>0</v>
      </c>
      <c r="K88" s="103" t="n">
        <v>100</v>
      </c>
      <c r="L88" s="103" t="s">
        <v>96</v>
      </c>
      <c r="M88" s="103" t="s">
        <v>65</v>
      </c>
      <c r="N88" s="103" t="s">
        <v>77</v>
      </c>
      <c r="O88" s="103" t="n">
        <v>45</v>
      </c>
      <c r="P88" s="103" t="n">
        <v>5</v>
      </c>
      <c r="Q88" s="103" t="n">
        <v>4</v>
      </c>
      <c r="R88" s="103" t="s">
        <v>139</v>
      </c>
      <c r="S88" s="103" t="n">
        <v>1467</v>
      </c>
      <c r="T88" s="103" t="n">
        <v>1367</v>
      </c>
      <c r="U88" s="103" t="s">
        <v>714</v>
      </c>
      <c r="V88" s="103" t="n">
        <v>2025</v>
      </c>
    </row>
    <row r="89" customFormat="false" ht="14.25" hidden="false" customHeight="false" outlineLevel="0" collapsed="false">
      <c r="A89" s="103" t="s">
        <v>801</v>
      </c>
      <c r="B89" s="103" t="s">
        <v>427</v>
      </c>
      <c r="C89" s="104" t="n">
        <v>45687</v>
      </c>
      <c r="D89" s="103" t="s">
        <v>109</v>
      </c>
      <c r="E89" s="103" t="n">
        <v>56</v>
      </c>
      <c r="F89" s="103" t="s">
        <v>171</v>
      </c>
      <c r="G89" s="103" t="s">
        <v>82</v>
      </c>
      <c r="H89" s="103" t="n">
        <v>4.5</v>
      </c>
      <c r="I89" s="103" t="n">
        <v>390</v>
      </c>
      <c r="J89" s="103" t="n">
        <v>50</v>
      </c>
      <c r="K89" s="103" t="n">
        <v>75</v>
      </c>
      <c r="L89" s="103" t="s">
        <v>97</v>
      </c>
      <c r="M89" s="103" t="s">
        <v>65</v>
      </c>
      <c r="N89" s="103" t="s">
        <v>77</v>
      </c>
      <c r="O89" s="103" t="n">
        <v>48</v>
      </c>
      <c r="P89" s="103" t="n">
        <v>13.3</v>
      </c>
      <c r="Q89" s="103" t="n">
        <v>4</v>
      </c>
      <c r="R89" s="103" t="s">
        <v>139</v>
      </c>
      <c r="S89" s="103" t="n">
        <v>440</v>
      </c>
      <c r="T89" s="103" t="n">
        <v>365</v>
      </c>
      <c r="U89" s="103" t="s">
        <v>714</v>
      </c>
      <c r="V89" s="103" t="n">
        <v>2025</v>
      </c>
    </row>
    <row r="90" customFormat="false" ht="14.25" hidden="false" customHeight="false" outlineLevel="0" collapsed="false">
      <c r="A90" s="103" t="s">
        <v>802</v>
      </c>
      <c r="B90" s="103" t="s">
        <v>428</v>
      </c>
      <c r="C90" s="104" t="n">
        <v>45687</v>
      </c>
      <c r="D90" s="103" t="s">
        <v>105</v>
      </c>
      <c r="E90" s="103" t="n">
        <v>20</v>
      </c>
      <c r="F90" s="103" t="s">
        <v>171</v>
      </c>
      <c r="G90" s="103" t="s">
        <v>88</v>
      </c>
      <c r="H90" s="103" t="n">
        <v>2.6</v>
      </c>
      <c r="I90" s="103" t="n">
        <v>1023</v>
      </c>
      <c r="J90" s="103" t="n">
        <v>50</v>
      </c>
      <c r="K90" s="103" t="n">
        <v>200</v>
      </c>
      <c r="L90" s="103" t="s">
        <v>97</v>
      </c>
      <c r="M90" s="103" t="s">
        <v>67</v>
      </c>
      <c r="N90" s="103" t="s">
        <v>77</v>
      </c>
      <c r="O90" s="103" t="n">
        <v>43</v>
      </c>
      <c r="P90" s="103" t="n">
        <v>10.3</v>
      </c>
      <c r="Q90" s="103" t="n">
        <v>5</v>
      </c>
      <c r="R90" s="103" t="s">
        <v>135</v>
      </c>
      <c r="S90" s="103" t="n">
        <v>1073</v>
      </c>
      <c r="T90" s="103" t="n">
        <v>873</v>
      </c>
      <c r="U90" s="103" t="s">
        <v>714</v>
      </c>
      <c r="V90" s="103" t="n">
        <v>2025</v>
      </c>
    </row>
    <row r="91" customFormat="false" ht="14.25" hidden="false" customHeight="false" outlineLevel="0" collapsed="false">
      <c r="A91" s="103" t="s">
        <v>803</v>
      </c>
      <c r="B91" s="103" t="s">
        <v>429</v>
      </c>
      <c r="C91" s="104" t="n">
        <v>45687</v>
      </c>
      <c r="D91" s="103" t="s">
        <v>103</v>
      </c>
      <c r="E91" s="103" t="n">
        <v>49</v>
      </c>
      <c r="F91" s="103" t="s">
        <v>170</v>
      </c>
      <c r="G91" s="103" t="s">
        <v>83</v>
      </c>
      <c r="H91" s="103" t="n">
        <v>2.9</v>
      </c>
      <c r="I91" s="103" t="n">
        <v>442</v>
      </c>
      <c r="J91" s="103" t="n">
        <v>50</v>
      </c>
      <c r="K91" s="103" t="n">
        <v>200</v>
      </c>
      <c r="L91" s="103" t="s">
        <v>96</v>
      </c>
      <c r="M91" s="103" t="s">
        <v>65</v>
      </c>
      <c r="N91" s="103" t="s">
        <v>77</v>
      </c>
      <c r="O91" s="103" t="n">
        <v>17</v>
      </c>
      <c r="P91" s="103" t="n">
        <v>5.4</v>
      </c>
      <c r="Q91" s="103" t="n">
        <v>5</v>
      </c>
      <c r="R91" s="103" t="s">
        <v>137</v>
      </c>
      <c r="S91" s="103" t="n">
        <v>492</v>
      </c>
      <c r="T91" s="103" t="n">
        <v>292</v>
      </c>
      <c r="U91" s="103" t="s">
        <v>714</v>
      </c>
      <c r="V91" s="103" t="n">
        <v>2025</v>
      </c>
    </row>
    <row r="92" customFormat="false" ht="14.25" hidden="false" customHeight="false" outlineLevel="0" collapsed="false">
      <c r="A92" s="103" t="s">
        <v>804</v>
      </c>
      <c r="B92" s="103" t="s">
        <v>430</v>
      </c>
      <c r="C92" s="104" t="n">
        <v>45688</v>
      </c>
      <c r="D92" s="103" t="s">
        <v>110</v>
      </c>
      <c r="E92" s="103" t="n">
        <v>27</v>
      </c>
      <c r="F92" s="103" t="s">
        <v>170</v>
      </c>
      <c r="G92" s="103" t="s">
        <v>90</v>
      </c>
      <c r="H92" s="103" t="n">
        <v>3.3</v>
      </c>
      <c r="I92" s="103" t="n">
        <v>1328</v>
      </c>
      <c r="J92" s="103" t="n">
        <v>20</v>
      </c>
      <c r="K92" s="103" t="n">
        <v>100</v>
      </c>
      <c r="L92" s="103" t="s">
        <v>95</v>
      </c>
      <c r="M92" s="103" t="s">
        <v>65</v>
      </c>
      <c r="N92" s="103" t="s">
        <v>77</v>
      </c>
      <c r="O92" s="103" t="n">
        <v>23</v>
      </c>
      <c r="P92" s="103" t="n">
        <v>8.4</v>
      </c>
      <c r="Q92" s="103" t="n">
        <v>3</v>
      </c>
      <c r="R92" s="103" t="s">
        <v>140</v>
      </c>
      <c r="S92" s="103" t="n">
        <v>1348</v>
      </c>
      <c r="T92" s="103" t="n">
        <v>1248</v>
      </c>
      <c r="U92" s="103" t="s">
        <v>714</v>
      </c>
      <c r="V92" s="103" t="n">
        <v>2025</v>
      </c>
    </row>
    <row r="93" customFormat="false" ht="14.25" hidden="false" customHeight="false" outlineLevel="0" collapsed="false">
      <c r="A93" s="103" t="s">
        <v>805</v>
      </c>
      <c r="B93" s="103" t="s">
        <v>431</v>
      </c>
      <c r="C93" s="104" t="n">
        <v>45688</v>
      </c>
      <c r="D93" s="103" t="s">
        <v>103</v>
      </c>
      <c r="E93" s="103" t="n">
        <v>27</v>
      </c>
      <c r="F93" s="103" t="s">
        <v>170</v>
      </c>
      <c r="G93" s="103" t="s">
        <v>83</v>
      </c>
      <c r="H93" s="103" t="n">
        <v>2.7</v>
      </c>
      <c r="I93" s="103" t="n">
        <v>576</v>
      </c>
      <c r="J93" s="103" t="n">
        <v>50</v>
      </c>
      <c r="K93" s="103" t="n">
        <v>200</v>
      </c>
      <c r="L93" s="103" t="s">
        <v>93</v>
      </c>
      <c r="M93" s="103" t="s">
        <v>67</v>
      </c>
      <c r="N93" s="103" t="s">
        <v>77</v>
      </c>
      <c r="O93" s="103" t="n">
        <v>25</v>
      </c>
      <c r="P93" s="103" t="n">
        <v>12.7</v>
      </c>
      <c r="Q93" s="103" t="n">
        <v>5</v>
      </c>
      <c r="R93" s="103" t="s">
        <v>136</v>
      </c>
      <c r="S93" s="103" t="n">
        <v>626</v>
      </c>
      <c r="T93" s="103" t="n">
        <v>426</v>
      </c>
      <c r="U93" s="103" t="s">
        <v>714</v>
      </c>
      <c r="V93" s="103" t="n">
        <v>2025</v>
      </c>
    </row>
    <row r="94" customFormat="false" ht="14.25" hidden="false" customHeight="false" outlineLevel="0" collapsed="false">
      <c r="A94" s="103" t="s">
        <v>806</v>
      </c>
      <c r="B94" s="103" t="s">
        <v>432</v>
      </c>
      <c r="C94" s="104" t="n">
        <v>45688</v>
      </c>
      <c r="D94" s="103" t="s">
        <v>105</v>
      </c>
      <c r="E94" s="103" t="n">
        <v>36</v>
      </c>
      <c r="F94" s="103" t="s">
        <v>170</v>
      </c>
      <c r="G94" s="103" t="s">
        <v>86</v>
      </c>
      <c r="H94" s="103" t="n">
        <v>3.1</v>
      </c>
      <c r="I94" s="103" t="n">
        <v>651</v>
      </c>
      <c r="J94" s="103" t="n">
        <v>50</v>
      </c>
      <c r="K94" s="103" t="n">
        <v>20</v>
      </c>
      <c r="L94" s="103" t="s">
        <v>93</v>
      </c>
      <c r="M94" s="103" t="s">
        <v>67</v>
      </c>
      <c r="N94" s="103" t="s">
        <v>77</v>
      </c>
      <c r="O94" s="103" t="n">
        <v>25</v>
      </c>
      <c r="P94" s="103" t="n">
        <v>13.3</v>
      </c>
      <c r="Q94" s="103" t="n">
        <v>3</v>
      </c>
      <c r="R94" s="103" t="s">
        <v>135</v>
      </c>
      <c r="S94" s="103" t="n">
        <v>701</v>
      </c>
      <c r="T94" s="103" t="n">
        <v>681</v>
      </c>
      <c r="U94" s="103" t="s">
        <v>714</v>
      </c>
      <c r="V94" s="103" t="n">
        <v>2025</v>
      </c>
    </row>
    <row r="95" customFormat="false" ht="14.25" hidden="false" customHeight="false" outlineLevel="0" collapsed="false">
      <c r="A95" s="103" t="s">
        <v>807</v>
      </c>
      <c r="B95" s="103" t="s">
        <v>433</v>
      </c>
      <c r="C95" s="104" t="n">
        <v>45689</v>
      </c>
      <c r="D95" s="103" t="s">
        <v>104</v>
      </c>
      <c r="E95" s="103" t="n">
        <v>51</v>
      </c>
      <c r="F95" s="103" t="s">
        <v>171</v>
      </c>
      <c r="G95" s="103" t="s">
        <v>81</v>
      </c>
      <c r="H95" s="103" t="n">
        <v>4.6</v>
      </c>
      <c r="I95" s="103" t="n">
        <v>1540</v>
      </c>
      <c r="J95" s="103" t="n">
        <v>20</v>
      </c>
      <c r="K95" s="103" t="n">
        <v>20</v>
      </c>
      <c r="L95" s="103" t="s">
        <v>95</v>
      </c>
      <c r="M95" s="103" t="s">
        <v>66</v>
      </c>
      <c r="N95" s="103" t="s">
        <v>77</v>
      </c>
      <c r="O95" s="103" t="n">
        <v>39</v>
      </c>
      <c r="P95" s="103" t="n">
        <v>2.8</v>
      </c>
      <c r="Q95" s="103" t="n">
        <v>5</v>
      </c>
      <c r="R95" s="103" t="s">
        <v>138</v>
      </c>
      <c r="S95" s="103" t="n">
        <v>1560</v>
      </c>
      <c r="T95" s="103" t="n">
        <v>1540</v>
      </c>
      <c r="U95" s="103" t="s">
        <v>808</v>
      </c>
      <c r="V95" s="103" t="n">
        <v>2025</v>
      </c>
    </row>
    <row r="96" customFormat="false" ht="14.25" hidden="false" customHeight="false" outlineLevel="0" collapsed="false">
      <c r="A96" s="103" t="s">
        <v>809</v>
      </c>
      <c r="B96" s="103" t="s">
        <v>434</v>
      </c>
      <c r="C96" s="104" t="n">
        <v>45689</v>
      </c>
      <c r="D96" s="103" t="s">
        <v>109</v>
      </c>
      <c r="E96" s="103" t="n">
        <v>50</v>
      </c>
      <c r="F96" s="103" t="s">
        <v>170</v>
      </c>
      <c r="G96" s="103" t="s">
        <v>82</v>
      </c>
      <c r="H96" s="103" t="n">
        <v>4.9</v>
      </c>
      <c r="I96" s="103" t="n">
        <v>920</v>
      </c>
      <c r="J96" s="103" t="n">
        <v>60</v>
      </c>
      <c r="K96" s="103" t="n">
        <v>0</v>
      </c>
      <c r="L96" s="103" t="s">
        <v>97</v>
      </c>
      <c r="M96" s="103" t="s">
        <v>67</v>
      </c>
      <c r="N96" s="103" t="s">
        <v>77</v>
      </c>
      <c r="O96" s="103" t="n">
        <v>36</v>
      </c>
      <c r="P96" s="103" t="n">
        <v>5.4</v>
      </c>
      <c r="Q96" s="103" t="n">
        <v>4</v>
      </c>
      <c r="R96" s="103" t="s">
        <v>135</v>
      </c>
      <c r="S96" s="103" t="n">
        <v>980</v>
      </c>
      <c r="T96" s="103" t="n">
        <v>980</v>
      </c>
      <c r="U96" s="103" t="s">
        <v>808</v>
      </c>
      <c r="V96" s="103" t="n">
        <v>2025</v>
      </c>
    </row>
    <row r="97" customFormat="false" ht="14.25" hidden="false" customHeight="false" outlineLevel="0" collapsed="false">
      <c r="A97" s="103" t="s">
        <v>810</v>
      </c>
      <c r="B97" s="103" t="s">
        <v>435</v>
      </c>
      <c r="C97" s="104" t="n">
        <v>45689</v>
      </c>
      <c r="D97" s="103" t="s">
        <v>101</v>
      </c>
      <c r="E97" s="103" t="n">
        <v>40</v>
      </c>
      <c r="F97" s="103" t="s">
        <v>171</v>
      </c>
      <c r="G97" s="103" t="s">
        <v>86</v>
      </c>
      <c r="H97" s="103" t="n">
        <v>3.3</v>
      </c>
      <c r="I97" s="103" t="n">
        <v>1245</v>
      </c>
      <c r="J97" s="103" t="n">
        <v>30</v>
      </c>
      <c r="K97" s="103" t="n">
        <v>50</v>
      </c>
      <c r="L97" s="103" t="s">
        <v>95</v>
      </c>
      <c r="M97" s="103" t="s">
        <v>65</v>
      </c>
      <c r="N97" s="103" t="s">
        <v>77</v>
      </c>
      <c r="O97" s="103" t="n">
        <v>56</v>
      </c>
      <c r="P97" s="103" t="n">
        <v>5.4</v>
      </c>
      <c r="Q97" s="103" t="n">
        <v>4</v>
      </c>
      <c r="R97" s="103" t="s">
        <v>132</v>
      </c>
      <c r="S97" s="103" t="n">
        <v>1275</v>
      </c>
      <c r="T97" s="103" t="n">
        <v>1225</v>
      </c>
      <c r="U97" s="103" t="s">
        <v>808</v>
      </c>
      <c r="V97" s="103" t="n">
        <v>2025</v>
      </c>
    </row>
    <row r="98" customFormat="false" ht="14.25" hidden="false" customHeight="false" outlineLevel="0" collapsed="false">
      <c r="A98" s="103" t="s">
        <v>811</v>
      </c>
      <c r="B98" s="103" t="s">
        <v>436</v>
      </c>
      <c r="C98" s="104" t="n">
        <v>45690</v>
      </c>
      <c r="D98" s="103" t="s">
        <v>101</v>
      </c>
      <c r="E98" s="103" t="n">
        <v>45</v>
      </c>
      <c r="F98" s="103" t="s">
        <v>171</v>
      </c>
      <c r="G98" s="103" t="s">
        <v>84</v>
      </c>
      <c r="H98" s="103" t="n">
        <v>3.2</v>
      </c>
      <c r="I98" s="103" t="n">
        <v>796</v>
      </c>
      <c r="J98" s="103" t="n">
        <v>0</v>
      </c>
      <c r="K98" s="103" t="n">
        <v>30</v>
      </c>
      <c r="L98" s="103" t="s">
        <v>97</v>
      </c>
      <c r="M98" s="103" t="s">
        <v>65</v>
      </c>
      <c r="N98" s="103" t="s">
        <v>77</v>
      </c>
      <c r="O98" s="103" t="n">
        <v>60</v>
      </c>
      <c r="P98" s="103" t="n">
        <v>1.1</v>
      </c>
      <c r="Q98" s="103" t="n">
        <v>3</v>
      </c>
      <c r="R98" s="103" t="s">
        <v>139</v>
      </c>
      <c r="S98" s="103" t="n">
        <v>796</v>
      </c>
      <c r="T98" s="103" t="n">
        <v>766</v>
      </c>
      <c r="U98" s="103" t="s">
        <v>808</v>
      </c>
      <c r="V98" s="103" t="n">
        <v>2025</v>
      </c>
    </row>
    <row r="99" customFormat="false" ht="14.25" hidden="false" customHeight="false" outlineLevel="0" collapsed="false">
      <c r="A99" s="103" t="s">
        <v>812</v>
      </c>
      <c r="B99" s="103" t="s">
        <v>437</v>
      </c>
      <c r="C99" s="104" t="n">
        <v>45690</v>
      </c>
      <c r="D99" s="103" t="s">
        <v>101</v>
      </c>
      <c r="E99" s="103" t="n">
        <v>49</v>
      </c>
      <c r="F99" s="103" t="s">
        <v>170</v>
      </c>
      <c r="G99" s="103" t="s">
        <v>86</v>
      </c>
      <c r="H99" s="103" t="n">
        <v>3.2</v>
      </c>
      <c r="I99" s="103" t="n">
        <v>621</v>
      </c>
      <c r="J99" s="103" t="n">
        <v>50</v>
      </c>
      <c r="K99" s="103" t="n">
        <v>10</v>
      </c>
      <c r="L99" s="103" t="s">
        <v>96</v>
      </c>
      <c r="M99" s="103" t="s">
        <v>66</v>
      </c>
      <c r="N99" s="103" t="s">
        <v>78</v>
      </c>
      <c r="O99" s="103" t="n">
        <v>23</v>
      </c>
      <c r="P99" s="103" t="n">
        <v>9.2</v>
      </c>
      <c r="Q99" s="103" t="n">
        <v>3</v>
      </c>
      <c r="R99" s="103" t="s">
        <v>131</v>
      </c>
      <c r="S99" s="103" t="n">
        <v>671</v>
      </c>
      <c r="T99" s="103" t="n">
        <v>661</v>
      </c>
      <c r="U99" s="103" t="s">
        <v>808</v>
      </c>
      <c r="V99" s="103" t="n">
        <v>2025</v>
      </c>
    </row>
    <row r="100" customFormat="false" ht="14.25" hidden="false" customHeight="false" outlineLevel="0" collapsed="false">
      <c r="A100" s="103" t="s">
        <v>813</v>
      </c>
      <c r="B100" s="103" t="s">
        <v>438</v>
      </c>
      <c r="C100" s="104" t="n">
        <v>45690</v>
      </c>
      <c r="D100" s="103" t="s">
        <v>109</v>
      </c>
      <c r="E100" s="103" t="n">
        <v>24</v>
      </c>
      <c r="F100" s="103" t="s">
        <v>171</v>
      </c>
      <c r="G100" s="103" t="s">
        <v>88</v>
      </c>
      <c r="H100" s="103" t="n">
        <v>3.2</v>
      </c>
      <c r="I100" s="103" t="n">
        <v>1171</v>
      </c>
      <c r="J100" s="103" t="n">
        <v>0</v>
      </c>
      <c r="K100" s="103" t="n">
        <v>200</v>
      </c>
      <c r="L100" s="103" t="s">
        <v>93</v>
      </c>
      <c r="M100" s="103" t="s">
        <v>65</v>
      </c>
      <c r="N100" s="103" t="s">
        <v>77</v>
      </c>
      <c r="O100" s="103" t="n">
        <v>34</v>
      </c>
      <c r="P100" s="103" t="n">
        <v>12.9</v>
      </c>
      <c r="Q100" s="103" t="n">
        <v>5</v>
      </c>
      <c r="R100" s="103" t="s">
        <v>142</v>
      </c>
      <c r="S100" s="103" t="n">
        <v>1171</v>
      </c>
      <c r="T100" s="103" t="n">
        <v>971</v>
      </c>
      <c r="U100" s="103" t="s">
        <v>808</v>
      </c>
      <c r="V100" s="103" t="n">
        <v>2025</v>
      </c>
    </row>
    <row r="101" customFormat="false" ht="14.25" hidden="false" customHeight="false" outlineLevel="0" collapsed="false">
      <c r="A101" s="103" t="s">
        <v>814</v>
      </c>
      <c r="B101" s="103" t="s">
        <v>439</v>
      </c>
      <c r="C101" s="104" t="n">
        <v>45691</v>
      </c>
      <c r="D101" s="103" t="s">
        <v>100</v>
      </c>
      <c r="E101" s="103" t="n">
        <v>46</v>
      </c>
      <c r="F101" s="103" t="s">
        <v>170</v>
      </c>
      <c r="G101" s="103" t="s">
        <v>82</v>
      </c>
      <c r="H101" s="103" t="n">
        <v>2.6</v>
      </c>
      <c r="I101" s="103" t="n">
        <v>380</v>
      </c>
      <c r="J101" s="103" t="n">
        <v>40</v>
      </c>
      <c r="K101" s="103" t="n">
        <v>20</v>
      </c>
      <c r="L101" s="103" t="s">
        <v>93</v>
      </c>
      <c r="M101" s="103" t="s">
        <v>66</v>
      </c>
      <c r="N101" s="103" t="s">
        <v>78</v>
      </c>
      <c r="O101" s="103" t="n">
        <v>35</v>
      </c>
      <c r="P101" s="103" t="n">
        <v>6</v>
      </c>
      <c r="Q101" s="103" t="n">
        <v>5</v>
      </c>
      <c r="R101" s="103" t="s">
        <v>131</v>
      </c>
      <c r="S101" s="103" t="n">
        <v>420</v>
      </c>
      <c r="T101" s="103" t="n">
        <v>400</v>
      </c>
      <c r="U101" s="103" t="s">
        <v>808</v>
      </c>
      <c r="V101" s="103" t="n">
        <v>2025</v>
      </c>
    </row>
    <row r="102" customFormat="false" ht="14.25" hidden="false" customHeight="false" outlineLevel="0" collapsed="false">
      <c r="A102" s="103" t="s">
        <v>815</v>
      </c>
      <c r="B102" s="103" t="s">
        <v>440</v>
      </c>
      <c r="C102" s="104" t="n">
        <v>45691</v>
      </c>
      <c r="D102" s="103" t="s">
        <v>109</v>
      </c>
      <c r="E102" s="103" t="n">
        <v>25</v>
      </c>
      <c r="F102" s="103" t="s">
        <v>171</v>
      </c>
      <c r="G102" s="103" t="s">
        <v>90</v>
      </c>
      <c r="H102" s="103" t="n">
        <v>4.8</v>
      </c>
      <c r="I102" s="103" t="n">
        <v>747</v>
      </c>
      <c r="J102" s="103" t="n">
        <v>0</v>
      </c>
      <c r="K102" s="103" t="n">
        <v>150</v>
      </c>
      <c r="L102" s="103" t="s">
        <v>93</v>
      </c>
      <c r="M102" s="103" t="s">
        <v>65</v>
      </c>
      <c r="N102" s="103" t="s">
        <v>77</v>
      </c>
      <c r="O102" s="103" t="n">
        <v>24</v>
      </c>
      <c r="P102" s="103" t="n">
        <v>11.2</v>
      </c>
      <c r="Q102" s="103" t="n">
        <v>3</v>
      </c>
      <c r="R102" s="103" t="s">
        <v>142</v>
      </c>
      <c r="S102" s="103" t="n">
        <v>747</v>
      </c>
      <c r="T102" s="103" t="n">
        <v>597</v>
      </c>
      <c r="U102" s="103" t="s">
        <v>808</v>
      </c>
      <c r="V102" s="103" t="n">
        <v>2025</v>
      </c>
    </row>
    <row r="103" customFormat="false" ht="14.25" hidden="false" customHeight="false" outlineLevel="0" collapsed="false">
      <c r="A103" s="103" t="s">
        <v>816</v>
      </c>
      <c r="B103" s="103" t="s">
        <v>441</v>
      </c>
      <c r="C103" s="104" t="n">
        <v>45691</v>
      </c>
      <c r="D103" s="103" t="s">
        <v>108</v>
      </c>
      <c r="E103" s="103" t="n">
        <v>18</v>
      </c>
      <c r="F103" s="103" t="s">
        <v>170</v>
      </c>
      <c r="G103" s="103" t="s">
        <v>88</v>
      </c>
      <c r="H103" s="103" t="n">
        <v>3</v>
      </c>
      <c r="I103" s="103" t="n">
        <v>471</v>
      </c>
      <c r="J103" s="103" t="n">
        <v>60</v>
      </c>
      <c r="K103" s="103" t="n">
        <v>75</v>
      </c>
      <c r="L103" s="103" t="s">
        <v>93</v>
      </c>
      <c r="M103" s="103" t="s">
        <v>66</v>
      </c>
      <c r="N103" s="103" t="s">
        <v>77</v>
      </c>
      <c r="O103" s="103" t="n">
        <v>36</v>
      </c>
      <c r="P103" s="103" t="n">
        <v>9.6</v>
      </c>
      <c r="Q103" s="103" t="n">
        <v>3</v>
      </c>
      <c r="R103" s="103" t="s">
        <v>139</v>
      </c>
      <c r="S103" s="103" t="n">
        <v>531</v>
      </c>
      <c r="T103" s="103" t="n">
        <v>456</v>
      </c>
      <c r="U103" s="103" t="s">
        <v>808</v>
      </c>
      <c r="V103" s="103" t="n">
        <v>2025</v>
      </c>
    </row>
    <row r="104" customFormat="false" ht="14.25" hidden="false" customHeight="false" outlineLevel="0" collapsed="false">
      <c r="A104" s="103" t="s">
        <v>817</v>
      </c>
      <c r="B104" s="103" t="s">
        <v>442</v>
      </c>
      <c r="C104" s="104" t="n">
        <v>45692</v>
      </c>
      <c r="D104" s="103" t="s">
        <v>109</v>
      </c>
      <c r="E104" s="103" t="n">
        <v>20</v>
      </c>
      <c r="F104" s="103" t="s">
        <v>170</v>
      </c>
      <c r="G104" s="103" t="s">
        <v>88</v>
      </c>
      <c r="H104" s="103" t="n">
        <v>3.6</v>
      </c>
      <c r="I104" s="103" t="n">
        <v>1289</v>
      </c>
      <c r="J104" s="103" t="n">
        <v>20</v>
      </c>
      <c r="K104" s="103" t="n">
        <v>50</v>
      </c>
      <c r="L104" s="103" t="s">
        <v>94</v>
      </c>
      <c r="M104" s="103" t="s">
        <v>65</v>
      </c>
      <c r="N104" s="103" t="s">
        <v>78</v>
      </c>
      <c r="O104" s="103" t="n">
        <v>43</v>
      </c>
      <c r="P104" s="103" t="n">
        <v>5.9</v>
      </c>
      <c r="Q104" s="103" t="n">
        <v>2</v>
      </c>
      <c r="R104" s="103" t="s">
        <v>142</v>
      </c>
      <c r="S104" s="103" t="n">
        <v>1309</v>
      </c>
      <c r="T104" s="103" t="n">
        <v>1259</v>
      </c>
      <c r="U104" s="103" t="s">
        <v>808</v>
      </c>
      <c r="V104" s="103" t="n">
        <v>2025</v>
      </c>
    </row>
    <row r="105" customFormat="false" ht="14.25" hidden="false" customHeight="false" outlineLevel="0" collapsed="false">
      <c r="A105" s="103" t="s">
        <v>818</v>
      </c>
      <c r="B105" s="103" t="s">
        <v>443</v>
      </c>
      <c r="C105" s="104" t="n">
        <v>45692</v>
      </c>
      <c r="D105" s="103" t="s">
        <v>105</v>
      </c>
      <c r="E105" s="103" t="n">
        <v>41</v>
      </c>
      <c r="F105" s="103" t="s">
        <v>170</v>
      </c>
      <c r="G105" s="103" t="s">
        <v>81</v>
      </c>
      <c r="H105" s="103" t="n">
        <v>2.5</v>
      </c>
      <c r="I105" s="103" t="n">
        <v>1706</v>
      </c>
      <c r="J105" s="103" t="n">
        <v>0</v>
      </c>
      <c r="K105" s="103" t="n">
        <v>0</v>
      </c>
      <c r="L105" s="103" t="s">
        <v>97</v>
      </c>
      <c r="M105" s="103" t="s">
        <v>65</v>
      </c>
      <c r="N105" s="103" t="s">
        <v>77</v>
      </c>
      <c r="O105" s="103" t="n">
        <v>23</v>
      </c>
      <c r="P105" s="103" t="n">
        <v>2.5</v>
      </c>
      <c r="Q105" s="103" t="n">
        <v>5</v>
      </c>
      <c r="R105" s="103" t="s">
        <v>134</v>
      </c>
      <c r="S105" s="103" t="n">
        <v>1706</v>
      </c>
      <c r="T105" s="103" t="n">
        <v>1706</v>
      </c>
      <c r="U105" s="103" t="s">
        <v>808</v>
      </c>
      <c r="V105" s="103" t="n">
        <v>2025</v>
      </c>
    </row>
    <row r="106" customFormat="false" ht="14.25" hidden="false" customHeight="false" outlineLevel="0" collapsed="false">
      <c r="A106" s="103" t="s">
        <v>819</v>
      </c>
      <c r="B106" s="103" t="s">
        <v>444</v>
      </c>
      <c r="C106" s="104" t="n">
        <v>45692</v>
      </c>
      <c r="D106" s="103" t="s">
        <v>100</v>
      </c>
      <c r="E106" s="103" t="n">
        <v>40</v>
      </c>
      <c r="F106" s="103" t="s">
        <v>170</v>
      </c>
      <c r="G106" s="103" t="s">
        <v>81</v>
      </c>
      <c r="H106" s="103" t="n">
        <v>4.6</v>
      </c>
      <c r="I106" s="103" t="n">
        <v>1792</v>
      </c>
      <c r="J106" s="103" t="n">
        <v>0</v>
      </c>
      <c r="K106" s="103" t="n">
        <v>30</v>
      </c>
      <c r="L106" s="103" t="s">
        <v>95</v>
      </c>
      <c r="M106" s="103" t="s">
        <v>65</v>
      </c>
      <c r="N106" s="103" t="s">
        <v>77</v>
      </c>
      <c r="O106" s="103" t="n">
        <v>19</v>
      </c>
      <c r="P106" s="103" t="n">
        <v>10.8</v>
      </c>
      <c r="Q106" s="103" t="n">
        <v>5</v>
      </c>
      <c r="R106" s="103" t="s">
        <v>132</v>
      </c>
      <c r="S106" s="103" t="n">
        <v>1792</v>
      </c>
      <c r="T106" s="103" t="n">
        <v>1762</v>
      </c>
      <c r="U106" s="103" t="s">
        <v>808</v>
      </c>
      <c r="V106" s="103" t="n">
        <v>2025</v>
      </c>
    </row>
    <row r="107" customFormat="false" ht="14.25" hidden="false" customHeight="false" outlineLevel="0" collapsed="false">
      <c r="A107" s="103" t="s">
        <v>820</v>
      </c>
      <c r="B107" s="103" t="s">
        <v>445</v>
      </c>
      <c r="C107" s="104" t="n">
        <v>45693</v>
      </c>
      <c r="D107" s="103" t="s">
        <v>101</v>
      </c>
      <c r="E107" s="103" t="n">
        <v>25</v>
      </c>
      <c r="F107" s="103" t="s">
        <v>170</v>
      </c>
      <c r="G107" s="103" t="s">
        <v>87</v>
      </c>
      <c r="H107" s="103" t="n">
        <v>4.3</v>
      </c>
      <c r="I107" s="103" t="n">
        <v>876</v>
      </c>
      <c r="J107" s="103" t="n">
        <v>0</v>
      </c>
      <c r="K107" s="103" t="n">
        <v>20</v>
      </c>
      <c r="L107" s="103" t="s">
        <v>94</v>
      </c>
      <c r="M107" s="103" t="s">
        <v>65</v>
      </c>
      <c r="N107" s="103" t="s">
        <v>78</v>
      </c>
      <c r="O107" s="103" t="n">
        <v>54</v>
      </c>
      <c r="P107" s="103" t="n">
        <v>12.9</v>
      </c>
      <c r="Q107" s="103" t="n">
        <v>2</v>
      </c>
      <c r="R107" s="103" t="s">
        <v>137</v>
      </c>
      <c r="S107" s="103" t="n">
        <v>876</v>
      </c>
      <c r="T107" s="103" t="n">
        <v>856</v>
      </c>
      <c r="U107" s="103" t="s">
        <v>808</v>
      </c>
      <c r="V107" s="103" t="n">
        <v>2025</v>
      </c>
    </row>
    <row r="108" customFormat="false" ht="14.25" hidden="false" customHeight="false" outlineLevel="0" collapsed="false">
      <c r="A108" s="103" t="s">
        <v>821</v>
      </c>
      <c r="B108" s="103" t="s">
        <v>446</v>
      </c>
      <c r="C108" s="104" t="n">
        <v>45693</v>
      </c>
      <c r="D108" s="103" t="s">
        <v>105</v>
      </c>
      <c r="E108" s="103" t="n">
        <v>54</v>
      </c>
      <c r="F108" s="103" t="s">
        <v>171</v>
      </c>
      <c r="G108" s="103" t="s">
        <v>87</v>
      </c>
      <c r="H108" s="103" t="n">
        <v>4.9</v>
      </c>
      <c r="I108" s="103" t="n">
        <v>544</v>
      </c>
      <c r="J108" s="103" t="n">
        <v>30</v>
      </c>
      <c r="K108" s="103" t="n">
        <v>0</v>
      </c>
      <c r="L108" s="103" t="s">
        <v>93</v>
      </c>
      <c r="M108" s="103" t="s">
        <v>65</v>
      </c>
      <c r="N108" s="103" t="s">
        <v>77</v>
      </c>
      <c r="O108" s="103" t="n">
        <v>25</v>
      </c>
      <c r="P108" s="103" t="n">
        <v>10.4</v>
      </c>
      <c r="Q108" s="103" t="n">
        <v>5</v>
      </c>
      <c r="R108" s="103" t="s">
        <v>138</v>
      </c>
      <c r="S108" s="103" t="n">
        <v>574</v>
      </c>
      <c r="T108" s="103" t="n">
        <v>574</v>
      </c>
      <c r="U108" s="103" t="s">
        <v>808</v>
      </c>
      <c r="V108" s="103" t="n">
        <v>2025</v>
      </c>
    </row>
    <row r="109" customFormat="false" ht="14.25" hidden="false" customHeight="false" outlineLevel="0" collapsed="false">
      <c r="A109" s="103" t="s">
        <v>822</v>
      </c>
      <c r="B109" s="103" t="s">
        <v>447</v>
      </c>
      <c r="C109" s="104" t="n">
        <v>45693</v>
      </c>
      <c r="D109" s="103" t="s">
        <v>105</v>
      </c>
      <c r="E109" s="103" t="n">
        <v>20</v>
      </c>
      <c r="F109" s="103" t="s">
        <v>170</v>
      </c>
      <c r="G109" s="103" t="s">
        <v>89</v>
      </c>
      <c r="H109" s="103" t="n">
        <v>4.5</v>
      </c>
      <c r="I109" s="103" t="n">
        <v>864</v>
      </c>
      <c r="J109" s="103" t="n">
        <v>30</v>
      </c>
      <c r="K109" s="103" t="n">
        <v>50</v>
      </c>
      <c r="L109" s="103" t="s">
        <v>93</v>
      </c>
      <c r="M109" s="103" t="s">
        <v>65</v>
      </c>
      <c r="N109" s="103" t="s">
        <v>77</v>
      </c>
      <c r="O109" s="103" t="n">
        <v>15</v>
      </c>
      <c r="P109" s="103" t="n">
        <v>0.8</v>
      </c>
      <c r="Q109" s="103" t="n">
        <v>2</v>
      </c>
      <c r="R109" s="103" t="s">
        <v>139</v>
      </c>
      <c r="S109" s="103" t="n">
        <v>894</v>
      </c>
      <c r="T109" s="103" t="n">
        <v>844</v>
      </c>
      <c r="U109" s="103" t="s">
        <v>808</v>
      </c>
      <c r="V109" s="103" t="n">
        <v>2025</v>
      </c>
    </row>
    <row r="110" customFormat="false" ht="14.25" hidden="false" customHeight="false" outlineLevel="0" collapsed="false">
      <c r="A110" s="103" t="s">
        <v>823</v>
      </c>
      <c r="B110" s="103" t="s">
        <v>448</v>
      </c>
      <c r="C110" s="104" t="n">
        <v>45694</v>
      </c>
      <c r="D110" s="103" t="s">
        <v>111</v>
      </c>
      <c r="E110" s="103" t="n">
        <v>50</v>
      </c>
      <c r="F110" s="103" t="s">
        <v>171</v>
      </c>
      <c r="G110" s="103" t="s">
        <v>85</v>
      </c>
      <c r="H110" s="103" t="n">
        <v>3.3</v>
      </c>
      <c r="I110" s="103" t="n">
        <v>1543</v>
      </c>
      <c r="J110" s="103" t="n">
        <v>40</v>
      </c>
      <c r="K110" s="103" t="n">
        <v>75</v>
      </c>
      <c r="L110" s="103" t="s">
        <v>94</v>
      </c>
      <c r="M110" s="103" t="s">
        <v>65</v>
      </c>
      <c r="N110" s="103" t="s">
        <v>77</v>
      </c>
      <c r="O110" s="103" t="n">
        <v>67</v>
      </c>
      <c r="P110" s="103" t="n">
        <v>3.6</v>
      </c>
      <c r="Q110" s="103" t="n">
        <v>5</v>
      </c>
      <c r="R110" s="103" t="s">
        <v>142</v>
      </c>
      <c r="S110" s="103" t="n">
        <v>1583</v>
      </c>
      <c r="T110" s="103" t="n">
        <v>1508</v>
      </c>
      <c r="U110" s="103" t="s">
        <v>808</v>
      </c>
      <c r="V110" s="103" t="n">
        <v>2025</v>
      </c>
    </row>
    <row r="111" customFormat="false" ht="14.25" hidden="false" customHeight="false" outlineLevel="0" collapsed="false">
      <c r="A111" s="103" t="s">
        <v>824</v>
      </c>
      <c r="B111" s="103" t="s">
        <v>449</v>
      </c>
      <c r="C111" s="104" t="n">
        <v>45694</v>
      </c>
      <c r="D111" s="103" t="s">
        <v>102</v>
      </c>
      <c r="E111" s="103" t="n">
        <v>45</v>
      </c>
      <c r="F111" s="103" t="s">
        <v>170</v>
      </c>
      <c r="G111" s="103" t="s">
        <v>82</v>
      </c>
      <c r="H111" s="103" t="n">
        <v>3.1</v>
      </c>
      <c r="I111" s="103" t="n">
        <v>466</v>
      </c>
      <c r="J111" s="103" t="n">
        <v>20</v>
      </c>
      <c r="K111" s="103" t="n">
        <v>10</v>
      </c>
      <c r="L111" s="103" t="s">
        <v>93</v>
      </c>
      <c r="M111" s="103" t="s">
        <v>65</v>
      </c>
      <c r="N111" s="103" t="s">
        <v>78</v>
      </c>
      <c r="O111" s="103" t="n">
        <v>56</v>
      </c>
      <c r="P111" s="103" t="n">
        <v>1.5</v>
      </c>
      <c r="Q111" s="103" t="n">
        <v>5</v>
      </c>
      <c r="R111" s="103" t="s">
        <v>136</v>
      </c>
      <c r="S111" s="103" t="n">
        <v>486</v>
      </c>
      <c r="T111" s="103" t="n">
        <v>476</v>
      </c>
      <c r="U111" s="103" t="s">
        <v>808</v>
      </c>
      <c r="V111" s="103" t="n">
        <v>2025</v>
      </c>
    </row>
    <row r="112" customFormat="false" ht="14.25" hidden="false" customHeight="false" outlineLevel="0" collapsed="false">
      <c r="A112" s="103" t="s">
        <v>825</v>
      </c>
      <c r="B112" s="103" t="s">
        <v>450</v>
      </c>
      <c r="C112" s="104" t="n">
        <v>45694</v>
      </c>
      <c r="D112" s="103" t="s">
        <v>100</v>
      </c>
      <c r="E112" s="103" t="n">
        <v>25</v>
      </c>
      <c r="F112" s="103" t="s">
        <v>170</v>
      </c>
      <c r="G112" s="103" t="s">
        <v>82</v>
      </c>
      <c r="H112" s="103" t="n">
        <v>4.2</v>
      </c>
      <c r="I112" s="103" t="n">
        <v>1720</v>
      </c>
      <c r="J112" s="103" t="n">
        <v>0</v>
      </c>
      <c r="K112" s="103" t="n">
        <v>20</v>
      </c>
      <c r="L112" s="103" t="s">
        <v>93</v>
      </c>
      <c r="M112" s="103" t="s">
        <v>65</v>
      </c>
      <c r="N112" s="103" t="s">
        <v>77</v>
      </c>
      <c r="O112" s="103" t="n">
        <v>15</v>
      </c>
      <c r="P112" s="103" t="n">
        <v>8.8</v>
      </c>
      <c r="Q112" s="103" t="n">
        <v>5</v>
      </c>
      <c r="R112" s="103" t="s">
        <v>139</v>
      </c>
      <c r="S112" s="103" t="n">
        <v>1720</v>
      </c>
      <c r="T112" s="103" t="n">
        <v>1700</v>
      </c>
      <c r="U112" s="103" t="s">
        <v>808</v>
      </c>
      <c r="V112" s="103" t="n">
        <v>2025</v>
      </c>
    </row>
    <row r="113" customFormat="false" ht="14.25" hidden="false" customHeight="false" outlineLevel="0" collapsed="false">
      <c r="A113" s="103" t="s">
        <v>826</v>
      </c>
      <c r="B113" s="103" t="s">
        <v>451</v>
      </c>
      <c r="C113" s="104" t="n">
        <v>45695</v>
      </c>
      <c r="D113" s="103" t="s">
        <v>105</v>
      </c>
      <c r="E113" s="103" t="n">
        <v>51</v>
      </c>
      <c r="F113" s="103" t="s">
        <v>170</v>
      </c>
      <c r="G113" s="103" t="s">
        <v>86</v>
      </c>
      <c r="H113" s="103" t="n">
        <v>3.4</v>
      </c>
      <c r="I113" s="103" t="n">
        <v>694</v>
      </c>
      <c r="J113" s="103" t="n">
        <v>0</v>
      </c>
      <c r="K113" s="103" t="n">
        <v>75</v>
      </c>
      <c r="L113" s="103" t="s">
        <v>94</v>
      </c>
      <c r="M113" s="103" t="s">
        <v>65</v>
      </c>
      <c r="N113" s="103" t="s">
        <v>78</v>
      </c>
      <c r="O113" s="103" t="n">
        <v>68</v>
      </c>
      <c r="P113" s="103" t="n">
        <v>11.5</v>
      </c>
      <c r="Q113" s="103" t="n">
        <v>5</v>
      </c>
      <c r="R113" s="103" t="s">
        <v>133</v>
      </c>
      <c r="S113" s="103" t="n">
        <v>694</v>
      </c>
      <c r="T113" s="103" t="n">
        <v>619</v>
      </c>
      <c r="U113" s="103" t="s">
        <v>808</v>
      </c>
      <c r="V113" s="103" t="n">
        <v>2025</v>
      </c>
    </row>
    <row r="114" customFormat="false" ht="14.25" hidden="false" customHeight="false" outlineLevel="0" collapsed="false">
      <c r="A114" s="103" t="s">
        <v>827</v>
      </c>
      <c r="B114" s="103" t="s">
        <v>452</v>
      </c>
      <c r="C114" s="104" t="n">
        <v>45695</v>
      </c>
      <c r="D114" s="103" t="s">
        <v>102</v>
      </c>
      <c r="E114" s="103" t="n">
        <v>52</v>
      </c>
      <c r="F114" s="103" t="s">
        <v>171</v>
      </c>
      <c r="G114" s="103" t="s">
        <v>82</v>
      </c>
      <c r="H114" s="103" t="n">
        <v>3.9</v>
      </c>
      <c r="I114" s="103" t="n">
        <v>1776</v>
      </c>
      <c r="J114" s="103" t="n">
        <v>0</v>
      </c>
      <c r="K114" s="103" t="n">
        <v>30</v>
      </c>
      <c r="L114" s="103" t="s">
        <v>93</v>
      </c>
      <c r="M114" s="103" t="s">
        <v>65</v>
      </c>
      <c r="N114" s="103" t="s">
        <v>77</v>
      </c>
      <c r="O114" s="103" t="n">
        <v>53</v>
      </c>
      <c r="P114" s="103" t="n">
        <v>2.1</v>
      </c>
      <c r="Q114" s="103" t="n">
        <v>5</v>
      </c>
      <c r="R114" s="103" t="s">
        <v>138</v>
      </c>
      <c r="S114" s="103" t="n">
        <v>1776</v>
      </c>
      <c r="T114" s="103" t="n">
        <v>1746</v>
      </c>
      <c r="U114" s="103" t="s">
        <v>808</v>
      </c>
      <c r="V114" s="103" t="n">
        <v>2025</v>
      </c>
    </row>
    <row r="115" customFormat="false" ht="14.25" hidden="false" customHeight="false" outlineLevel="0" collapsed="false">
      <c r="A115" s="103" t="s">
        <v>828</v>
      </c>
      <c r="B115" s="103" t="s">
        <v>453</v>
      </c>
      <c r="C115" s="104" t="n">
        <v>45695</v>
      </c>
      <c r="D115" s="103" t="s">
        <v>102</v>
      </c>
      <c r="E115" s="103" t="n">
        <v>49</v>
      </c>
      <c r="F115" s="103" t="s">
        <v>171</v>
      </c>
      <c r="G115" s="103" t="s">
        <v>82</v>
      </c>
      <c r="H115" s="103" t="n">
        <v>2.5</v>
      </c>
      <c r="I115" s="103" t="n">
        <v>1529</v>
      </c>
      <c r="J115" s="103" t="n">
        <v>0</v>
      </c>
      <c r="K115" s="103" t="n">
        <v>200</v>
      </c>
      <c r="L115" s="103" t="s">
        <v>96</v>
      </c>
      <c r="M115" s="103" t="s">
        <v>66</v>
      </c>
      <c r="N115" s="103" t="s">
        <v>77</v>
      </c>
      <c r="O115" s="103" t="n">
        <v>60</v>
      </c>
      <c r="P115" s="103" t="n">
        <v>12.7</v>
      </c>
      <c r="Q115" s="103" t="n">
        <v>5</v>
      </c>
      <c r="R115" s="103" t="s">
        <v>140</v>
      </c>
      <c r="S115" s="103" t="n">
        <v>1529</v>
      </c>
      <c r="T115" s="103" t="n">
        <v>1329</v>
      </c>
      <c r="U115" s="103" t="s">
        <v>808</v>
      </c>
      <c r="V115" s="103" t="n">
        <v>2025</v>
      </c>
    </row>
    <row r="116" customFormat="false" ht="14.25" hidden="false" customHeight="false" outlineLevel="0" collapsed="false">
      <c r="A116" s="103" t="s">
        <v>829</v>
      </c>
      <c r="B116" s="103" t="s">
        <v>454</v>
      </c>
      <c r="C116" s="104" t="n">
        <v>45696</v>
      </c>
      <c r="D116" s="103" t="s">
        <v>100</v>
      </c>
      <c r="E116" s="103" t="n">
        <v>41</v>
      </c>
      <c r="F116" s="103" t="s">
        <v>170</v>
      </c>
      <c r="G116" s="103" t="s">
        <v>85</v>
      </c>
      <c r="H116" s="103" t="n">
        <v>2.7</v>
      </c>
      <c r="I116" s="103" t="n">
        <v>1478</v>
      </c>
      <c r="J116" s="103" t="n">
        <v>30</v>
      </c>
      <c r="K116" s="103" t="n">
        <v>50</v>
      </c>
      <c r="L116" s="103" t="s">
        <v>93</v>
      </c>
      <c r="M116" s="103" t="s">
        <v>66</v>
      </c>
      <c r="N116" s="103" t="s">
        <v>77</v>
      </c>
      <c r="O116" s="103" t="n">
        <v>19</v>
      </c>
      <c r="P116" s="103" t="n">
        <v>8.6</v>
      </c>
      <c r="Q116" s="103" t="n">
        <v>5</v>
      </c>
      <c r="R116" s="103" t="s">
        <v>138</v>
      </c>
      <c r="S116" s="103" t="n">
        <v>1508</v>
      </c>
      <c r="T116" s="103" t="n">
        <v>1458</v>
      </c>
      <c r="U116" s="103" t="s">
        <v>808</v>
      </c>
      <c r="V116" s="103" t="n">
        <v>2025</v>
      </c>
    </row>
    <row r="117" customFormat="false" ht="14.25" hidden="false" customHeight="false" outlineLevel="0" collapsed="false">
      <c r="A117" s="103" t="s">
        <v>830</v>
      </c>
      <c r="B117" s="103" t="s">
        <v>455</v>
      </c>
      <c r="C117" s="104" t="n">
        <v>45696</v>
      </c>
      <c r="D117" s="103" t="s">
        <v>111</v>
      </c>
      <c r="E117" s="103" t="n">
        <v>31</v>
      </c>
      <c r="F117" s="103" t="s">
        <v>171</v>
      </c>
      <c r="G117" s="103" t="s">
        <v>84</v>
      </c>
      <c r="H117" s="103" t="n">
        <v>3.8</v>
      </c>
      <c r="I117" s="103" t="n">
        <v>654</v>
      </c>
      <c r="J117" s="103" t="n">
        <v>60</v>
      </c>
      <c r="K117" s="103" t="n">
        <v>30</v>
      </c>
      <c r="L117" s="103" t="s">
        <v>93</v>
      </c>
      <c r="M117" s="103" t="s">
        <v>66</v>
      </c>
      <c r="N117" s="103" t="s">
        <v>78</v>
      </c>
      <c r="O117" s="103" t="n">
        <v>63</v>
      </c>
      <c r="P117" s="103" t="n">
        <v>10.5</v>
      </c>
      <c r="Q117" s="103" t="n">
        <v>4</v>
      </c>
      <c r="R117" s="103" t="s">
        <v>136</v>
      </c>
      <c r="S117" s="103" t="n">
        <v>714</v>
      </c>
      <c r="T117" s="103" t="n">
        <v>684</v>
      </c>
      <c r="U117" s="103" t="s">
        <v>808</v>
      </c>
      <c r="V117" s="103" t="n">
        <v>2025</v>
      </c>
    </row>
    <row r="118" customFormat="false" ht="14.25" hidden="false" customHeight="false" outlineLevel="0" collapsed="false">
      <c r="A118" s="103" t="s">
        <v>831</v>
      </c>
      <c r="B118" s="103" t="s">
        <v>456</v>
      </c>
      <c r="C118" s="104" t="n">
        <v>45696</v>
      </c>
      <c r="D118" s="103" t="s">
        <v>103</v>
      </c>
      <c r="E118" s="103" t="n">
        <v>49</v>
      </c>
      <c r="F118" s="103" t="s">
        <v>171</v>
      </c>
      <c r="G118" s="103" t="s">
        <v>87</v>
      </c>
      <c r="H118" s="103" t="n">
        <v>3.9</v>
      </c>
      <c r="I118" s="103" t="n">
        <v>135</v>
      </c>
      <c r="J118" s="103" t="n">
        <v>60</v>
      </c>
      <c r="K118" s="103" t="n">
        <v>10</v>
      </c>
      <c r="L118" s="103" t="s">
        <v>93</v>
      </c>
      <c r="M118" s="103" t="s">
        <v>65</v>
      </c>
      <c r="N118" s="103" t="s">
        <v>78</v>
      </c>
      <c r="O118" s="103" t="n">
        <v>36</v>
      </c>
      <c r="P118" s="103" t="n">
        <v>14.6</v>
      </c>
      <c r="Q118" s="103" t="n">
        <v>3</v>
      </c>
      <c r="R118" s="103" t="s">
        <v>135</v>
      </c>
      <c r="S118" s="103" t="n">
        <v>195</v>
      </c>
      <c r="T118" s="103" t="n">
        <v>185</v>
      </c>
      <c r="U118" s="103" t="s">
        <v>808</v>
      </c>
      <c r="V118" s="103" t="n">
        <v>2025</v>
      </c>
    </row>
    <row r="119" customFormat="false" ht="14.25" hidden="false" customHeight="false" outlineLevel="0" collapsed="false">
      <c r="A119" s="103" t="s">
        <v>832</v>
      </c>
      <c r="B119" s="103" t="s">
        <v>457</v>
      </c>
      <c r="C119" s="104" t="n">
        <v>45697</v>
      </c>
      <c r="D119" s="103" t="s">
        <v>104</v>
      </c>
      <c r="E119" s="103" t="n">
        <v>60</v>
      </c>
      <c r="F119" s="103" t="s">
        <v>171</v>
      </c>
      <c r="G119" s="103" t="s">
        <v>87</v>
      </c>
      <c r="H119" s="103" t="n">
        <v>4.4</v>
      </c>
      <c r="I119" s="103" t="n">
        <v>762</v>
      </c>
      <c r="J119" s="103" t="n">
        <v>40</v>
      </c>
      <c r="K119" s="103" t="n">
        <v>75</v>
      </c>
      <c r="L119" s="103" t="s">
        <v>93</v>
      </c>
      <c r="M119" s="103" t="s">
        <v>67</v>
      </c>
      <c r="N119" s="103" t="s">
        <v>77</v>
      </c>
      <c r="O119" s="103" t="n">
        <v>40</v>
      </c>
      <c r="P119" s="103" t="n">
        <v>1.7</v>
      </c>
      <c r="Q119" s="103" t="n">
        <v>4</v>
      </c>
      <c r="R119" s="103" t="s">
        <v>133</v>
      </c>
      <c r="S119" s="103" t="n">
        <v>802</v>
      </c>
      <c r="T119" s="103" t="n">
        <v>727</v>
      </c>
      <c r="U119" s="103" t="s">
        <v>808</v>
      </c>
      <c r="V119" s="103" t="n">
        <v>2025</v>
      </c>
    </row>
    <row r="120" customFormat="false" ht="14.25" hidden="false" customHeight="false" outlineLevel="0" collapsed="false">
      <c r="A120" s="103" t="s">
        <v>833</v>
      </c>
      <c r="B120" s="103" t="s">
        <v>458</v>
      </c>
      <c r="C120" s="104" t="n">
        <v>45697</v>
      </c>
      <c r="D120" s="103" t="s">
        <v>108</v>
      </c>
      <c r="E120" s="103" t="n">
        <v>33</v>
      </c>
      <c r="F120" s="103" t="s">
        <v>170</v>
      </c>
      <c r="G120" s="103" t="s">
        <v>90</v>
      </c>
      <c r="H120" s="103" t="n">
        <v>2.8</v>
      </c>
      <c r="I120" s="103" t="n">
        <v>627</v>
      </c>
      <c r="J120" s="103" t="n">
        <v>50</v>
      </c>
      <c r="K120" s="103" t="n">
        <v>10</v>
      </c>
      <c r="L120" s="103" t="s">
        <v>95</v>
      </c>
      <c r="M120" s="103" t="s">
        <v>65</v>
      </c>
      <c r="N120" s="103" t="s">
        <v>77</v>
      </c>
      <c r="O120" s="103" t="n">
        <v>67</v>
      </c>
      <c r="P120" s="103" t="n">
        <v>13.6</v>
      </c>
      <c r="Q120" s="103" t="n">
        <v>5</v>
      </c>
      <c r="R120" s="103" t="s">
        <v>140</v>
      </c>
      <c r="S120" s="103" t="n">
        <v>677</v>
      </c>
      <c r="T120" s="103" t="n">
        <v>667</v>
      </c>
      <c r="U120" s="103" t="s">
        <v>808</v>
      </c>
      <c r="V120" s="103" t="n">
        <v>2025</v>
      </c>
    </row>
    <row r="121" customFormat="false" ht="14.25" hidden="false" customHeight="false" outlineLevel="0" collapsed="false">
      <c r="A121" s="103" t="s">
        <v>834</v>
      </c>
      <c r="B121" s="103" t="s">
        <v>459</v>
      </c>
      <c r="C121" s="104" t="n">
        <v>45697</v>
      </c>
      <c r="D121" s="103" t="s">
        <v>104</v>
      </c>
      <c r="E121" s="103" t="n">
        <v>21</v>
      </c>
      <c r="F121" s="103" t="s">
        <v>170</v>
      </c>
      <c r="G121" s="103" t="s">
        <v>82</v>
      </c>
      <c r="H121" s="103" t="n">
        <v>3.8</v>
      </c>
      <c r="I121" s="103" t="n">
        <v>183</v>
      </c>
      <c r="J121" s="103" t="n">
        <v>20</v>
      </c>
      <c r="K121" s="103" t="n">
        <v>100</v>
      </c>
      <c r="L121" s="103" t="s">
        <v>95</v>
      </c>
      <c r="M121" s="103" t="s">
        <v>67</v>
      </c>
      <c r="N121" s="103" t="s">
        <v>77</v>
      </c>
      <c r="O121" s="103" t="n">
        <v>20</v>
      </c>
      <c r="P121" s="103" t="n">
        <v>2.3</v>
      </c>
      <c r="Q121" s="103" t="n">
        <v>3</v>
      </c>
      <c r="R121" s="103" t="s">
        <v>141</v>
      </c>
      <c r="S121" s="103" t="n">
        <v>203</v>
      </c>
      <c r="T121" s="103" t="n">
        <v>103</v>
      </c>
      <c r="U121" s="103" t="s">
        <v>808</v>
      </c>
      <c r="V121" s="103" t="n">
        <v>2025</v>
      </c>
    </row>
    <row r="122" customFormat="false" ht="14.25" hidden="false" customHeight="false" outlineLevel="0" collapsed="false">
      <c r="A122" s="103" t="s">
        <v>835</v>
      </c>
      <c r="B122" s="103" t="s">
        <v>460</v>
      </c>
      <c r="C122" s="104" t="n">
        <v>45698</v>
      </c>
      <c r="D122" s="103" t="s">
        <v>109</v>
      </c>
      <c r="E122" s="103" t="n">
        <v>54</v>
      </c>
      <c r="F122" s="103" t="s">
        <v>171</v>
      </c>
      <c r="G122" s="103" t="s">
        <v>85</v>
      </c>
      <c r="H122" s="103" t="n">
        <v>3</v>
      </c>
      <c r="I122" s="103" t="n">
        <v>969</v>
      </c>
      <c r="J122" s="103" t="n">
        <v>60</v>
      </c>
      <c r="K122" s="103" t="n">
        <v>20</v>
      </c>
      <c r="L122" s="103" t="s">
        <v>94</v>
      </c>
      <c r="M122" s="103" t="s">
        <v>66</v>
      </c>
      <c r="N122" s="103" t="s">
        <v>77</v>
      </c>
      <c r="O122" s="103" t="n">
        <v>46</v>
      </c>
      <c r="P122" s="103" t="n">
        <v>6.2</v>
      </c>
      <c r="Q122" s="103" t="n">
        <v>4</v>
      </c>
      <c r="R122" s="103" t="s">
        <v>136</v>
      </c>
      <c r="S122" s="103" t="n">
        <v>1029</v>
      </c>
      <c r="T122" s="103" t="n">
        <v>1009</v>
      </c>
      <c r="U122" s="103" t="s">
        <v>808</v>
      </c>
      <c r="V122" s="103" t="n">
        <v>2025</v>
      </c>
    </row>
    <row r="123" customFormat="false" ht="14.25" hidden="false" customHeight="false" outlineLevel="0" collapsed="false">
      <c r="A123" s="103" t="s">
        <v>836</v>
      </c>
      <c r="B123" s="103" t="s">
        <v>461</v>
      </c>
      <c r="C123" s="104" t="n">
        <v>45698</v>
      </c>
      <c r="D123" s="103" t="s">
        <v>101</v>
      </c>
      <c r="E123" s="103" t="n">
        <v>38</v>
      </c>
      <c r="F123" s="103" t="s">
        <v>171</v>
      </c>
      <c r="G123" s="103" t="s">
        <v>87</v>
      </c>
      <c r="H123" s="103" t="n">
        <v>2.7</v>
      </c>
      <c r="I123" s="103" t="n">
        <v>797</v>
      </c>
      <c r="J123" s="103" t="n">
        <v>0</v>
      </c>
      <c r="K123" s="103" t="n">
        <v>200</v>
      </c>
      <c r="L123" s="103" t="s">
        <v>95</v>
      </c>
      <c r="M123" s="103" t="s">
        <v>65</v>
      </c>
      <c r="N123" s="103" t="s">
        <v>77</v>
      </c>
      <c r="O123" s="103" t="n">
        <v>62</v>
      </c>
      <c r="P123" s="103" t="n">
        <v>12.8</v>
      </c>
      <c r="Q123" s="103" t="n">
        <v>4</v>
      </c>
      <c r="R123" s="103" t="s">
        <v>131</v>
      </c>
      <c r="S123" s="103" t="n">
        <v>797</v>
      </c>
      <c r="T123" s="103" t="n">
        <v>597</v>
      </c>
      <c r="U123" s="103" t="s">
        <v>808</v>
      </c>
      <c r="V123" s="103" t="n">
        <v>2025</v>
      </c>
    </row>
    <row r="124" customFormat="false" ht="14.25" hidden="false" customHeight="false" outlineLevel="0" collapsed="false">
      <c r="A124" s="103" t="s">
        <v>837</v>
      </c>
      <c r="B124" s="103" t="s">
        <v>462</v>
      </c>
      <c r="C124" s="104" t="n">
        <v>45698</v>
      </c>
      <c r="D124" s="103" t="s">
        <v>108</v>
      </c>
      <c r="E124" s="103" t="n">
        <v>31</v>
      </c>
      <c r="F124" s="103" t="s">
        <v>171</v>
      </c>
      <c r="G124" s="103" t="s">
        <v>85</v>
      </c>
      <c r="H124" s="103" t="n">
        <v>3.5</v>
      </c>
      <c r="I124" s="103" t="n">
        <v>1186</v>
      </c>
      <c r="J124" s="103" t="n">
        <v>60</v>
      </c>
      <c r="K124" s="103" t="n">
        <v>50</v>
      </c>
      <c r="L124" s="103" t="s">
        <v>93</v>
      </c>
      <c r="M124" s="103" t="s">
        <v>65</v>
      </c>
      <c r="N124" s="103" t="s">
        <v>77</v>
      </c>
      <c r="O124" s="103" t="n">
        <v>25</v>
      </c>
      <c r="P124" s="103" t="n">
        <v>13.6</v>
      </c>
      <c r="Q124" s="103" t="n">
        <v>3</v>
      </c>
      <c r="R124" s="103" t="s">
        <v>134</v>
      </c>
      <c r="S124" s="103" t="n">
        <v>1246</v>
      </c>
      <c r="T124" s="103" t="n">
        <v>1196</v>
      </c>
      <c r="U124" s="103" t="s">
        <v>808</v>
      </c>
      <c r="V124" s="103" t="n">
        <v>2025</v>
      </c>
    </row>
    <row r="125" customFormat="false" ht="14.25" hidden="false" customHeight="false" outlineLevel="0" collapsed="false">
      <c r="A125" s="103" t="s">
        <v>838</v>
      </c>
      <c r="B125" s="103" t="s">
        <v>463</v>
      </c>
      <c r="C125" s="104" t="n">
        <v>45699</v>
      </c>
      <c r="D125" s="103" t="s">
        <v>109</v>
      </c>
      <c r="E125" s="103" t="n">
        <v>48</v>
      </c>
      <c r="F125" s="103" t="s">
        <v>170</v>
      </c>
      <c r="G125" s="103" t="s">
        <v>83</v>
      </c>
      <c r="H125" s="103" t="n">
        <v>2.9</v>
      </c>
      <c r="I125" s="103" t="n">
        <v>1164</v>
      </c>
      <c r="J125" s="103" t="n">
        <v>40</v>
      </c>
      <c r="K125" s="103" t="n">
        <v>150</v>
      </c>
      <c r="L125" s="103" t="s">
        <v>95</v>
      </c>
      <c r="M125" s="103" t="s">
        <v>66</v>
      </c>
      <c r="N125" s="103" t="s">
        <v>78</v>
      </c>
      <c r="O125" s="103" t="n">
        <v>24</v>
      </c>
      <c r="P125" s="103" t="n">
        <v>7.8</v>
      </c>
      <c r="Q125" s="103" t="n">
        <v>5</v>
      </c>
      <c r="R125" s="103" t="s">
        <v>135</v>
      </c>
      <c r="S125" s="103" t="n">
        <v>1204</v>
      </c>
      <c r="T125" s="103" t="n">
        <v>1054</v>
      </c>
      <c r="U125" s="103" t="s">
        <v>808</v>
      </c>
      <c r="V125" s="103" t="n">
        <v>2025</v>
      </c>
    </row>
    <row r="126" customFormat="false" ht="14.25" hidden="false" customHeight="false" outlineLevel="0" collapsed="false">
      <c r="A126" s="103" t="s">
        <v>839</v>
      </c>
      <c r="B126" s="103" t="s">
        <v>464</v>
      </c>
      <c r="C126" s="104" t="n">
        <v>45699</v>
      </c>
      <c r="D126" s="103" t="s">
        <v>105</v>
      </c>
      <c r="E126" s="103" t="n">
        <v>35</v>
      </c>
      <c r="F126" s="103" t="s">
        <v>170</v>
      </c>
      <c r="G126" s="103" t="s">
        <v>84</v>
      </c>
      <c r="H126" s="103" t="n">
        <v>3.1</v>
      </c>
      <c r="I126" s="103" t="n">
        <v>323</v>
      </c>
      <c r="J126" s="103" t="n">
        <v>50</v>
      </c>
      <c r="K126" s="103" t="n">
        <v>75</v>
      </c>
      <c r="L126" s="103" t="s">
        <v>93</v>
      </c>
      <c r="M126" s="103" t="s">
        <v>65</v>
      </c>
      <c r="N126" s="103" t="s">
        <v>77</v>
      </c>
      <c r="O126" s="103" t="n">
        <v>61</v>
      </c>
      <c r="P126" s="103" t="n">
        <v>9.1</v>
      </c>
      <c r="Q126" s="103" t="n">
        <v>5</v>
      </c>
      <c r="R126" s="103" t="s">
        <v>138</v>
      </c>
      <c r="S126" s="103" t="n">
        <v>373</v>
      </c>
      <c r="T126" s="103" t="n">
        <v>298</v>
      </c>
      <c r="U126" s="103" t="s">
        <v>808</v>
      </c>
      <c r="V126" s="103" t="n">
        <v>2025</v>
      </c>
    </row>
    <row r="127" customFormat="false" ht="14.25" hidden="false" customHeight="false" outlineLevel="0" collapsed="false">
      <c r="A127" s="103" t="s">
        <v>840</v>
      </c>
      <c r="B127" s="103" t="s">
        <v>465</v>
      </c>
      <c r="C127" s="104" t="n">
        <v>45699</v>
      </c>
      <c r="D127" s="103" t="s">
        <v>101</v>
      </c>
      <c r="E127" s="103" t="n">
        <v>24</v>
      </c>
      <c r="F127" s="103" t="s">
        <v>171</v>
      </c>
      <c r="G127" s="103" t="s">
        <v>82</v>
      </c>
      <c r="H127" s="103" t="n">
        <v>3.3</v>
      </c>
      <c r="I127" s="103" t="n">
        <v>1761</v>
      </c>
      <c r="J127" s="103" t="n">
        <v>60</v>
      </c>
      <c r="K127" s="103" t="n">
        <v>150</v>
      </c>
      <c r="L127" s="103" t="s">
        <v>93</v>
      </c>
      <c r="M127" s="103" t="s">
        <v>65</v>
      </c>
      <c r="N127" s="103" t="s">
        <v>78</v>
      </c>
      <c r="O127" s="103" t="n">
        <v>53</v>
      </c>
      <c r="P127" s="103" t="n">
        <v>10.8</v>
      </c>
      <c r="Q127" s="103" t="n">
        <v>5</v>
      </c>
      <c r="R127" s="103" t="s">
        <v>141</v>
      </c>
      <c r="S127" s="103" t="n">
        <v>1821</v>
      </c>
      <c r="T127" s="103" t="n">
        <v>1671</v>
      </c>
      <c r="U127" s="103" t="s">
        <v>808</v>
      </c>
      <c r="V127" s="103" t="n">
        <v>2025</v>
      </c>
    </row>
    <row r="128" customFormat="false" ht="14.25" hidden="false" customHeight="false" outlineLevel="0" collapsed="false">
      <c r="A128" s="103" t="s">
        <v>841</v>
      </c>
      <c r="B128" s="103" t="s">
        <v>466</v>
      </c>
      <c r="C128" s="104" t="n">
        <v>45700</v>
      </c>
      <c r="D128" s="103" t="s">
        <v>110</v>
      </c>
      <c r="E128" s="103" t="n">
        <v>27</v>
      </c>
      <c r="F128" s="103" t="s">
        <v>171</v>
      </c>
      <c r="G128" s="103" t="s">
        <v>90</v>
      </c>
      <c r="H128" s="103" t="n">
        <v>3.1</v>
      </c>
      <c r="I128" s="103" t="n">
        <v>434</v>
      </c>
      <c r="J128" s="103" t="n">
        <v>40</v>
      </c>
      <c r="K128" s="103" t="n">
        <v>20</v>
      </c>
      <c r="L128" s="103" t="s">
        <v>95</v>
      </c>
      <c r="M128" s="103" t="s">
        <v>65</v>
      </c>
      <c r="N128" s="103" t="s">
        <v>77</v>
      </c>
      <c r="O128" s="103" t="n">
        <v>69</v>
      </c>
      <c r="P128" s="103" t="n">
        <v>12.6</v>
      </c>
      <c r="Q128" s="103" t="n">
        <v>5</v>
      </c>
      <c r="R128" s="103" t="s">
        <v>133</v>
      </c>
      <c r="S128" s="103" t="n">
        <v>474</v>
      </c>
      <c r="T128" s="103" t="n">
        <v>454</v>
      </c>
      <c r="U128" s="103" t="s">
        <v>808</v>
      </c>
      <c r="V128" s="103" t="n">
        <v>2025</v>
      </c>
    </row>
    <row r="129" customFormat="false" ht="14.25" hidden="false" customHeight="false" outlineLevel="0" collapsed="false">
      <c r="A129" s="103" t="s">
        <v>842</v>
      </c>
      <c r="B129" s="103" t="s">
        <v>467</v>
      </c>
      <c r="C129" s="104" t="n">
        <v>45700</v>
      </c>
      <c r="D129" s="103" t="s">
        <v>100</v>
      </c>
      <c r="E129" s="103" t="n">
        <v>24</v>
      </c>
      <c r="F129" s="103" t="s">
        <v>171</v>
      </c>
      <c r="G129" s="103" t="s">
        <v>86</v>
      </c>
      <c r="H129" s="103" t="n">
        <v>2.7</v>
      </c>
      <c r="I129" s="103" t="n">
        <v>868</v>
      </c>
      <c r="J129" s="103" t="n">
        <v>30</v>
      </c>
      <c r="K129" s="103" t="n">
        <v>20</v>
      </c>
      <c r="L129" s="103" t="s">
        <v>96</v>
      </c>
      <c r="M129" s="103" t="s">
        <v>65</v>
      </c>
      <c r="N129" s="103" t="s">
        <v>78</v>
      </c>
      <c r="O129" s="103" t="n">
        <v>48</v>
      </c>
      <c r="P129" s="103" t="n">
        <v>2.3</v>
      </c>
      <c r="Q129" s="103" t="n">
        <v>5</v>
      </c>
      <c r="R129" s="103" t="s">
        <v>142</v>
      </c>
      <c r="S129" s="103" t="n">
        <v>898</v>
      </c>
      <c r="T129" s="103" t="n">
        <v>878</v>
      </c>
      <c r="U129" s="103" t="s">
        <v>808</v>
      </c>
      <c r="V129" s="103" t="n">
        <v>2025</v>
      </c>
    </row>
    <row r="130" customFormat="false" ht="14.25" hidden="false" customHeight="false" outlineLevel="0" collapsed="false">
      <c r="A130" s="103" t="s">
        <v>843</v>
      </c>
      <c r="B130" s="103" t="s">
        <v>468</v>
      </c>
      <c r="C130" s="104" t="n">
        <v>45700</v>
      </c>
      <c r="D130" s="103" t="s">
        <v>108</v>
      </c>
      <c r="E130" s="103" t="n">
        <v>50</v>
      </c>
      <c r="F130" s="103" t="s">
        <v>170</v>
      </c>
      <c r="G130" s="103" t="s">
        <v>87</v>
      </c>
      <c r="H130" s="103" t="n">
        <v>2.7</v>
      </c>
      <c r="I130" s="103" t="n">
        <v>940</v>
      </c>
      <c r="J130" s="103" t="n">
        <v>50</v>
      </c>
      <c r="K130" s="103" t="n">
        <v>50</v>
      </c>
      <c r="L130" s="103" t="s">
        <v>95</v>
      </c>
      <c r="M130" s="103" t="s">
        <v>65</v>
      </c>
      <c r="N130" s="103" t="s">
        <v>78</v>
      </c>
      <c r="O130" s="103" t="n">
        <v>45</v>
      </c>
      <c r="P130" s="103" t="n">
        <v>12.2</v>
      </c>
      <c r="Q130" s="103" t="n">
        <v>4</v>
      </c>
      <c r="R130" s="103" t="s">
        <v>135</v>
      </c>
      <c r="S130" s="103" t="n">
        <v>990</v>
      </c>
      <c r="T130" s="103" t="n">
        <v>940</v>
      </c>
      <c r="U130" s="103" t="s">
        <v>808</v>
      </c>
      <c r="V130" s="103" t="n">
        <v>2025</v>
      </c>
    </row>
    <row r="131" customFormat="false" ht="14.25" hidden="false" customHeight="false" outlineLevel="0" collapsed="false">
      <c r="A131" s="103" t="s">
        <v>844</v>
      </c>
      <c r="B131" s="103" t="s">
        <v>469</v>
      </c>
      <c r="C131" s="104" t="n">
        <v>45701</v>
      </c>
      <c r="D131" s="103" t="s">
        <v>108</v>
      </c>
      <c r="E131" s="103" t="n">
        <v>40</v>
      </c>
      <c r="F131" s="103" t="s">
        <v>170</v>
      </c>
      <c r="G131" s="103" t="s">
        <v>83</v>
      </c>
      <c r="H131" s="103" t="n">
        <v>3</v>
      </c>
      <c r="I131" s="103" t="n">
        <v>1486</v>
      </c>
      <c r="J131" s="103" t="n">
        <v>40</v>
      </c>
      <c r="K131" s="103" t="n">
        <v>20</v>
      </c>
      <c r="L131" s="103" t="s">
        <v>93</v>
      </c>
      <c r="M131" s="103" t="s">
        <v>67</v>
      </c>
      <c r="N131" s="103" t="s">
        <v>78</v>
      </c>
      <c r="O131" s="103" t="n">
        <v>26</v>
      </c>
      <c r="P131" s="103" t="n">
        <v>7.5</v>
      </c>
      <c r="Q131" s="103" t="n">
        <v>3</v>
      </c>
      <c r="R131" s="103" t="s">
        <v>141</v>
      </c>
      <c r="S131" s="103" t="n">
        <v>1526</v>
      </c>
      <c r="T131" s="103" t="n">
        <v>1506</v>
      </c>
      <c r="U131" s="103" t="s">
        <v>808</v>
      </c>
      <c r="V131" s="103" t="n">
        <v>2025</v>
      </c>
    </row>
    <row r="132" customFormat="false" ht="14.25" hidden="false" customHeight="false" outlineLevel="0" collapsed="false">
      <c r="A132" s="103" t="s">
        <v>845</v>
      </c>
      <c r="B132" s="103" t="s">
        <v>470</v>
      </c>
      <c r="C132" s="104" t="n">
        <v>45701</v>
      </c>
      <c r="D132" s="103" t="s">
        <v>105</v>
      </c>
      <c r="E132" s="103" t="n">
        <v>38</v>
      </c>
      <c r="F132" s="103" t="s">
        <v>171</v>
      </c>
      <c r="G132" s="103" t="s">
        <v>85</v>
      </c>
      <c r="H132" s="103" t="n">
        <v>2.6</v>
      </c>
      <c r="I132" s="103" t="n">
        <v>287</v>
      </c>
      <c r="J132" s="103" t="n">
        <v>60</v>
      </c>
      <c r="K132" s="103" t="n">
        <v>150</v>
      </c>
      <c r="L132" s="103" t="s">
        <v>93</v>
      </c>
      <c r="M132" s="103" t="s">
        <v>67</v>
      </c>
      <c r="N132" s="103" t="s">
        <v>77</v>
      </c>
      <c r="O132" s="103" t="n">
        <v>65</v>
      </c>
      <c r="P132" s="103" t="n">
        <v>7</v>
      </c>
      <c r="Q132" s="103" t="n">
        <v>5</v>
      </c>
      <c r="R132" s="103" t="s">
        <v>137</v>
      </c>
      <c r="S132" s="103" t="n">
        <v>347</v>
      </c>
      <c r="T132" s="103" t="n">
        <v>197</v>
      </c>
      <c r="U132" s="103" t="s">
        <v>808</v>
      </c>
      <c r="V132" s="103" t="n">
        <v>2025</v>
      </c>
    </row>
    <row r="133" customFormat="false" ht="14.25" hidden="false" customHeight="false" outlineLevel="0" collapsed="false">
      <c r="A133" s="103" t="s">
        <v>846</v>
      </c>
      <c r="B133" s="103" t="s">
        <v>471</v>
      </c>
      <c r="C133" s="104" t="n">
        <v>45701</v>
      </c>
      <c r="D133" s="103" t="s">
        <v>103</v>
      </c>
      <c r="E133" s="103" t="n">
        <v>36</v>
      </c>
      <c r="F133" s="103" t="s">
        <v>171</v>
      </c>
      <c r="G133" s="103" t="s">
        <v>81</v>
      </c>
      <c r="H133" s="103" t="n">
        <v>4.1</v>
      </c>
      <c r="I133" s="103" t="n">
        <v>840</v>
      </c>
      <c r="J133" s="103" t="n">
        <v>30</v>
      </c>
      <c r="K133" s="103" t="n">
        <v>150</v>
      </c>
      <c r="L133" s="103" t="s">
        <v>97</v>
      </c>
      <c r="M133" s="103" t="s">
        <v>67</v>
      </c>
      <c r="N133" s="103" t="s">
        <v>77</v>
      </c>
      <c r="O133" s="103" t="n">
        <v>58</v>
      </c>
      <c r="P133" s="103" t="n">
        <v>6.6</v>
      </c>
      <c r="Q133" s="103" t="n">
        <v>3</v>
      </c>
      <c r="R133" s="103" t="s">
        <v>132</v>
      </c>
      <c r="S133" s="103" t="n">
        <v>870</v>
      </c>
      <c r="T133" s="103" t="n">
        <v>720</v>
      </c>
      <c r="U133" s="103" t="s">
        <v>808</v>
      </c>
      <c r="V133" s="103" t="n">
        <v>2025</v>
      </c>
    </row>
    <row r="134" customFormat="false" ht="14.25" hidden="false" customHeight="false" outlineLevel="0" collapsed="false">
      <c r="A134" s="103" t="s">
        <v>847</v>
      </c>
      <c r="B134" s="103" t="s">
        <v>472</v>
      </c>
      <c r="C134" s="104" t="n">
        <v>45702</v>
      </c>
      <c r="D134" s="103" t="s">
        <v>102</v>
      </c>
      <c r="E134" s="103" t="n">
        <v>36</v>
      </c>
      <c r="F134" s="103" t="s">
        <v>171</v>
      </c>
      <c r="G134" s="103" t="s">
        <v>88</v>
      </c>
      <c r="H134" s="103" t="n">
        <v>3.2</v>
      </c>
      <c r="I134" s="103" t="n">
        <v>1176</v>
      </c>
      <c r="J134" s="103" t="n">
        <v>40</v>
      </c>
      <c r="K134" s="103" t="n">
        <v>10</v>
      </c>
      <c r="L134" s="103" t="s">
        <v>93</v>
      </c>
      <c r="M134" s="103" t="s">
        <v>65</v>
      </c>
      <c r="N134" s="103" t="s">
        <v>78</v>
      </c>
      <c r="O134" s="103" t="n">
        <v>30</v>
      </c>
      <c r="P134" s="103" t="n">
        <v>7.9</v>
      </c>
      <c r="Q134" s="103" t="n">
        <v>2</v>
      </c>
      <c r="R134" s="103" t="s">
        <v>142</v>
      </c>
      <c r="S134" s="103" t="n">
        <v>1216</v>
      </c>
      <c r="T134" s="103" t="n">
        <v>1206</v>
      </c>
      <c r="U134" s="103" t="s">
        <v>808</v>
      </c>
      <c r="V134" s="103" t="n">
        <v>2025</v>
      </c>
    </row>
    <row r="135" customFormat="false" ht="14.25" hidden="false" customHeight="false" outlineLevel="0" collapsed="false">
      <c r="A135" s="103" t="s">
        <v>848</v>
      </c>
      <c r="B135" s="103" t="s">
        <v>473</v>
      </c>
      <c r="C135" s="104" t="n">
        <v>45702</v>
      </c>
      <c r="D135" s="103" t="s">
        <v>101</v>
      </c>
      <c r="E135" s="103" t="n">
        <v>53</v>
      </c>
      <c r="F135" s="103" t="s">
        <v>170</v>
      </c>
      <c r="G135" s="103" t="s">
        <v>82</v>
      </c>
      <c r="H135" s="103" t="n">
        <v>3.2</v>
      </c>
      <c r="I135" s="103" t="n">
        <v>481</v>
      </c>
      <c r="J135" s="103" t="n">
        <v>40</v>
      </c>
      <c r="K135" s="103" t="n">
        <v>30</v>
      </c>
      <c r="L135" s="103" t="s">
        <v>93</v>
      </c>
      <c r="M135" s="103" t="s">
        <v>65</v>
      </c>
      <c r="N135" s="103" t="s">
        <v>77</v>
      </c>
      <c r="O135" s="103" t="n">
        <v>52</v>
      </c>
      <c r="P135" s="103" t="n">
        <v>14.2</v>
      </c>
      <c r="Q135" s="103" t="n">
        <v>5</v>
      </c>
      <c r="R135" s="103" t="s">
        <v>138</v>
      </c>
      <c r="S135" s="103" t="n">
        <v>521</v>
      </c>
      <c r="T135" s="103" t="n">
        <v>491</v>
      </c>
      <c r="U135" s="103" t="s">
        <v>808</v>
      </c>
      <c r="V135" s="103" t="n">
        <v>2025</v>
      </c>
    </row>
    <row r="136" customFormat="false" ht="14.25" hidden="false" customHeight="false" outlineLevel="0" collapsed="false">
      <c r="A136" s="103" t="s">
        <v>849</v>
      </c>
      <c r="B136" s="103" t="s">
        <v>474</v>
      </c>
      <c r="C136" s="104" t="n">
        <v>45702</v>
      </c>
      <c r="D136" s="103" t="s">
        <v>105</v>
      </c>
      <c r="E136" s="103" t="n">
        <v>46</v>
      </c>
      <c r="F136" s="103" t="s">
        <v>171</v>
      </c>
      <c r="G136" s="103" t="s">
        <v>82</v>
      </c>
      <c r="H136" s="103" t="n">
        <v>3.3</v>
      </c>
      <c r="I136" s="103" t="n">
        <v>1174</v>
      </c>
      <c r="J136" s="103" t="n">
        <v>60</v>
      </c>
      <c r="K136" s="103" t="n">
        <v>0</v>
      </c>
      <c r="L136" s="103" t="s">
        <v>93</v>
      </c>
      <c r="M136" s="103" t="s">
        <v>66</v>
      </c>
      <c r="N136" s="103" t="s">
        <v>77</v>
      </c>
      <c r="O136" s="103" t="n">
        <v>17</v>
      </c>
      <c r="P136" s="103" t="n">
        <v>8.4</v>
      </c>
      <c r="Q136" s="103" t="n">
        <v>3</v>
      </c>
      <c r="R136" s="103" t="s">
        <v>132</v>
      </c>
      <c r="S136" s="103" t="n">
        <v>1234</v>
      </c>
      <c r="T136" s="103" t="n">
        <v>1234</v>
      </c>
      <c r="U136" s="103" t="s">
        <v>808</v>
      </c>
      <c r="V136" s="103" t="n">
        <v>2025</v>
      </c>
    </row>
    <row r="137" customFormat="false" ht="14.25" hidden="false" customHeight="false" outlineLevel="0" collapsed="false">
      <c r="A137" s="103" t="s">
        <v>850</v>
      </c>
      <c r="B137" s="103" t="s">
        <v>475</v>
      </c>
      <c r="C137" s="104" t="n">
        <v>45703</v>
      </c>
      <c r="D137" s="103" t="s">
        <v>107</v>
      </c>
      <c r="E137" s="103" t="n">
        <v>35</v>
      </c>
      <c r="F137" s="103" t="s">
        <v>170</v>
      </c>
      <c r="G137" s="103" t="s">
        <v>83</v>
      </c>
      <c r="H137" s="103" t="n">
        <v>4.2</v>
      </c>
      <c r="I137" s="103" t="n">
        <v>1672</v>
      </c>
      <c r="J137" s="103" t="n">
        <v>50</v>
      </c>
      <c r="K137" s="103" t="n">
        <v>30</v>
      </c>
      <c r="L137" s="103" t="s">
        <v>93</v>
      </c>
      <c r="M137" s="103" t="s">
        <v>66</v>
      </c>
      <c r="N137" s="103" t="s">
        <v>77</v>
      </c>
      <c r="O137" s="103" t="n">
        <v>16</v>
      </c>
      <c r="P137" s="103" t="n">
        <v>14.3</v>
      </c>
      <c r="Q137" s="103" t="n">
        <v>4</v>
      </c>
      <c r="R137" s="103" t="s">
        <v>131</v>
      </c>
      <c r="S137" s="103" t="n">
        <v>1722</v>
      </c>
      <c r="T137" s="103" t="n">
        <v>1692</v>
      </c>
      <c r="U137" s="103" t="s">
        <v>808</v>
      </c>
      <c r="V137" s="103" t="n">
        <v>2025</v>
      </c>
    </row>
    <row r="138" customFormat="false" ht="14.25" hidden="false" customHeight="false" outlineLevel="0" collapsed="false">
      <c r="A138" s="103" t="s">
        <v>851</v>
      </c>
      <c r="B138" s="103" t="s">
        <v>476</v>
      </c>
      <c r="C138" s="104" t="n">
        <v>45703</v>
      </c>
      <c r="D138" s="103" t="s">
        <v>111</v>
      </c>
      <c r="E138" s="103" t="n">
        <v>19</v>
      </c>
      <c r="F138" s="103" t="s">
        <v>170</v>
      </c>
      <c r="G138" s="103" t="s">
        <v>85</v>
      </c>
      <c r="H138" s="103" t="n">
        <v>4.7</v>
      </c>
      <c r="I138" s="103" t="n">
        <v>1796</v>
      </c>
      <c r="J138" s="103" t="n">
        <v>30</v>
      </c>
      <c r="K138" s="103" t="n">
        <v>30</v>
      </c>
      <c r="L138" s="103" t="s">
        <v>93</v>
      </c>
      <c r="M138" s="103" t="s">
        <v>66</v>
      </c>
      <c r="N138" s="103" t="s">
        <v>77</v>
      </c>
      <c r="O138" s="103" t="n">
        <v>66</v>
      </c>
      <c r="P138" s="103" t="n">
        <v>3.1</v>
      </c>
      <c r="Q138" s="103" t="n">
        <v>1</v>
      </c>
      <c r="R138" s="103" t="s">
        <v>141</v>
      </c>
      <c r="S138" s="103" t="n">
        <v>1826</v>
      </c>
      <c r="T138" s="103" t="n">
        <v>1796</v>
      </c>
      <c r="U138" s="103" t="s">
        <v>808</v>
      </c>
      <c r="V138" s="103" t="n">
        <v>2025</v>
      </c>
    </row>
    <row r="139" customFormat="false" ht="14.25" hidden="false" customHeight="false" outlineLevel="0" collapsed="false">
      <c r="A139" s="103" t="s">
        <v>852</v>
      </c>
      <c r="B139" s="103" t="s">
        <v>477</v>
      </c>
      <c r="C139" s="104" t="n">
        <v>45703</v>
      </c>
      <c r="D139" s="103" t="s">
        <v>102</v>
      </c>
      <c r="E139" s="103" t="n">
        <v>18</v>
      </c>
      <c r="F139" s="103" t="s">
        <v>171</v>
      </c>
      <c r="G139" s="103" t="s">
        <v>89</v>
      </c>
      <c r="H139" s="103" t="n">
        <v>4.4</v>
      </c>
      <c r="I139" s="103" t="n">
        <v>175</v>
      </c>
      <c r="J139" s="103" t="n">
        <v>0</v>
      </c>
      <c r="K139" s="103" t="n">
        <v>200</v>
      </c>
      <c r="L139" s="103" t="s">
        <v>94</v>
      </c>
      <c r="M139" s="103" t="s">
        <v>67</v>
      </c>
      <c r="N139" s="103" t="s">
        <v>77</v>
      </c>
      <c r="O139" s="103" t="n">
        <v>19</v>
      </c>
      <c r="P139" s="103" t="n">
        <v>11</v>
      </c>
      <c r="Q139" s="103" t="n">
        <v>3</v>
      </c>
      <c r="R139" s="103" t="s">
        <v>133</v>
      </c>
      <c r="S139" s="103" t="n">
        <v>175</v>
      </c>
      <c r="T139" s="103" t="n">
        <v>0</v>
      </c>
      <c r="U139" s="103" t="s">
        <v>808</v>
      </c>
      <c r="V139" s="103" t="n">
        <v>2025</v>
      </c>
    </row>
    <row r="140" customFormat="false" ht="14.25" hidden="false" customHeight="false" outlineLevel="0" collapsed="false">
      <c r="A140" s="103" t="s">
        <v>853</v>
      </c>
      <c r="B140" s="103" t="s">
        <v>478</v>
      </c>
      <c r="C140" s="104" t="n">
        <v>45704</v>
      </c>
      <c r="D140" s="103" t="s">
        <v>100</v>
      </c>
      <c r="E140" s="103" t="n">
        <v>22</v>
      </c>
      <c r="F140" s="103" t="s">
        <v>171</v>
      </c>
      <c r="G140" s="103" t="s">
        <v>82</v>
      </c>
      <c r="H140" s="103" t="n">
        <v>4.3</v>
      </c>
      <c r="I140" s="103" t="n">
        <v>516</v>
      </c>
      <c r="J140" s="103" t="n">
        <v>20</v>
      </c>
      <c r="K140" s="103" t="n">
        <v>20</v>
      </c>
      <c r="L140" s="103" t="s">
        <v>94</v>
      </c>
      <c r="M140" s="103" t="s">
        <v>67</v>
      </c>
      <c r="N140" s="103" t="s">
        <v>77</v>
      </c>
      <c r="O140" s="103" t="n">
        <v>25</v>
      </c>
      <c r="P140" s="103" t="n">
        <v>12.3</v>
      </c>
      <c r="Q140" s="103" t="n">
        <v>3</v>
      </c>
      <c r="R140" s="103" t="s">
        <v>131</v>
      </c>
      <c r="S140" s="103" t="n">
        <v>536</v>
      </c>
      <c r="T140" s="103" t="n">
        <v>516</v>
      </c>
      <c r="U140" s="103" t="s">
        <v>808</v>
      </c>
      <c r="V140" s="103" t="n">
        <v>2025</v>
      </c>
    </row>
    <row r="141" customFormat="false" ht="14.25" hidden="false" customHeight="false" outlineLevel="0" collapsed="false">
      <c r="A141" s="103" t="s">
        <v>854</v>
      </c>
      <c r="B141" s="103" t="s">
        <v>479</v>
      </c>
      <c r="C141" s="104" t="n">
        <v>45704</v>
      </c>
      <c r="D141" s="103" t="s">
        <v>102</v>
      </c>
      <c r="E141" s="103" t="n">
        <v>37</v>
      </c>
      <c r="F141" s="103" t="s">
        <v>171</v>
      </c>
      <c r="G141" s="103" t="s">
        <v>89</v>
      </c>
      <c r="H141" s="103" t="n">
        <v>3.7</v>
      </c>
      <c r="I141" s="103" t="n">
        <v>641</v>
      </c>
      <c r="J141" s="103" t="n">
        <v>50</v>
      </c>
      <c r="K141" s="103" t="n">
        <v>10</v>
      </c>
      <c r="L141" s="103" t="s">
        <v>96</v>
      </c>
      <c r="M141" s="103" t="s">
        <v>65</v>
      </c>
      <c r="N141" s="103" t="s">
        <v>77</v>
      </c>
      <c r="O141" s="103" t="n">
        <v>39</v>
      </c>
      <c r="P141" s="103" t="n">
        <v>10.3</v>
      </c>
      <c r="Q141" s="103" t="n">
        <v>2</v>
      </c>
      <c r="R141" s="103" t="s">
        <v>132</v>
      </c>
      <c r="S141" s="103" t="n">
        <v>691</v>
      </c>
      <c r="T141" s="103" t="n">
        <v>681</v>
      </c>
      <c r="U141" s="103" t="s">
        <v>808</v>
      </c>
      <c r="V141" s="103" t="n">
        <v>2025</v>
      </c>
    </row>
    <row r="142" customFormat="false" ht="14.25" hidden="false" customHeight="false" outlineLevel="0" collapsed="false">
      <c r="A142" s="103" t="s">
        <v>855</v>
      </c>
      <c r="B142" s="103" t="s">
        <v>480</v>
      </c>
      <c r="C142" s="104" t="n">
        <v>45704</v>
      </c>
      <c r="D142" s="103" t="s">
        <v>103</v>
      </c>
      <c r="E142" s="103" t="n">
        <v>28</v>
      </c>
      <c r="F142" s="103" t="s">
        <v>170</v>
      </c>
      <c r="G142" s="103" t="s">
        <v>81</v>
      </c>
      <c r="H142" s="103" t="n">
        <v>4.2</v>
      </c>
      <c r="I142" s="103" t="n">
        <v>791</v>
      </c>
      <c r="J142" s="103" t="n">
        <v>30</v>
      </c>
      <c r="K142" s="103" t="n">
        <v>200</v>
      </c>
      <c r="L142" s="103" t="s">
        <v>93</v>
      </c>
      <c r="M142" s="103" t="s">
        <v>65</v>
      </c>
      <c r="N142" s="103" t="s">
        <v>77</v>
      </c>
      <c r="O142" s="103" t="n">
        <v>49</v>
      </c>
      <c r="P142" s="103" t="n">
        <v>9.3</v>
      </c>
      <c r="Q142" s="103" t="n">
        <v>5</v>
      </c>
      <c r="R142" s="103" t="s">
        <v>141</v>
      </c>
      <c r="S142" s="103" t="n">
        <v>821</v>
      </c>
      <c r="T142" s="103" t="n">
        <v>621</v>
      </c>
      <c r="U142" s="103" t="s">
        <v>808</v>
      </c>
      <c r="V142" s="103" t="n">
        <v>2025</v>
      </c>
    </row>
    <row r="143" customFormat="false" ht="14.25" hidden="false" customHeight="false" outlineLevel="0" collapsed="false">
      <c r="A143" s="103" t="s">
        <v>856</v>
      </c>
      <c r="B143" s="103" t="s">
        <v>481</v>
      </c>
      <c r="C143" s="104" t="n">
        <v>45705</v>
      </c>
      <c r="D143" s="103" t="s">
        <v>102</v>
      </c>
      <c r="E143" s="103" t="n">
        <v>59</v>
      </c>
      <c r="F143" s="103" t="s">
        <v>170</v>
      </c>
      <c r="G143" s="103" t="s">
        <v>83</v>
      </c>
      <c r="H143" s="103" t="n">
        <v>3.9</v>
      </c>
      <c r="I143" s="103" t="n">
        <v>527</v>
      </c>
      <c r="J143" s="103" t="n">
        <v>40</v>
      </c>
      <c r="K143" s="103" t="n">
        <v>200</v>
      </c>
      <c r="L143" s="103" t="s">
        <v>93</v>
      </c>
      <c r="M143" s="103" t="s">
        <v>67</v>
      </c>
      <c r="N143" s="103" t="s">
        <v>77</v>
      </c>
      <c r="O143" s="103" t="n">
        <v>49</v>
      </c>
      <c r="P143" s="103" t="n">
        <v>8.7</v>
      </c>
      <c r="Q143" s="103" t="n">
        <v>5</v>
      </c>
      <c r="R143" s="103" t="s">
        <v>131</v>
      </c>
      <c r="S143" s="103" t="n">
        <v>567</v>
      </c>
      <c r="T143" s="103" t="n">
        <v>367</v>
      </c>
      <c r="U143" s="103" t="s">
        <v>808</v>
      </c>
      <c r="V143" s="103" t="n">
        <v>2025</v>
      </c>
    </row>
    <row r="144" customFormat="false" ht="14.25" hidden="false" customHeight="false" outlineLevel="0" collapsed="false">
      <c r="A144" s="103" t="s">
        <v>857</v>
      </c>
      <c r="B144" s="103" t="s">
        <v>482</v>
      </c>
      <c r="C144" s="104" t="n">
        <v>45705</v>
      </c>
      <c r="D144" s="103" t="s">
        <v>100</v>
      </c>
      <c r="E144" s="103" t="n">
        <v>19</v>
      </c>
      <c r="F144" s="103" t="s">
        <v>170</v>
      </c>
      <c r="G144" s="103" t="s">
        <v>85</v>
      </c>
      <c r="H144" s="103" t="n">
        <v>3</v>
      </c>
      <c r="I144" s="103" t="n">
        <v>462</v>
      </c>
      <c r="J144" s="103" t="n">
        <v>30</v>
      </c>
      <c r="K144" s="103" t="n">
        <v>0</v>
      </c>
      <c r="L144" s="103" t="s">
        <v>94</v>
      </c>
      <c r="M144" s="103" t="s">
        <v>66</v>
      </c>
      <c r="N144" s="103" t="s">
        <v>77</v>
      </c>
      <c r="O144" s="103" t="n">
        <v>36</v>
      </c>
      <c r="P144" s="103" t="n">
        <v>13</v>
      </c>
      <c r="Q144" s="103" t="n">
        <v>4</v>
      </c>
      <c r="R144" s="103" t="s">
        <v>136</v>
      </c>
      <c r="S144" s="103" t="n">
        <v>492</v>
      </c>
      <c r="T144" s="103" t="n">
        <v>492</v>
      </c>
      <c r="U144" s="103" t="s">
        <v>808</v>
      </c>
      <c r="V144" s="103" t="n">
        <v>2025</v>
      </c>
    </row>
    <row r="145" customFormat="false" ht="14.25" hidden="false" customHeight="false" outlineLevel="0" collapsed="false">
      <c r="A145" s="103" t="s">
        <v>858</v>
      </c>
      <c r="B145" s="103" t="s">
        <v>483</v>
      </c>
      <c r="C145" s="104" t="n">
        <v>45705</v>
      </c>
      <c r="D145" s="103" t="s">
        <v>103</v>
      </c>
      <c r="E145" s="103" t="n">
        <v>20</v>
      </c>
      <c r="F145" s="103" t="s">
        <v>170</v>
      </c>
      <c r="G145" s="103" t="s">
        <v>85</v>
      </c>
      <c r="H145" s="103" t="n">
        <v>3</v>
      </c>
      <c r="I145" s="103" t="n">
        <v>1724</v>
      </c>
      <c r="J145" s="103" t="n">
        <v>20</v>
      </c>
      <c r="K145" s="103" t="n">
        <v>75</v>
      </c>
      <c r="L145" s="103" t="s">
        <v>94</v>
      </c>
      <c r="M145" s="103" t="s">
        <v>65</v>
      </c>
      <c r="N145" s="103" t="s">
        <v>77</v>
      </c>
      <c r="O145" s="103" t="n">
        <v>51</v>
      </c>
      <c r="P145" s="103" t="n">
        <v>12.4</v>
      </c>
      <c r="Q145" s="103" t="n">
        <v>5</v>
      </c>
      <c r="R145" s="103" t="s">
        <v>135</v>
      </c>
      <c r="S145" s="103" t="n">
        <v>1744</v>
      </c>
      <c r="T145" s="103" t="n">
        <v>1669</v>
      </c>
      <c r="U145" s="103" t="s">
        <v>808</v>
      </c>
      <c r="V145" s="103" t="n">
        <v>2025</v>
      </c>
    </row>
    <row r="146" customFormat="false" ht="14.25" hidden="false" customHeight="false" outlineLevel="0" collapsed="false">
      <c r="A146" s="103" t="s">
        <v>859</v>
      </c>
      <c r="B146" s="103" t="s">
        <v>484</v>
      </c>
      <c r="C146" s="104" t="n">
        <v>45706</v>
      </c>
      <c r="D146" s="103" t="s">
        <v>104</v>
      </c>
      <c r="E146" s="103" t="n">
        <v>40</v>
      </c>
      <c r="F146" s="103" t="s">
        <v>171</v>
      </c>
      <c r="G146" s="103" t="s">
        <v>84</v>
      </c>
      <c r="H146" s="103" t="n">
        <v>3.2</v>
      </c>
      <c r="I146" s="103" t="n">
        <v>1663</v>
      </c>
      <c r="J146" s="103" t="n">
        <v>60</v>
      </c>
      <c r="K146" s="103" t="n">
        <v>150</v>
      </c>
      <c r="L146" s="103" t="s">
        <v>94</v>
      </c>
      <c r="M146" s="103" t="s">
        <v>67</v>
      </c>
      <c r="N146" s="103" t="s">
        <v>78</v>
      </c>
      <c r="O146" s="103" t="n">
        <v>36</v>
      </c>
      <c r="P146" s="103" t="n">
        <v>2.3</v>
      </c>
      <c r="Q146" s="103" t="n">
        <v>3</v>
      </c>
      <c r="R146" s="103" t="s">
        <v>139</v>
      </c>
      <c r="S146" s="103" t="n">
        <v>1723</v>
      </c>
      <c r="T146" s="103" t="n">
        <v>1573</v>
      </c>
      <c r="U146" s="103" t="s">
        <v>808</v>
      </c>
      <c r="V146" s="103" t="n">
        <v>2025</v>
      </c>
    </row>
    <row r="147" customFormat="false" ht="14.25" hidden="false" customHeight="false" outlineLevel="0" collapsed="false">
      <c r="A147" s="103" t="s">
        <v>860</v>
      </c>
      <c r="B147" s="103" t="s">
        <v>485</v>
      </c>
      <c r="C147" s="104" t="n">
        <v>45706</v>
      </c>
      <c r="D147" s="103" t="s">
        <v>108</v>
      </c>
      <c r="E147" s="103" t="n">
        <v>29</v>
      </c>
      <c r="F147" s="103" t="s">
        <v>170</v>
      </c>
      <c r="G147" s="103" t="s">
        <v>88</v>
      </c>
      <c r="H147" s="103" t="n">
        <v>4.8</v>
      </c>
      <c r="I147" s="103" t="n">
        <v>199</v>
      </c>
      <c r="J147" s="103" t="n">
        <v>20</v>
      </c>
      <c r="K147" s="103" t="n">
        <v>20</v>
      </c>
      <c r="L147" s="103" t="s">
        <v>96</v>
      </c>
      <c r="M147" s="103" t="s">
        <v>65</v>
      </c>
      <c r="N147" s="103" t="s">
        <v>78</v>
      </c>
      <c r="O147" s="103" t="n">
        <v>69</v>
      </c>
      <c r="P147" s="103" t="n">
        <v>12.8</v>
      </c>
      <c r="Q147" s="103" t="n">
        <v>4</v>
      </c>
      <c r="R147" s="103" t="s">
        <v>134</v>
      </c>
      <c r="S147" s="103" t="n">
        <v>219</v>
      </c>
      <c r="T147" s="103" t="n">
        <v>199</v>
      </c>
      <c r="U147" s="103" t="s">
        <v>808</v>
      </c>
      <c r="V147" s="103" t="n">
        <v>2025</v>
      </c>
    </row>
    <row r="148" customFormat="false" ht="14.25" hidden="false" customHeight="false" outlineLevel="0" collapsed="false">
      <c r="A148" s="103" t="s">
        <v>861</v>
      </c>
      <c r="B148" s="103" t="s">
        <v>486</v>
      </c>
      <c r="C148" s="104" t="n">
        <v>45706</v>
      </c>
      <c r="D148" s="103" t="s">
        <v>108</v>
      </c>
      <c r="E148" s="103" t="n">
        <v>37</v>
      </c>
      <c r="F148" s="103" t="s">
        <v>170</v>
      </c>
      <c r="G148" s="103" t="s">
        <v>87</v>
      </c>
      <c r="H148" s="103" t="n">
        <v>3.9</v>
      </c>
      <c r="I148" s="103" t="n">
        <v>689</v>
      </c>
      <c r="J148" s="103" t="n">
        <v>0</v>
      </c>
      <c r="K148" s="103" t="n">
        <v>200</v>
      </c>
      <c r="L148" s="103" t="s">
        <v>93</v>
      </c>
      <c r="M148" s="103" t="s">
        <v>65</v>
      </c>
      <c r="N148" s="103" t="s">
        <v>77</v>
      </c>
      <c r="O148" s="103" t="n">
        <v>25</v>
      </c>
      <c r="P148" s="103" t="n">
        <v>6.5</v>
      </c>
      <c r="Q148" s="103" t="n">
        <v>3</v>
      </c>
      <c r="R148" s="103" t="s">
        <v>140</v>
      </c>
      <c r="S148" s="103" t="n">
        <v>689</v>
      </c>
      <c r="T148" s="103" t="n">
        <v>489</v>
      </c>
      <c r="U148" s="103" t="s">
        <v>808</v>
      </c>
      <c r="V148" s="103" t="n">
        <v>2025</v>
      </c>
    </row>
    <row r="149" customFormat="false" ht="14.25" hidden="false" customHeight="false" outlineLevel="0" collapsed="false">
      <c r="A149" s="103" t="s">
        <v>862</v>
      </c>
      <c r="B149" s="103" t="s">
        <v>487</v>
      </c>
      <c r="C149" s="104" t="n">
        <v>45707</v>
      </c>
      <c r="D149" s="103" t="s">
        <v>111</v>
      </c>
      <c r="E149" s="103" t="n">
        <v>22</v>
      </c>
      <c r="F149" s="103" t="s">
        <v>171</v>
      </c>
      <c r="G149" s="103" t="s">
        <v>87</v>
      </c>
      <c r="H149" s="103" t="n">
        <v>4.3</v>
      </c>
      <c r="I149" s="103" t="n">
        <v>801</v>
      </c>
      <c r="J149" s="103" t="n">
        <v>0</v>
      </c>
      <c r="K149" s="103" t="n">
        <v>10</v>
      </c>
      <c r="L149" s="103" t="s">
        <v>96</v>
      </c>
      <c r="M149" s="103" t="s">
        <v>67</v>
      </c>
      <c r="N149" s="103" t="s">
        <v>77</v>
      </c>
      <c r="O149" s="103" t="n">
        <v>46</v>
      </c>
      <c r="P149" s="103" t="n">
        <v>4.2</v>
      </c>
      <c r="Q149" s="103" t="n">
        <v>5</v>
      </c>
      <c r="R149" s="103" t="s">
        <v>136</v>
      </c>
      <c r="S149" s="103" t="n">
        <v>801</v>
      </c>
      <c r="T149" s="103" t="n">
        <v>791</v>
      </c>
      <c r="U149" s="103" t="s">
        <v>808</v>
      </c>
      <c r="V149" s="103" t="n">
        <v>2025</v>
      </c>
    </row>
    <row r="150" customFormat="false" ht="14.25" hidden="false" customHeight="false" outlineLevel="0" collapsed="false">
      <c r="A150" s="103" t="s">
        <v>863</v>
      </c>
      <c r="B150" s="103" t="s">
        <v>488</v>
      </c>
      <c r="C150" s="104" t="n">
        <v>45707</v>
      </c>
      <c r="D150" s="103" t="s">
        <v>109</v>
      </c>
      <c r="E150" s="103" t="n">
        <v>54</v>
      </c>
      <c r="F150" s="103" t="s">
        <v>172</v>
      </c>
      <c r="G150" s="103" t="s">
        <v>86</v>
      </c>
      <c r="H150" s="103" t="n">
        <v>3.4</v>
      </c>
      <c r="I150" s="103" t="n">
        <v>522</v>
      </c>
      <c r="J150" s="103" t="n">
        <v>20</v>
      </c>
      <c r="K150" s="103" t="n">
        <v>75</v>
      </c>
      <c r="L150" s="103" t="s">
        <v>94</v>
      </c>
      <c r="M150" s="103" t="s">
        <v>65</v>
      </c>
      <c r="N150" s="103" t="s">
        <v>78</v>
      </c>
      <c r="O150" s="103" t="n">
        <v>49</v>
      </c>
      <c r="P150" s="103" t="n">
        <v>13.1</v>
      </c>
      <c r="Q150" s="103" t="n">
        <v>4</v>
      </c>
      <c r="R150" s="103" t="s">
        <v>131</v>
      </c>
      <c r="S150" s="103" t="n">
        <v>542</v>
      </c>
      <c r="T150" s="103" t="n">
        <v>467</v>
      </c>
      <c r="U150" s="103" t="s">
        <v>808</v>
      </c>
      <c r="V150" s="103" t="n">
        <v>2025</v>
      </c>
    </row>
    <row r="151" customFormat="false" ht="14.25" hidden="false" customHeight="false" outlineLevel="0" collapsed="false">
      <c r="A151" s="103" t="s">
        <v>864</v>
      </c>
      <c r="B151" s="103" t="s">
        <v>489</v>
      </c>
      <c r="C151" s="104" t="n">
        <v>45707</v>
      </c>
      <c r="D151" s="103" t="s">
        <v>104</v>
      </c>
      <c r="E151" s="103" t="n">
        <v>55</v>
      </c>
      <c r="F151" s="103" t="s">
        <v>170</v>
      </c>
      <c r="G151" s="103" t="s">
        <v>90</v>
      </c>
      <c r="H151" s="103" t="n">
        <v>3.5</v>
      </c>
      <c r="I151" s="103" t="n">
        <v>1177</v>
      </c>
      <c r="J151" s="103" t="n">
        <v>50</v>
      </c>
      <c r="K151" s="103" t="n">
        <v>0</v>
      </c>
      <c r="L151" s="103" t="s">
        <v>93</v>
      </c>
      <c r="M151" s="103" t="s">
        <v>65</v>
      </c>
      <c r="N151" s="103" t="s">
        <v>77</v>
      </c>
      <c r="O151" s="103" t="n">
        <v>45</v>
      </c>
      <c r="P151" s="103" t="n">
        <v>6.8</v>
      </c>
      <c r="Q151" s="103" t="n">
        <v>5</v>
      </c>
      <c r="R151" s="103" t="s">
        <v>133</v>
      </c>
      <c r="S151" s="103" t="n">
        <v>1227</v>
      </c>
      <c r="T151" s="103" t="n">
        <v>1227</v>
      </c>
      <c r="U151" s="103" t="s">
        <v>808</v>
      </c>
      <c r="V151" s="103" t="n">
        <v>2025</v>
      </c>
    </row>
    <row r="152" customFormat="false" ht="14.25" hidden="false" customHeight="false" outlineLevel="0" collapsed="false">
      <c r="A152" s="103" t="s">
        <v>865</v>
      </c>
      <c r="B152" s="103" t="s">
        <v>490</v>
      </c>
      <c r="C152" s="104" t="n">
        <v>45708</v>
      </c>
      <c r="D152" s="103" t="s">
        <v>104</v>
      </c>
      <c r="E152" s="103" t="n">
        <v>47</v>
      </c>
      <c r="F152" s="103" t="s">
        <v>170</v>
      </c>
      <c r="G152" s="103" t="s">
        <v>83</v>
      </c>
      <c r="H152" s="103" t="n">
        <v>2.8</v>
      </c>
      <c r="I152" s="103" t="n">
        <v>1196</v>
      </c>
      <c r="J152" s="103" t="n">
        <v>50</v>
      </c>
      <c r="K152" s="103" t="n">
        <v>100</v>
      </c>
      <c r="L152" s="103" t="s">
        <v>96</v>
      </c>
      <c r="M152" s="103" t="s">
        <v>65</v>
      </c>
      <c r="N152" s="103" t="s">
        <v>78</v>
      </c>
      <c r="O152" s="103" t="n">
        <v>59</v>
      </c>
      <c r="P152" s="103" t="n">
        <v>12.2</v>
      </c>
      <c r="Q152" s="103" t="n">
        <v>5</v>
      </c>
      <c r="R152" s="103" t="s">
        <v>137</v>
      </c>
      <c r="S152" s="103" t="n">
        <v>1246</v>
      </c>
      <c r="T152" s="103" t="n">
        <v>1146</v>
      </c>
      <c r="U152" s="103" t="s">
        <v>808</v>
      </c>
      <c r="V152" s="103" t="n">
        <v>2025</v>
      </c>
    </row>
    <row r="153" customFormat="false" ht="14.25" hidden="false" customHeight="false" outlineLevel="0" collapsed="false">
      <c r="A153" s="103" t="s">
        <v>866</v>
      </c>
      <c r="B153" s="103" t="s">
        <v>491</v>
      </c>
      <c r="C153" s="104" t="n">
        <v>45708</v>
      </c>
      <c r="D153" s="103" t="s">
        <v>101</v>
      </c>
      <c r="E153" s="103" t="n">
        <v>26</v>
      </c>
      <c r="F153" s="103" t="s">
        <v>170</v>
      </c>
      <c r="G153" s="103" t="s">
        <v>81</v>
      </c>
      <c r="H153" s="103" t="n">
        <v>2.9</v>
      </c>
      <c r="I153" s="103" t="n">
        <v>1549</v>
      </c>
      <c r="J153" s="103" t="n">
        <v>40</v>
      </c>
      <c r="K153" s="103" t="n">
        <v>20</v>
      </c>
      <c r="L153" s="103" t="s">
        <v>95</v>
      </c>
      <c r="M153" s="103" t="s">
        <v>65</v>
      </c>
      <c r="N153" s="103" t="s">
        <v>77</v>
      </c>
      <c r="O153" s="103" t="n">
        <v>67</v>
      </c>
      <c r="P153" s="103" t="n">
        <v>4.3</v>
      </c>
      <c r="Q153" s="103" t="n">
        <v>4</v>
      </c>
      <c r="R153" s="103" t="s">
        <v>139</v>
      </c>
      <c r="S153" s="103" t="n">
        <v>1589</v>
      </c>
      <c r="T153" s="103" t="n">
        <v>1569</v>
      </c>
      <c r="U153" s="103" t="s">
        <v>808</v>
      </c>
      <c r="V153" s="103" t="n">
        <v>2025</v>
      </c>
    </row>
    <row r="154" customFormat="false" ht="14.25" hidden="false" customHeight="false" outlineLevel="0" collapsed="false">
      <c r="A154" s="103" t="s">
        <v>867</v>
      </c>
      <c r="B154" s="103" t="s">
        <v>492</v>
      </c>
      <c r="C154" s="104" t="n">
        <v>45708</v>
      </c>
      <c r="D154" s="103" t="s">
        <v>102</v>
      </c>
      <c r="E154" s="103" t="n">
        <v>51</v>
      </c>
      <c r="F154" s="103" t="s">
        <v>170</v>
      </c>
      <c r="G154" s="103" t="s">
        <v>85</v>
      </c>
      <c r="H154" s="103" t="n">
        <v>4.6</v>
      </c>
      <c r="I154" s="103" t="n">
        <v>1365</v>
      </c>
      <c r="J154" s="103" t="n">
        <v>0</v>
      </c>
      <c r="K154" s="103" t="n">
        <v>100</v>
      </c>
      <c r="L154" s="103" t="s">
        <v>93</v>
      </c>
      <c r="M154" s="103" t="s">
        <v>67</v>
      </c>
      <c r="N154" s="103" t="s">
        <v>78</v>
      </c>
      <c r="O154" s="103" t="n">
        <v>22</v>
      </c>
      <c r="P154" s="103" t="n">
        <v>0.6</v>
      </c>
      <c r="Q154" s="103" t="n">
        <v>5</v>
      </c>
      <c r="R154" s="103" t="s">
        <v>140</v>
      </c>
      <c r="S154" s="103" t="n">
        <v>1365</v>
      </c>
      <c r="T154" s="103" t="n">
        <v>1265</v>
      </c>
      <c r="U154" s="103" t="s">
        <v>808</v>
      </c>
      <c r="V154" s="103" t="n">
        <v>2025</v>
      </c>
    </row>
    <row r="155" customFormat="false" ht="14.25" hidden="false" customHeight="false" outlineLevel="0" collapsed="false">
      <c r="A155" s="103" t="s">
        <v>868</v>
      </c>
      <c r="B155" s="103" t="s">
        <v>493</v>
      </c>
      <c r="C155" s="104" t="n">
        <v>45709</v>
      </c>
      <c r="D155" s="103" t="s">
        <v>108</v>
      </c>
      <c r="E155" s="103" t="n">
        <v>52</v>
      </c>
      <c r="F155" s="103" t="s">
        <v>170</v>
      </c>
      <c r="G155" s="103" t="s">
        <v>88</v>
      </c>
      <c r="H155" s="103" t="n">
        <v>4</v>
      </c>
      <c r="I155" s="103" t="n">
        <v>1032</v>
      </c>
      <c r="J155" s="103" t="n">
        <v>40</v>
      </c>
      <c r="K155" s="103" t="n">
        <v>30</v>
      </c>
      <c r="L155" s="103" t="s">
        <v>93</v>
      </c>
      <c r="M155" s="103" t="s">
        <v>65</v>
      </c>
      <c r="N155" s="103" t="s">
        <v>77</v>
      </c>
      <c r="O155" s="103" t="n">
        <v>34</v>
      </c>
      <c r="P155" s="103" t="n">
        <v>7.7</v>
      </c>
      <c r="Q155" s="103" t="n">
        <v>5</v>
      </c>
      <c r="R155" s="103" t="s">
        <v>136</v>
      </c>
      <c r="S155" s="103" t="n">
        <v>1072</v>
      </c>
      <c r="T155" s="103" t="n">
        <v>1042</v>
      </c>
      <c r="U155" s="103" t="s">
        <v>808</v>
      </c>
      <c r="V155" s="103" t="n">
        <v>2025</v>
      </c>
    </row>
    <row r="156" customFormat="false" ht="14.25" hidden="false" customHeight="false" outlineLevel="0" collapsed="false">
      <c r="A156" s="103" t="s">
        <v>869</v>
      </c>
      <c r="B156" s="103" t="s">
        <v>494</v>
      </c>
      <c r="C156" s="104" t="n">
        <v>45709</v>
      </c>
      <c r="D156" s="103" t="s">
        <v>100</v>
      </c>
      <c r="E156" s="103" t="n">
        <v>39</v>
      </c>
      <c r="F156" s="103" t="s">
        <v>171</v>
      </c>
      <c r="G156" s="103" t="s">
        <v>89</v>
      </c>
      <c r="H156" s="103" t="n">
        <v>3.3</v>
      </c>
      <c r="I156" s="103" t="n">
        <v>1218</v>
      </c>
      <c r="J156" s="103" t="n">
        <v>0</v>
      </c>
      <c r="K156" s="103" t="n">
        <v>200</v>
      </c>
      <c r="L156" s="103" t="s">
        <v>93</v>
      </c>
      <c r="M156" s="103" t="s">
        <v>65</v>
      </c>
      <c r="N156" s="103" t="s">
        <v>78</v>
      </c>
      <c r="O156" s="103" t="n">
        <v>56</v>
      </c>
      <c r="P156" s="103" t="n">
        <v>2</v>
      </c>
      <c r="Q156" s="103" t="n">
        <v>4</v>
      </c>
      <c r="R156" s="103" t="s">
        <v>137</v>
      </c>
      <c r="S156" s="103" t="n">
        <v>1218</v>
      </c>
      <c r="T156" s="103" t="n">
        <v>1018</v>
      </c>
      <c r="U156" s="103" t="s">
        <v>808</v>
      </c>
      <c r="V156" s="103" t="n">
        <v>2025</v>
      </c>
    </row>
    <row r="157" customFormat="false" ht="14.25" hidden="false" customHeight="false" outlineLevel="0" collapsed="false">
      <c r="A157" s="103" t="s">
        <v>870</v>
      </c>
      <c r="B157" s="103" t="s">
        <v>495</v>
      </c>
      <c r="C157" s="104" t="n">
        <v>45709</v>
      </c>
      <c r="D157" s="103" t="s">
        <v>106</v>
      </c>
      <c r="E157" s="103" t="n">
        <v>41</v>
      </c>
      <c r="F157" s="103" t="s">
        <v>171</v>
      </c>
      <c r="G157" s="103" t="s">
        <v>83</v>
      </c>
      <c r="H157" s="103" t="n">
        <v>4.5</v>
      </c>
      <c r="I157" s="103" t="n">
        <v>580</v>
      </c>
      <c r="J157" s="103" t="n">
        <v>20</v>
      </c>
      <c r="K157" s="103" t="n">
        <v>50</v>
      </c>
      <c r="L157" s="103" t="s">
        <v>94</v>
      </c>
      <c r="M157" s="103" t="s">
        <v>65</v>
      </c>
      <c r="N157" s="103" t="s">
        <v>77</v>
      </c>
      <c r="O157" s="103" t="n">
        <v>48</v>
      </c>
      <c r="P157" s="103" t="n">
        <v>11.4</v>
      </c>
      <c r="Q157" s="103" t="n">
        <v>4</v>
      </c>
      <c r="R157" s="103" t="s">
        <v>137</v>
      </c>
      <c r="S157" s="103" t="n">
        <v>600</v>
      </c>
      <c r="T157" s="103" t="n">
        <v>550</v>
      </c>
      <c r="U157" s="103" t="s">
        <v>808</v>
      </c>
      <c r="V157" s="103" t="n">
        <v>2025</v>
      </c>
    </row>
    <row r="158" customFormat="false" ht="14.25" hidden="false" customHeight="false" outlineLevel="0" collapsed="false">
      <c r="A158" s="103" t="s">
        <v>871</v>
      </c>
      <c r="B158" s="103" t="s">
        <v>496</v>
      </c>
      <c r="C158" s="104" t="n">
        <v>45710</v>
      </c>
      <c r="D158" s="103" t="s">
        <v>106</v>
      </c>
      <c r="E158" s="103" t="n">
        <v>34</v>
      </c>
      <c r="F158" s="103" t="s">
        <v>170</v>
      </c>
      <c r="G158" s="103" t="s">
        <v>86</v>
      </c>
      <c r="H158" s="103" t="n">
        <v>3.1</v>
      </c>
      <c r="I158" s="103" t="n">
        <v>1116</v>
      </c>
      <c r="J158" s="103" t="n">
        <v>50</v>
      </c>
      <c r="K158" s="103" t="n">
        <v>20</v>
      </c>
      <c r="L158" s="103" t="s">
        <v>93</v>
      </c>
      <c r="M158" s="103" t="s">
        <v>65</v>
      </c>
      <c r="N158" s="103" t="s">
        <v>77</v>
      </c>
      <c r="O158" s="103" t="n">
        <v>18</v>
      </c>
      <c r="P158" s="103" t="n">
        <v>4.5</v>
      </c>
      <c r="Q158" s="103" t="n">
        <v>5</v>
      </c>
      <c r="R158" s="103" t="s">
        <v>137</v>
      </c>
      <c r="S158" s="103" t="n">
        <v>1166</v>
      </c>
      <c r="T158" s="103" t="n">
        <v>1146</v>
      </c>
      <c r="U158" s="103" t="s">
        <v>808</v>
      </c>
      <c r="V158" s="103" t="n">
        <v>2025</v>
      </c>
    </row>
    <row r="159" customFormat="false" ht="14.25" hidden="false" customHeight="false" outlineLevel="0" collapsed="false">
      <c r="A159" s="103" t="s">
        <v>872</v>
      </c>
      <c r="B159" s="103" t="s">
        <v>497</v>
      </c>
      <c r="C159" s="104" t="n">
        <v>45710</v>
      </c>
      <c r="D159" s="103" t="s">
        <v>103</v>
      </c>
      <c r="E159" s="103" t="n">
        <v>27</v>
      </c>
      <c r="F159" s="103" t="s">
        <v>171</v>
      </c>
      <c r="G159" s="103" t="s">
        <v>83</v>
      </c>
      <c r="H159" s="103" t="n">
        <v>4.9</v>
      </c>
      <c r="I159" s="103" t="n">
        <v>942</v>
      </c>
      <c r="J159" s="103" t="n">
        <v>50</v>
      </c>
      <c r="K159" s="103" t="n">
        <v>150</v>
      </c>
      <c r="L159" s="103" t="s">
        <v>93</v>
      </c>
      <c r="M159" s="103" t="s">
        <v>65</v>
      </c>
      <c r="N159" s="103" t="s">
        <v>78</v>
      </c>
      <c r="O159" s="103" t="n">
        <v>32</v>
      </c>
      <c r="P159" s="103" t="n">
        <v>6.9</v>
      </c>
      <c r="Q159" s="103" t="n">
        <v>5</v>
      </c>
      <c r="R159" s="103" t="s">
        <v>139</v>
      </c>
      <c r="S159" s="103" t="n">
        <v>992</v>
      </c>
      <c r="T159" s="103" t="n">
        <v>842</v>
      </c>
      <c r="U159" s="103" t="s">
        <v>808</v>
      </c>
      <c r="V159" s="103" t="n">
        <v>2025</v>
      </c>
    </row>
    <row r="160" customFormat="false" ht="14.25" hidden="false" customHeight="false" outlineLevel="0" collapsed="false">
      <c r="A160" s="103" t="s">
        <v>873</v>
      </c>
      <c r="B160" s="103" t="s">
        <v>498</v>
      </c>
      <c r="C160" s="104" t="n">
        <v>45710</v>
      </c>
      <c r="D160" s="103" t="s">
        <v>108</v>
      </c>
      <c r="E160" s="103" t="n">
        <v>47</v>
      </c>
      <c r="F160" s="103" t="s">
        <v>171</v>
      </c>
      <c r="G160" s="103" t="s">
        <v>86</v>
      </c>
      <c r="H160" s="103" t="n">
        <v>3.4</v>
      </c>
      <c r="I160" s="103" t="n">
        <v>344</v>
      </c>
      <c r="J160" s="103" t="n">
        <v>20</v>
      </c>
      <c r="K160" s="103" t="n">
        <v>75</v>
      </c>
      <c r="L160" s="103" t="s">
        <v>93</v>
      </c>
      <c r="M160" s="103" t="s">
        <v>65</v>
      </c>
      <c r="N160" s="103" t="s">
        <v>77</v>
      </c>
      <c r="O160" s="103" t="n">
        <v>65</v>
      </c>
      <c r="P160" s="103" t="n">
        <v>1.8</v>
      </c>
      <c r="Q160" s="103" t="n">
        <v>3</v>
      </c>
      <c r="R160" s="103" t="s">
        <v>135</v>
      </c>
      <c r="S160" s="103" t="n">
        <v>364</v>
      </c>
      <c r="T160" s="103" t="n">
        <v>289</v>
      </c>
      <c r="U160" s="103" t="s">
        <v>808</v>
      </c>
      <c r="V160" s="103" t="n">
        <v>2025</v>
      </c>
    </row>
    <row r="161" customFormat="false" ht="14.25" hidden="false" customHeight="false" outlineLevel="0" collapsed="false">
      <c r="A161" s="103" t="s">
        <v>874</v>
      </c>
      <c r="B161" s="103" t="s">
        <v>499</v>
      </c>
      <c r="C161" s="104" t="n">
        <v>45711</v>
      </c>
      <c r="D161" s="103" t="s">
        <v>108</v>
      </c>
      <c r="E161" s="103" t="n">
        <v>40</v>
      </c>
      <c r="F161" s="103" t="s">
        <v>171</v>
      </c>
      <c r="G161" s="103" t="s">
        <v>85</v>
      </c>
      <c r="H161" s="103" t="n">
        <v>3.3</v>
      </c>
      <c r="I161" s="103" t="n">
        <v>527</v>
      </c>
      <c r="J161" s="103" t="n">
        <v>40</v>
      </c>
      <c r="K161" s="103" t="n">
        <v>10</v>
      </c>
      <c r="L161" s="103" t="s">
        <v>95</v>
      </c>
      <c r="M161" s="103" t="s">
        <v>66</v>
      </c>
      <c r="N161" s="103" t="s">
        <v>77</v>
      </c>
      <c r="O161" s="103" t="n">
        <v>18</v>
      </c>
      <c r="P161" s="103" t="n">
        <v>4.7</v>
      </c>
      <c r="Q161" s="103" t="n">
        <v>4</v>
      </c>
      <c r="R161" s="103" t="s">
        <v>141</v>
      </c>
      <c r="S161" s="103" t="n">
        <v>567</v>
      </c>
      <c r="T161" s="103" t="n">
        <v>557</v>
      </c>
      <c r="U161" s="103" t="s">
        <v>808</v>
      </c>
      <c r="V161" s="103" t="n">
        <v>2025</v>
      </c>
    </row>
    <row r="162" customFormat="false" ht="14.25" hidden="false" customHeight="false" outlineLevel="0" collapsed="false">
      <c r="A162" s="103" t="s">
        <v>875</v>
      </c>
      <c r="B162" s="103" t="s">
        <v>500</v>
      </c>
      <c r="C162" s="104" t="n">
        <v>45711</v>
      </c>
      <c r="D162" s="103" t="s">
        <v>111</v>
      </c>
      <c r="E162" s="103" t="n">
        <v>49</v>
      </c>
      <c r="F162" s="103" t="s">
        <v>171</v>
      </c>
      <c r="G162" s="103" t="s">
        <v>90</v>
      </c>
      <c r="H162" s="103" t="n">
        <v>3.3</v>
      </c>
      <c r="I162" s="103" t="n">
        <v>610</v>
      </c>
      <c r="J162" s="103" t="n">
        <v>40</v>
      </c>
      <c r="K162" s="103" t="n">
        <v>20</v>
      </c>
      <c r="L162" s="103" t="s">
        <v>96</v>
      </c>
      <c r="M162" s="103" t="s">
        <v>65</v>
      </c>
      <c r="N162" s="103" t="s">
        <v>78</v>
      </c>
      <c r="O162" s="103" t="n">
        <v>34</v>
      </c>
      <c r="P162" s="103" t="n">
        <v>11.8</v>
      </c>
      <c r="Q162" s="103" t="n">
        <v>4</v>
      </c>
      <c r="R162" s="103" t="s">
        <v>136</v>
      </c>
      <c r="S162" s="103" t="n">
        <v>650</v>
      </c>
      <c r="T162" s="103" t="n">
        <v>630</v>
      </c>
      <c r="U162" s="103" t="s">
        <v>808</v>
      </c>
      <c r="V162" s="103" t="n">
        <v>2025</v>
      </c>
    </row>
    <row r="163" customFormat="false" ht="14.25" hidden="false" customHeight="false" outlineLevel="0" collapsed="false">
      <c r="A163" s="103" t="s">
        <v>876</v>
      </c>
      <c r="B163" s="103" t="s">
        <v>501</v>
      </c>
      <c r="C163" s="104" t="n">
        <v>45711</v>
      </c>
      <c r="D163" s="103" t="s">
        <v>106</v>
      </c>
      <c r="E163" s="103" t="n">
        <v>34</v>
      </c>
      <c r="F163" s="103" t="s">
        <v>170</v>
      </c>
      <c r="G163" s="103" t="s">
        <v>86</v>
      </c>
      <c r="H163" s="103" t="n">
        <v>2.8</v>
      </c>
      <c r="I163" s="103" t="n">
        <v>1673</v>
      </c>
      <c r="J163" s="103" t="n">
        <v>30</v>
      </c>
      <c r="K163" s="103" t="n">
        <v>150</v>
      </c>
      <c r="L163" s="103" t="s">
        <v>95</v>
      </c>
      <c r="M163" s="103" t="s">
        <v>67</v>
      </c>
      <c r="N163" s="103" t="s">
        <v>77</v>
      </c>
      <c r="O163" s="103" t="n">
        <v>23</v>
      </c>
      <c r="P163" s="103" t="n">
        <v>2.7</v>
      </c>
      <c r="Q163" s="103" t="n">
        <v>4</v>
      </c>
      <c r="R163" s="103" t="s">
        <v>141</v>
      </c>
      <c r="S163" s="103" t="n">
        <v>1703</v>
      </c>
      <c r="T163" s="103" t="n">
        <v>1553</v>
      </c>
      <c r="U163" s="103" t="s">
        <v>808</v>
      </c>
      <c r="V163" s="103" t="n">
        <v>2025</v>
      </c>
    </row>
    <row r="164" customFormat="false" ht="14.25" hidden="false" customHeight="false" outlineLevel="0" collapsed="false">
      <c r="A164" s="103" t="s">
        <v>877</v>
      </c>
      <c r="B164" s="103" t="s">
        <v>502</v>
      </c>
      <c r="C164" s="104" t="n">
        <v>45712</v>
      </c>
      <c r="D164" s="103" t="s">
        <v>108</v>
      </c>
      <c r="E164" s="103" t="n">
        <v>34</v>
      </c>
      <c r="F164" s="103" t="s">
        <v>170</v>
      </c>
      <c r="G164" s="103" t="s">
        <v>85</v>
      </c>
      <c r="H164" s="103" t="n">
        <v>2.8</v>
      </c>
      <c r="I164" s="103" t="n">
        <v>507</v>
      </c>
      <c r="J164" s="103" t="n">
        <v>0</v>
      </c>
      <c r="K164" s="103" t="n">
        <v>100</v>
      </c>
      <c r="L164" s="103" t="s">
        <v>93</v>
      </c>
      <c r="M164" s="103" t="s">
        <v>66</v>
      </c>
      <c r="N164" s="103" t="s">
        <v>77</v>
      </c>
      <c r="O164" s="103" t="n">
        <v>30</v>
      </c>
      <c r="P164" s="103" t="n">
        <v>9.9</v>
      </c>
      <c r="Q164" s="103" t="n">
        <v>3</v>
      </c>
      <c r="R164" s="103" t="s">
        <v>138</v>
      </c>
      <c r="S164" s="103" t="n">
        <v>507</v>
      </c>
      <c r="T164" s="103" t="n">
        <v>407</v>
      </c>
      <c r="U164" s="103" t="s">
        <v>808</v>
      </c>
      <c r="V164" s="103" t="n">
        <v>2025</v>
      </c>
    </row>
    <row r="165" customFormat="false" ht="14.25" hidden="false" customHeight="false" outlineLevel="0" collapsed="false">
      <c r="A165" s="103" t="s">
        <v>878</v>
      </c>
      <c r="B165" s="103" t="s">
        <v>503</v>
      </c>
      <c r="C165" s="104" t="n">
        <v>45712</v>
      </c>
      <c r="D165" s="103" t="s">
        <v>111</v>
      </c>
      <c r="E165" s="103" t="n">
        <v>31</v>
      </c>
      <c r="F165" s="103" t="s">
        <v>171</v>
      </c>
      <c r="G165" s="103" t="s">
        <v>85</v>
      </c>
      <c r="H165" s="103" t="n">
        <v>4.1</v>
      </c>
      <c r="I165" s="103" t="n">
        <v>606</v>
      </c>
      <c r="J165" s="103" t="n">
        <v>40</v>
      </c>
      <c r="K165" s="103" t="n">
        <v>75</v>
      </c>
      <c r="L165" s="103" t="s">
        <v>96</v>
      </c>
      <c r="M165" s="103" t="s">
        <v>67</v>
      </c>
      <c r="N165" s="103" t="s">
        <v>77</v>
      </c>
      <c r="O165" s="103" t="n">
        <v>40</v>
      </c>
      <c r="P165" s="103" t="n">
        <v>13.8</v>
      </c>
      <c r="Q165" s="103" t="n">
        <v>5</v>
      </c>
      <c r="R165" s="103" t="s">
        <v>139</v>
      </c>
      <c r="S165" s="103" t="n">
        <v>646</v>
      </c>
      <c r="T165" s="103" t="n">
        <v>571</v>
      </c>
      <c r="U165" s="103" t="s">
        <v>808</v>
      </c>
      <c r="V165" s="103" t="n">
        <v>2025</v>
      </c>
    </row>
    <row r="166" customFormat="false" ht="14.25" hidden="false" customHeight="false" outlineLevel="0" collapsed="false">
      <c r="A166" s="103" t="s">
        <v>879</v>
      </c>
      <c r="B166" s="103" t="s">
        <v>504</v>
      </c>
      <c r="C166" s="104" t="n">
        <v>45712</v>
      </c>
      <c r="D166" s="103" t="s">
        <v>102</v>
      </c>
      <c r="E166" s="103" t="n">
        <v>26</v>
      </c>
      <c r="F166" s="103" t="s">
        <v>171</v>
      </c>
      <c r="G166" s="103" t="s">
        <v>90</v>
      </c>
      <c r="H166" s="103" t="n">
        <v>4.7</v>
      </c>
      <c r="I166" s="103" t="n">
        <v>741</v>
      </c>
      <c r="J166" s="103" t="n">
        <v>20</v>
      </c>
      <c r="K166" s="103" t="n">
        <v>0</v>
      </c>
      <c r="L166" s="103" t="s">
        <v>95</v>
      </c>
      <c r="M166" s="103" t="s">
        <v>65</v>
      </c>
      <c r="N166" s="103" t="s">
        <v>77</v>
      </c>
      <c r="O166" s="103" t="n">
        <v>52</v>
      </c>
      <c r="P166" s="103" t="n">
        <v>10.4</v>
      </c>
      <c r="Q166" s="103" t="n">
        <v>5</v>
      </c>
      <c r="R166" s="103" t="s">
        <v>137</v>
      </c>
      <c r="S166" s="103" t="n">
        <v>761</v>
      </c>
      <c r="T166" s="103" t="n">
        <v>761</v>
      </c>
      <c r="U166" s="103" t="s">
        <v>808</v>
      </c>
      <c r="V166" s="103" t="n">
        <v>2025</v>
      </c>
    </row>
    <row r="167" customFormat="false" ht="14.25" hidden="false" customHeight="false" outlineLevel="0" collapsed="false">
      <c r="A167" s="103" t="s">
        <v>880</v>
      </c>
      <c r="B167" s="103" t="s">
        <v>505</v>
      </c>
      <c r="C167" s="104" t="n">
        <v>45713</v>
      </c>
      <c r="D167" s="103" t="s">
        <v>107</v>
      </c>
      <c r="E167" s="103" t="n">
        <v>57</v>
      </c>
      <c r="F167" s="103" t="s">
        <v>171</v>
      </c>
      <c r="G167" s="103" t="s">
        <v>87</v>
      </c>
      <c r="H167" s="103" t="n">
        <v>4.5</v>
      </c>
      <c r="I167" s="103" t="n">
        <v>1235</v>
      </c>
      <c r="J167" s="103" t="n">
        <v>40</v>
      </c>
      <c r="K167" s="103" t="n">
        <v>200</v>
      </c>
      <c r="L167" s="103" t="s">
        <v>96</v>
      </c>
      <c r="M167" s="103" t="s">
        <v>65</v>
      </c>
      <c r="N167" s="103" t="s">
        <v>78</v>
      </c>
      <c r="O167" s="103" t="n">
        <v>39</v>
      </c>
      <c r="P167" s="103" t="n">
        <v>12.3</v>
      </c>
      <c r="Q167" s="103" t="n">
        <v>4</v>
      </c>
      <c r="R167" s="103" t="s">
        <v>137</v>
      </c>
      <c r="S167" s="103" t="n">
        <v>1275</v>
      </c>
      <c r="T167" s="103" t="n">
        <v>1075</v>
      </c>
      <c r="U167" s="103" t="s">
        <v>808</v>
      </c>
      <c r="V167" s="103" t="n">
        <v>2025</v>
      </c>
    </row>
    <row r="168" customFormat="false" ht="14.25" hidden="false" customHeight="false" outlineLevel="0" collapsed="false">
      <c r="A168" s="103" t="s">
        <v>881</v>
      </c>
      <c r="B168" s="103" t="s">
        <v>506</v>
      </c>
      <c r="C168" s="104" t="n">
        <v>45713</v>
      </c>
      <c r="D168" s="103" t="s">
        <v>101</v>
      </c>
      <c r="E168" s="103" t="n">
        <v>19</v>
      </c>
      <c r="F168" s="103" t="s">
        <v>170</v>
      </c>
      <c r="G168" s="103" t="s">
        <v>83</v>
      </c>
      <c r="H168" s="103" t="n">
        <v>2.9</v>
      </c>
      <c r="I168" s="103" t="n">
        <v>319</v>
      </c>
      <c r="J168" s="103" t="n">
        <v>50</v>
      </c>
      <c r="K168" s="103" t="n">
        <v>20</v>
      </c>
      <c r="L168" s="103" t="s">
        <v>94</v>
      </c>
      <c r="M168" s="103" t="s">
        <v>66</v>
      </c>
      <c r="N168" s="103" t="s">
        <v>77</v>
      </c>
      <c r="O168" s="103" t="n">
        <v>18</v>
      </c>
      <c r="P168" s="103" t="n">
        <v>2.1</v>
      </c>
      <c r="Q168" s="103" t="n">
        <v>5</v>
      </c>
      <c r="R168" s="103" t="s">
        <v>142</v>
      </c>
      <c r="S168" s="103" t="n">
        <v>369</v>
      </c>
      <c r="T168" s="103" t="n">
        <v>349</v>
      </c>
      <c r="U168" s="103" t="s">
        <v>808</v>
      </c>
      <c r="V168" s="103" t="n">
        <v>2025</v>
      </c>
    </row>
    <row r="169" customFormat="false" ht="14.25" hidden="false" customHeight="false" outlineLevel="0" collapsed="false">
      <c r="A169" s="103" t="s">
        <v>882</v>
      </c>
      <c r="B169" s="103" t="s">
        <v>507</v>
      </c>
      <c r="C169" s="104" t="n">
        <v>45713</v>
      </c>
      <c r="D169" s="103" t="s">
        <v>110</v>
      </c>
      <c r="E169" s="103" t="n">
        <v>42</v>
      </c>
      <c r="F169" s="103" t="s">
        <v>170</v>
      </c>
      <c r="G169" s="103" t="s">
        <v>82</v>
      </c>
      <c r="H169" s="103" t="n">
        <v>3.9</v>
      </c>
      <c r="I169" s="103" t="n">
        <v>1723</v>
      </c>
      <c r="J169" s="103" t="n">
        <v>0</v>
      </c>
      <c r="K169" s="103" t="n">
        <v>50</v>
      </c>
      <c r="L169" s="103" t="s">
        <v>94</v>
      </c>
      <c r="M169" s="103" t="s">
        <v>66</v>
      </c>
      <c r="N169" s="103" t="s">
        <v>77</v>
      </c>
      <c r="O169" s="103" t="n">
        <v>55</v>
      </c>
      <c r="P169" s="103" t="n">
        <v>4.1</v>
      </c>
      <c r="Q169" s="103" t="n">
        <v>5</v>
      </c>
      <c r="R169" s="103" t="s">
        <v>142</v>
      </c>
      <c r="S169" s="103" t="n">
        <v>1723</v>
      </c>
      <c r="T169" s="103" t="n">
        <v>1673</v>
      </c>
      <c r="U169" s="103" t="s">
        <v>808</v>
      </c>
      <c r="V169" s="103" t="n">
        <v>2025</v>
      </c>
    </row>
    <row r="170" customFormat="false" ht="14.25" hidden="false" customHeight="false" outlineLevel="0" collapsed="false">
      <c r="A170" s="103" t="s">
        <v>883</v>
      </c>
      <c r="B170" s="103" t="s">
        <v>508</v>
      </c>
      <c r="C170" s="104" t="n">
        <v>45714</v>
      </c>
      <c r="D170" s="103" t="s">
        <v>104</v>
      </c>
      <c r="E170" s="103" t="n">
        <v>56</v>
      </c>
      <c r="F170" s="103" t="s">
        <v>171</v>
      </c>
      <c r="G170" s="103" t="s">
        <v>82</v>
      </c>
      <c r="H170" s="103" t="n">
        <v>2.8</v>
      </c>
      <c r="I170" s="103" t="n">
        <v>1574</v>
      </c>
      <c r="J170" s="103" t="n">
        <v>60</v>
      </c>
      <c r="K170" s="103" t="n">
        <v>100</v>
      </c>
      <c r="L170" s="103" t="s">
        <v>95</v>
      </c>
      <c r="M170" s="103" t="s">
        <v>66</v>
      </c>
      <c r="N170" s="103" t="s">
        <v>77</v>
      </c>
      <c r="O170" s="103" t="n">
        <v>59</v>
      </c>
      <c r="P170" s="103" t="n">
        <v>13.5</v>
      </c>
      <c r="Q170" s="103" t="n">
        <v>3</v>
      </c>
      <c r="R170" s="103" t="s">
        <v>139</v>
      </c>
      <c r="S170" s="103" t="n">
        <v>1634</v>
      </c>
      <c r="T170" s="103" t="n">
        <v>1534</v>
      </c>
      <c r="U170" s="103" t="s">
        <v>808</v>
      </c>
      <c r="V170" s="103" t="n">
        <v>2025</v>
      </c>
    </row>
    <row r="171" customFormat="false" ht="14.25" hidden="false" customHeight="false" outlineLevel="0" collapsed="false">
      <c r="A171" s="103" t="s">
        <v>884</v>
      </c>
      <c r="B171" s="103" t="s">
        <v>509</v>
      </c>
      <c r="C171" s="104" t="n">
        <v>45714</v>
      </c>
      <c r="D171" s="103" t="s">
        <v>109</v>
      </c>
      <c r="E171" s="103" t="n">
        <v>26</v>
      </c>
      <c r="F171" s="103" t="s">
        <v>170</v>
      </c>
      <c r="G171" s="103" t="s">
        <v>89</v>
      </c>
      <c r="H171" s="103" t="n">
        <v>2.6</v>
      </c>
      <c r="I171" s="103" t="n">
        <v>1090</v>
      </c>
      <c r="J171" s="103" t="n">
        <v>30</v>
      </c>
      <c r="K171" s="103" t="n">
        <v>100</v>
      </c>
      <c r="L171" s="103" t="s">
        <v>93</v>
      </c>
      <c r="M171" s="103" t="s">
        <v>66</v>
      </c>
      <c r="N171" s="103" t="s">
        <v>77</v>
      </c>
      <c r="O171" s="103" t="n">
        <v>55</v>
      </c>
      <c r="P171" s="103" t="n">
        <v>10.9</v>
      </c>
      <c r="Q171" s="103" t="n">
        <v>4</v>
      </c>
      <c r="R171" s="103" t="s">
        <v>138</v>
      </c>
      <c r="S171" s="103" t="n">
        <v>1120</v>
      </c>
      <c r="T171" s="103" t="n">
        <v>1020</v>
      </c>
      <c r="U171" s="103" t="s">
        <v>808</v>
      </c>
      <c r="V171" s="103" t="n">
        <v>2025</v>
      </c>
    </row>
    <row r="172" customFormat="false" ht="14.25" hidden="false" customHeight="false" outlineLevel="0" collapsed="false">
      <c r="A172" s="103" t="s">
        <v>885</v>
      </c>
      <c r="B172" s="103" t="s">
        <v>510</v>
      </c>
      <c r="C172" s="104" t="n">
        <v>45714</v>
      </c>
      <c r="D172" s="103" t="s">
        <v>103</v>
      </c>
      <c r="E172" s="103" t="n">
        <v>39</v>
      </c>
      <c r="F172" s="103" t="s">
        <v>170</v>
      </c>
      <c r="G172" s="103" t="s">
        <v>89</v>
      </c>
      <c r="H172" s="103" t="n">
        <v>4.1</v>
      </c>
      <c r="I172" s="103" t="n">
        <v>1252</v>
      </c>
      <c r="J172" s="103" t="n">
        <v>0</v>
      </c>
      <c r="K172" s="103" t="n">
        <v>20</v>
      </c>
      <c r="L172" s="103" t="s">
        <v>94</v>
      </c>
      <c r="M172" s="103" t="s">
        <v>65</v>
      </c>
      <c r="N172" s="103" t="s">
        <v>77</v>
      </c>
      <c r="O172" s="103" t="n">
        <v>52</v>
      </c>
      <c r="P172" s="103" t="n">
        <v>9.8</v>
      </c>
      <c r="Q172" s="103" t="n">
        <v>4</v>
      </c>
      <c r="R172" s="103" t="s">
        <v>134</v>
      </c>
      <c r="S172" s="103" t="n">
        <v>1252</v>
      </c>
      <c r="T172" s="103" t="n">
        <v>1232</v>
      </c>
      <c r="U172" s="103" t="s">
        <v>808</v>
      </c>
      <c r="V172" s="103" t="n">
        <v>2025</v>
      </c>
    </row>
    <row r="173" customFormat="false" ht="14.25" hidden="false" customHeight="false" outlineLevel="0" collapsed="false">
      <c r="A173" s="103" t="s">
        <v>886</v>
      </c>
      <c r="B173" s="103" t="s">
        <v>511</v>
      </c>
      <c r="C173" s="104" t="n">
        <v>45715</v>
      </c>
      <c r="D173" s="103" t="s">
        <v>107</v>
      </c>
      <c r="E173" s="103" t="n">
        <v>60</v>
      </c>
      <c r="F173" s="103" t="s">
        <v>170</v>
      </c>
      <c r="G173" s="103" t="s">
        <v>82</v>
      </c>
      <c r="H173" s="103" t="n">
        <v>3.8</v>
      </c>
      <c r="I173" s="103" t="n">
        <v>148</v>
      </c>
      <c r="J173" s="103" t="n">
        <v>50</v>
      </c>
      <c r="K173" s="103" t="n">
        <v>30</v>
      </c>
      <c r="L173" s="103" t="s">
        <v>96</v>
      </c>
      <c r="M173" s="103" t="s">
        <v>66</v>
      </c>
      <c r="N173" s="103" t="s">
        <v>77</v>
      </c>
      <c r="O173" s="103" t="n">
        <v>67</v>
      </c>
      <c r="P173" s="103" t="n">
        <v>10.1</v>
      </c>
      <c r="Q173" s="103" t="n">
        <v>5</v>
      </c>
      <c r="R173" s="103" t="s">
        <v>133</v>
      </c>
      <c r="S173" s="103" t="n">
        <v>198</v>
      </c>
      <c r="T173" s="103" t="n">
        <v>168</v>
      </c>
      <c r="U173" s="103" t="s">
        <v>808</v>
      </c>
      <c r="V173" s="103" t="n">
        <v>2025</v>
      </c>
    </row>
    <row r="174" customFormat="false" ht="14.25" hidden="false" customHeight="false" outlineLevel="0" collapsed="false">
      <c r="A174" s="103" t="s">
        <v>887</v>
      </c>
      <c r="B174" s="103" t="s">
        <v>512</v>
      </c>
      <c r="C174" s="104" t="n">
        <v>45715</v>
      </c>
      <c r="D174" s="103" t="s">
        <v>101</v>
      </c>
      <c r="E174" s="103" t="n">
        <v>21</v>
      </c>
      <c r="F174" s="103" t="s">
        <v>170</v>
      </c>
      <c r="G174" s="103" t="s">
        <v>81</v>
      </c>
      <c r="H174" s="103" t="n">
        <v>2.7</v>
      </c>
      <c r="I174" s="103" t="n">
        <v>689</v>
      </c>
      <c r="J174" s="103" t="n">
        <v>50</v>
      </c>
      <c r="K174" s="103" t="n">
        <v>100</v>
      </c>
      <c r="L174" s="103" t="s">
        <v>96</v>
      </c>
      <c r="M174" s="103" t="s">
        <v>66</v>
      </c>
      <c r="N174" s="103" t="s">
        <v>77</v>
      </c>
      <c r="O174" s="103" t="n">
        <v>33</v>
      </c>
      <c r="P174" s="103" t="n">
        <v>6.5</v>
      </c>
      <c r="Q174" s="103" t="n">
        <v>1</v>
      </c>
      <c r="R174" s="103" t="s">
        <v>134</v>
      </c>
      <c r="S174" s="103" t="n">
        <v>739</v>
      </c>
      <c r="T174" s="103" t="n">
        <v>639</v>
      </c>
      <c r="U174" s="103" t="s">
        <v>808</v>
      </c>
      <c r="V174" s="103" t="n">
        <v>2025</v>
      </c>
    </row>
    <row r="175" customFormat="false" ht="14.25" hidden="false" customHeight="false" outlineLevel="0" collapsed="false">
      <c r="A175" s="103" t="s">
        <v>888</v>
      </c>
      <c r="B175" s="103" t="s">
        <v>513</v>
      </c>
      <c r="C175" s="104" t="n">
        <v>45715</v>
      </c>
      <c r="D175" s="103" t="s">
        <v>101</v>
      </c>
      <c r="E175" s="103" t="n">
        <v>43</v>
      </c>
      <c r="F175" s="103" t="s">
        <v>171</v>
      </c>
      <c r="G175" s="103" t="s">
        <v>82</v>
      </c>
      <c r="H175" s="103" t="n">
        <v>2.6</v>
      </c>
      <c r="I175" s="103" t="n">
        <v>1457</v>
      </c>
      <c r="J175" s="103" t="n">
        <v>50</v>
      </c>
      <c r="K175" s="103" t="n">
        <v>150</v>
      </c>
      <c r="L175" s="103" t="s">
        <v>97</v>
      </c>
      <c r="M175" s="103" t="s">
        <v>65</v>
      </c>
      <c r="N175" s="103" t="s">
        <v>77</v>
      </c>
      <c r="O175" s="103" t="n">
        <v>28</v>
      </c>
      <c r="P175" s="103" t="n">
        <v>1.1</v>
      </c>
      <c r="Q175" s="103" t="n">
        <v>5</v>
      </c>
      <c r="R175" s="103" t="s">
        <v>141</v>
      </c>
      <c r="S175" s="103" t="n">
        <v>1507</v>
      </c>
      <c r="T175" s="103" t="n">
        <v>1357</v>
      </c>
      <c r="U175" s="103" t="s">
        <v>808</v>
      </c>
      <c r="V175" s="103" t="n">
        <v>2025</v>
      </c>
    </row>
    <row r="176" customFormat="false" ht="14.25" hidden="false" customHeight="false" outlineLevel="0" collapsed="false">
      <c r="A176" s="103" t="s">
        <v>889</v>
      </c>
      <c r="B176" s="103" t="s">
        <v>514</v>
      </c>
      <c r="C176" s="104" t="n">
        <v>45716</v>
      </c>
      <c r="D176" s="103" t="s">
        <v>101</v>
      </c>
      <c r="E176" s="103" t="n">
        <v>46</v>
      </c>
      <c r="F176" s="103" t="s">
        <v>170</v>
      </c>
      <c r="G176" s="103" t="s">
        <v>89</v>
      </c>
      <c r="H176" s="103" t="n">
        <v>5</v>
      </c>
      <c r="I176" s="103" t="n">
        <v>250</v>
      </c>
      <c r="J176" s="103" t="n">
        <v>50</v>
      </c>
      <c r="K176" s="103" t="n">
        <v>10</v>
      </c>
      <c r="L176" s="103" t="s">
        <v>95</v>
      </c>
      <c r="M176" s="103" t="s">
        <v>67</v>
      </c>
      <c r="N176" s="103" t="s">
        <v>77</v>
      </c>
      <c r="O176" s="103" t="n">
        <v>35</v>
      </c>
      <c r="P176" s="103" t="n">
        <v>11.9</v>
      </c>
      <c r="Q176" s="103" t="n">
        <v>4</v>
      </c>
      <c r="R176" s="103" t="s">
        <v>139</v>
      </c>
      <c r="S176" s="103" t="n">
        <v>300</v>
      </c>
      <c r="T176" s="103" t="n">
        <v>290</v>
      </c>
      <c r="U176" s="103" t="s">
        <v>808</v>
      </c>
      <c r="V176" s="103" t="n">
        <v>2025</v>
      </c>
    </row>
    <row r="177" customFormat="false" ht="14.25" hidden="false" customHeight="false" outlineLevel="0" collapsed="false">
      <c r="A177" s="103" t="s">
        <v>890</v>
      </c>
      <c r="B177" s="103" t="s">
        <v>515</v>
      </c>
      <c r="C177" s="104" t="n">
        <v>45716</v>
      </c>
      <c r="D177" s="103" t="s">
        <v>101</v>
      </c>
      <c r="E177" s="103" t="n">
        <v>51</v>
      </c>
      <c r="F177" s="103" t="s">
        <v>171</v>
      </c>
      <c r="G177" s="103" t="s">
        <v>88</v>
      </c>
      <c r="H177" s="103" t="n">
        <v>2.6</v>
      </c>
      <c r="I177" s="103" t="n">
        <v>594</v>
      </c>
      <c r="J177" s="103" t="n">
        <v>20</v>
      </c>
      <c r="K177" s="103" t="n">
        <v>200</v>
      </c>
      <c r="L177" s="103" t="s">
        <v>93</v>
      </c>
      <c r="M177" s="103" t="s">
        <v>65</v>
      </c>
      <c r="N177" s="103" t="s">
        <v>77</v>
      </c>
      <c r="O177" s="103" t="n">
        <v>29</v>
      </c>
      <c r="P177" s="103" t="n">
        <v>10.3</v>
      </c>
      <c r="Q177" s="103" t="n">
        <v>4</v>
      </c>
      <c r="R177" s="103" t="s">
        <v>133</v>
      </c>
      <c r="S177" s="103" t="n">
        <v>614</v>
      </c>
      <c r="T177" s="103" t="n">
        <v>414</v>
      </c>
      <c r="U177" s="103" t="s">
        <v>808</v>
      </c>
      <c r="V177" s="103" t="n">
        <v>2025</v>
      </c>
    </row>
    <row r="178" customFormat="false" ht="14.25" hidden="false" customHeight="false" outlineLevel="0" collapsed="false">
      <c r="A178" s="103" t="s">
        <v>891</v>
      </c>
      <c r="B178" s="103" t="s">
        <v>516</v>
      </c>
      <c r="C178" s="104" t="n">
        <v>45716</v>
      </c>
      <c r="D178" s="103" t="s">
        <v>106</v>
      </c>
      <c r="E178" s="103" t="n">
        <v>40</v>
      </c>
      <c r="F178" s="103" t="s">
        <v>170</v>
      </c>
      <c r="G178" s="103" t="s">
        <v>89</v>
      </c>
      <c r="H178" s="103" t="n">
        <v>3.6</v>
      </c>
      <c r="I178" s="103" t="n">
        <v>1103</v>
      </c>
      <c r="J178" s="103" t="n">
        <v>30</v>
      </c>
      <c r="K178" s="103" t="n">
        <v>100</v>
      </c>
      <c r="L178" s="103" t="s">
        <v>93</v>
      </c>
      <c r="M178" s="103" t="s">
        <v>65</v>
      </c>
      <c r="N178" s="103" t="s">
        <v>78</v>
      </c>
      <c r="O178" s="103" t="n">
        <v>17</v>
      </c>
      <c r="P178" s="103" t="n">
        <v>7.4</v>
      </c>
      <c r="Q178" s="103" t="n">
        <v>4</v>
      </c>
      <c r="R178" s="103" t="s">
        <v>134</v>
      </c>
      <c r="S178" s="103" t="n">
        <v>1133</v>
      </c>
      <c r="T178" s="103" t="n">
        <v>1033</v>
      </c>
      <c r="U178" s="103" t="s">
        <v>808</v>
      </c>
      <c r="V178" s="103" t="n">
        <v>2025</v>
      </c>
    </row>
    <row r="179" customFormat="false" ht="14.25" hidden="false" customHeight="false" outlineLevel="0" collapsed="false">
      <c r="A179" s="103" t="s">
        <v>892</v>
      </c>
      <c r="B179" s="103" t="s">
        <v>517</v>
      </c>
      <c r="C179" s="104" t="n">
        <v>45717</v>
      </c>
      <c r="D179" s="103" t="s">
        <v>111</v>
      </c>
      <c r="E179" s="103" t="n">
        <v>54</v>
      </c>
      <c r="F179" s="103" t="s">
        <v>170</v>
      </c>
      <c r="G179" s="103" t="s">
        <v>81</v>
      </c>
      <c r="H179" s="103" t="n">
        <v>3.8</v>
      </c>
      <c r="I179" s="103" t="n">
        <v>551</v>
      </c>
      <c r="J179" s="103" t="n">
        <v>60</v>
      </c>
      <c r="K179" s="103" t="n">
        <v>150</v>
      </c>
      <c r="L179" s="103" t="s">
        <v>94</v>
      </c>
      <c r="M179" s="103" t="s">
        <v>65</v>
      </c>
      <c r="N179" s="103" t="s">
        <v>77</v>
      </c>
      <c r="O179" s="103" t="n">
        <v>51</v>
      </c>
      <c r="P179" s="103" t="n">
        <v>13.5</v>
      </c>
      <c r="Q179" s="103" t="n">
        <v>3</v>
      </c>
      <c r="R179" s="103" t="s">
        <v>141</v>
      </c>
      <c r="S179" s="103" t="n">
        <v>611</v>
      </c>
      <c r="T179" s="103" t="n">
        <v>461</v>
      </c>
      <c r="U179" s="103" t="s">
        <v>893</v>
      </c>
      <c r="V179" s="103" t="n">
        <v>2025</v>
      </c>
    </row>
    <row r="180" customFormat="false" ht="14.25" hidden="false" customHeight="false" outlineLevel="0" collapsed="false">
      <c r="A180" s="103" t="s">
        <v>894</v>
      </c>
      <c r="B180" s="103" t="s">
        <v>518</v>
      </c>
      <c r="C180" s="104" t="n">
        <v>45717</v>
      </c>
      <c r="D180" s="103" t="s">
        <v>104</v>
      </c>
      <c r="E180" s="103" t="n">
        <v>28</v>
      </c>
      <c r="F180" s="103" t="s">
        <v>170</v>
      </c>
      <c r="G180" s="103" t="s">
        <v>83</v>
      </c>
      <c r="H180" s="103" t="n">
        <v>2.8</v>
      </c>
      <c r="I180" s="103" t="n">
        <v>1689</v>
      </c>
      <c r="J180" s="103" t="n">
        <v>50</v>
      </c>
      <c r="K180" s="103" t="n">
        <v>75</v>
      </c>
      <c r="L180" s="103" t="s">
        <v>94</v>
      </c>
      <c r="M180" s="103" t="s">
        <v>65</v>
      </c>
      <c r="N180" s="103" t="s">
        <v>77</v>
      </c>
      <c r="O180" s="103" t="n">
        <v>67</v>
      </c>
      <c r="P180" s="103" t="n">
        <v>5.4</v>
      </c>
      <c r="Q180" s="103" t="n">
        <v>5</v>
      </c>
      <c r="R180" s="103" t="s">
        <v>131</v>
      </c>
      <c r="S180" s="103" t="n">
        <v>1739</v>
      </c>
      <c r="T180" s="103" t="n">
        <v>1664</v>
      </c>
      <c r="U180" s="103" t="s">
        <v>893</v>
      </c>
      <c r="V180" s="103" t="n">
        <v>2025</v>
      </c>
    </row>
    <row r="181" customFormat="false" ht="14.25" hidden="false" customHeight="false" outlineLevel="0" collapsed="false">
      <c r="A181" s="103" t="s">
        <v>895</v>
      </c>
      <c r="B181" s="103" t="s">
        <v>519</v>
      </c>
      <c r="C181" s="104" t="n">
        <v>45717</v>
      </c>
      <c r="D181" s="103" t="s">
        <v>108</v>
      </c>
      <c r="E181" s="103" t="n">
        <v>23</v>
      </c>
      <c r="F181" s="103" t="s">
        <v>170</v>
      </c>
      <c r="G181" s="103" t="s">
        <v>82</v>
      </c>
      <c r="H181" s="103" t="n">
        <v>2.9</v>
      </c>
      <c r="I181" s="103" t="n">
        <v>340</v>
      </c>
      <c r="J181" s="103" t="n">
        <v>50</v>
      </c>
      <c r="K181" s="103" t="n">
        <v>75</v>
      </c>
      <c r="L181" s="103" t="s">
        <v>93</v>
      </c>
      <c r="M181" s="103" t="s">
        <v>67</v>
      </c>
      <c r="N181" s="103" t="s">
        <v>77</v>
      </c>
      <c r="O181" s="103" t="n">
        <v>64</v>
      </c>
      <c r="P181" s="103" t="n">
        <v>4.8</v>
      </c>
      <c r="Q181" s="103" t="n">
        <v>5</v>
      </c>
      <c r="R181" s="103" t="s">
        <v>132</v>
      </c>
      <c r="S181" s="103" t="n">
        <v>390</v>
      </c>
      <c r="T181" s="103" t="n">
        <v>315</v>
      </c>
      <c r="U181" s="103" t="s">
        <v>893</v>
      </c>
      <c r="V181" s="103" t="n">
        <v>2025</v>
      </c>
    </row>
    <row r="182" customFormat="false" ht="14.25" hidden="false" customHeight="false" outlineLevel="0" collapsed="false">
      <c r="A182" s="103" t="s">
        <v>896</v>
      </c>
      <c r="B182" s="103" t="s">
        <v>520</v>
      </c>
      <c r="C182" s="104" t="n">
        <v>45718</v>
      </c>
      <c r="D182" s="103" t="s">
        <v>101</v>
      </c>
      <c r="E182" s="103" t="n">
        <v>35</v>
      </c>
      <c r="F182" s="103" t="s">
        <v>171</v>
      </c>
      <c r="G182" s="103" t="s">
        <v>90</v>
      </c>
      <c r="H182" s="103" t="n">
        <v>3.4</v>
      </c>
      <c r="I182" s="103" t="n">
        <v>1460</v>
      </c>
      <c r="J182" s="103" t="n">
        <v>40</v>
      </c>
      <c r="K182" s="103" t="n">
        <v>200</v>
      </c>
      <c r="L182" s="103" t="s">
        <v>93</v>
      </c>
      <c r="M182" s="103" t="s">
        <v>66</v>
      </c>
      <c r="N182" s="103" t="s">
        <v>77</v>
      </c>
      <c r="O182" s="103" t="n">
        <v>60</v>
      </c>
      <c r="P182" s="103" t="n">
        <v>13.2</v>
      </c>
      <c r="Q182" s="103" t="n">
        <v>4</v>
      </c>
      <c r="R182" s="103" t="s">
        <v>135</v>
      </c>
      <c r="S182" s="103" t="n">
        <v>1500</v>
      </c>
      <c r="T182" s="103" t="n">
        <v>1300</v>
      </c>
      <c r="U182" s="103" t="s">
        <v>893</v>
      </c>
      <c r="V182" s="103" t="n">
        <v>2025</v>
      </c>
    </row>
    <row r="183" customFormat="false" ht="14.25" hidden="false" customHeight="false" outlineLevel="0" collapsed="false">
      <c r="A183" s="103" t="s">
        <v>897</v>
      </c>
      <c r="B183" s="103" t="s">
        <v>521</v>
      </c>
      <c r="C183" s="104" t="n">
        <v>45718</v>
      </c>
      <c r="D183" s="103" t="s">
        <v>109</v>
      </c>
      <c r="E183" s="103" t="n">
        <v>38</v>
      </c>
      <c r="F183" s="103" t="s">
        <v>170</v>
      </c>
      <c r="G183" s="103" t="s">
        <v>88</v>
      </c>
      <c r="H183" s="103" t="n">
        <v>4.4</v>
      </c>
      <c r="I183" s="103" t="n">
        <v>973</v>
      </c>
      <c r="J183" s="103" t="n">
        <v>30</v>
      </c>
      <c r="K183" s="103" t="n">
        <v>30</v>
      </c>
      <c r="L183" s="103" t="s">
        <v>94</v>
      </c>
      <c r="M183" s="103" t="s">
        <v>65</v>
      </c>
      <c r="N183" s="103" t="s">
        <v>77</v>
      </c>
      <c r="O183" s="103" t="n">
        <v>30</v>
      </c>
      <c r="P183" s="103" t="n">
        <v>12.1</v>
      </c>
      <c r="Q183" s="103" t="n">
        <v>5</v>
      </c>
      <c r="R183" s="103" t="s">
        <v>133</v>
      </c>
      <c r="S183" s="103" t="n">
        <v>1003</v>
      </c>
      <c r="T183" s="103" t="n">
        <v>973</v>
      </c>
      <c r="U183" s="103" t="s">
        <v>893</v>
      </c>
      <c r="V183" s="103" t="n">
        <v>2025</v>
      </c>
    </row>
    <row r="184" customFormat="false" ht="14.25" hidden="false" customHeight="false" outlineLevel="0" collapsed="false">
      <c r="A184" s="103" t="s">
        <v>898</v>
      </c>
      <c r="B184" s="103" t="s">
        <v>522</v>
      </c>
      <c r="C184" s="104" t="n">
        <v>45718</v>
      </c>
      <c r="D184" s="103" t="s">
        <v>108</v>
      </c>
      <c r="E184" s="103" t="n">
        <v>59</v>
      </c>
      <c r="F184" s="103" t="s">
        <v>172</v>
      </c>
      <c r="G184" s="103" t="s">
        <v>85</v>
      </c>
      <c r="H184" s="103" t="n">
        <v>3.8</v>
      </c>
      <c r="I184" s="103" t="n">
        <v>1381</v>
      </c>
      <c r="J184" s="103" t="n">
        <v>0</v>
      </c>
      <c r="K184" s="103" t="n">
        <v>50</v>
      </c>
      <c r="L184" s="103" t="s">
        <v>95</v>
      </c>
      <c r="M184" s="103" t="s">
        <v>65</v>
      </c>
      <c r="N184" s="103" t="s">
        <v>77</v>
      </c>
      <c r="O184" s="103" t="n">
        <v>28</v>
      </c>
      <c r="P184" s="103" t="n">
        <v>8</v>
      </c>
      <c r="Q184" s="103" t="n">
        <v>5</v>
      </c>
      <c r="R184" s="103" t="s">
        <v>140</v>
      </c>
      <c r="S184" s="103" t="n">
        <v>1381</v>
      </c>
      <c r="T184" s="103" t="n">
        <v>1331</v>
      </c>
      <c r="U184" s="103" t="s">
        <v>893</v>
      </c>
      <c r="V184" s="103" t="n">
        <v>2025</v>
      </c>
    </row>
    <row r="185" customFormat="false" ht="14.25" hidden="false" customHeight="false" outlineLevel="0" collapsed="false">
      <c r="A185" s="103" t="s">
        <v>899</v>
      </c>
      <c r="B185" s="103" t="s">
        <v>523</v>
      </c>
      <c r="C185" s="104" t="n">
        <v>45719</v>
      </c>
      <c r="D185" s="103" t="s">
        <v>100</v>
      </c>
      <c r="E185" s="103" t="n">
        <v>53</v>
      </c>
      <c r="F185" s="103" t="s">
        <v>170</v>
      </c>
      <c r="G185" s="103" t="s">
        <v>81</v>
      </c>
      <c r="H185" s="103" t="n">
        <v>4.1</v>
      </c>
      <c r="I185" s="103" t="n">
        <v>642</v>
      </c>
      <c r="J185" s="103" t="n">
        <v>30</v>
      </c>
      <c r="K185" s="103" t="n">
        <v>200</v>
      </c>
      <c r="L185" s="103" t="s">
        <v>97</v>
      </c>
      <c r="M185" s="103" t="s">
        <v>65</v>
      </c>
      <c r="N185" s="103" t="s">
        <v>77</v>
      </c>
      <c r="O185" s="103" t="n">
        <v>23</v>
      </c>
      <c r="P185" s="103" t="n">
        <v>2.4</v>
      </c>
      <c r="Q185" s="103" t="n">
        <v>4</v>
      </c>
      <c r="R185" s="103" t="s">
        <v>133</v>
      </c>
      <c r="S185" s="103" t="n">
        <v>672</v>
      </c>
      <c r="T185" s="103" t="n">
        <v>472</v>
      </c>
      <c r="U185" s="103" t="s">
        <v>893</v>
      </c>
      <c r="V185" s="103" t="n">
        <v>2025</v>
      </c>
    </row>
    <row r="186" customFormat="false" ht="14.25" hidden="false" customHeight="false" outlineLevel="0" collapsed="false">
      <c r="A186" s="103" t="s">
        <v>900</v>
      </c>
      <c r="B186" s="103" t="s">
        <v>524</v>
      </c>
      <c r="C186" s="104" t="n">
        <v>45719</v>
      </c>
      <c r="D186" s="103" t="s">
        <v>100</v>
      </c>
      <c r="E186" s="103" t="n">
        <v>58</v>
      </c>
      <c r="F186" s="103" t="s">
        <v>171</v>
      </c>
      <c r="G186" s="103" t="s">
        <v>89</v>
      </c>
      <c r="H186" s="103" t="n">
        <v>5</v>
      </c>
      <c r="I186" s="103" t="n">
        <v>984</v>
      </c>
      <c r="J186" s="103" t="n">
        <v>30</v>
      </c>
      <c r="K186" s="103" t="n">
        <v>0</v>
      </c>
      <c r="L186" s="103" t="s">
        <v>95</v>
      </c>
      <c r="M186" s="103" t="s">
        <v>66</v>
      </c>
      <c r="N186" s="103" t="s">
        <v>77</v>
      </c>
      <c r="O186" s="103" t="n">
        <v>61</v>
      </c>
      <c r="P186" s="103" t="n">
        <v>3.6</v>
      </c>
      <c r="Q186" s="103" t="n">
        <v>5</v>
      </c>
      <c r="R186" s="103" t="s">
        <v>141</v>
      </c>
      <c r="S186" s="103" t="n">
        <v>1014</v>
      </c>
      <c r="T186" s="103" t="n">
        <v>1014</v>
      </c>
      <c r="U186" s="103" t="s">
        <v>893</v>
      </c>
      <c r="V186" s="103" t="n">
        <v>2025</v>
      </c>
    </row>
    <row r="187" customFormat="false" ht="14.25" hidden="false" customHeight="false" outlineLevel="0" collapsed="false">
      <c r="A187" s="103" t="s">
        <v>901</v>
      </c>
      <c r="B187" s="103" t="s">
        <v>525</v>
      </c>
      <c r="C187" s="104" t="n">
        <v>45719</v>
      </c>
      <c r="D187" s="103" t="s">
        <v>109</v>
      </c>
      <c r="E187" s="103" t="n">
        <v>55</v>
      </c>
      <c r="F187" s="103" t="s">
        <v>171</v>
      </c>
      <c r="G187" s="103" t="s">
        <v>90</v>
      </c>
      <c r="H187" s="103" t="n">
        <v>4.4</v>
      </c>
      <c r="I187" s="103" t="n">
        <v>1559</v>
      </c>
      <c r="J187" s="103" t="n">
        <v>60</v>
      </c>
      <c r="K187" s="103" t="n">
        <v>30</v>
      </c>
      <c r="L187" s="103" t="s">
        <v>95</v>
      </c>
      <c r="M187" s="103" t="s">
        <v>66</v>
      </c>
      <c r="N187" s="103" t="s">
        <v>78</v>
      </c>
      <c r="O187" s="103" t="n">
        <v>21</v>
      </c>
      <c r="P187" s="103" t="n">
        <v>10</v>
      </c>
      <c r="Q187" s="103" t="n">
        <v>4</v>
      </c>
      <c r="R187" s="103" t="s">
        <v>135</v>
      </c>
      <c r="S187" s="103" t="n">
        <v>1619</v>
      </c>
      <c r="T187" s="103" t="n">
        <v>1589</v>
      </c>
      <c r="U187" s="103" t="s">
        <v>893</v>
      </c>
      <c r="V187" s="103" t="n">
        <v>2025</v>
      </c>
    </row>
    <row r="188" customFormat="false" ht="14.25" hidden="false" customHeight="false" outlineLevel="0" collapsed="false">
      <c r="A188" s="103" t="s">
        <v>902</v>
      </c>
      <c r="B188" s="103" t="s">
        <v>526</v>
      </c>
      <c r="C188" s="104" t="n">
        <v>45720</v>
      </c>
      <c r="D188" s="103" t="s">
        <v>111</v>
      </c>
      <c r="E188" s="103" t="n">
        <v>51</v>
      </c>
      <c r="F188" s="103" t="s">
        <v>171</v>
      </c>
      <c r="G188" s="103" t="s">
        <v>86</v>
      </c>
      <c r="H188" s="103" t="n">
        <v>3.6</v>
      </c>
      <c r="I188" s="103" t="n">
        <v>904</v>
      </c>
      <c r="J188" s="103" t="n">
        <v>30</v>
      </c>
      <c r="K188" s="103" t="n">
        <v>100</v>
      </c>
      <c r="L188" s="103" t="s">
        <v>94</v>
      </c>
      <c r="M188" s="103" t="s">
        <v>65</v>
      </c>
      <c r="N188" s="103" t="s">
        <v>77</v>
      </c>
      <c r="O188" s="103" t="n">
        <v>28</v>
      </c>
      <c r="P188" s="103" t="n">
        <v>6.1</v>
      </c>
      <c r="Q188" s="103" t="n">
        <v>5</v>
      </c>
      <c r="R188" s="103" t="s">
        <v>137</v>
      </c>
      <c r="S188" s="103" t="n">
        <v>934</v>
      </c>
      <c r="T188" s="103" t="n">
        <v>834</v>
      </c>
      <c r="U188" s="103" t="s">
        <v>893</v>
      </c>
      <c r="V188" s="103" t="n">
        <v>2025</v>
      </c>
    </row>
    <row r="189" customFormat="false" ht="14.25" hidden="false" customHeight="false" outlineLevel="0" collapsed="false">
      <c r="A189" s="103" t="s">
        <v>903</v>
      </c>
      <c r="B189" s="103" t="s">
        <v>527</v>
      </c>
      <c r="C189" s="104" t="n">
        <v>45720</v>
      </c>
      <c r="D189" s="103" t="s">
        <v>109</v>
      </c>
      <c r="E189" s="103" t="n">
        <v>34</v>
      </c>
      <c r="F189" s="103" t="s">
        <v>170</v>
      </c>
      <c r="G189" s="103" t="s">
        <v>87</v>
      </c>
      <c r="H189" s="103" t="n">
        <v>3.6</v>
      </c>
      <c r="I189" s="103" t="n">
        <v>724</v>
      </c>
      <c r="J189" s="103" t="n">
        <v>60</v>
      </c>
      <c r="K189" s="103" t="n">
        <v>200</v>
      </c>
      <c r="L189" s="103" t="s">
        <v>97</v>
      </c>
      <c r="M189" s="103" t="s">
        <v>65</v>
      </c>
      <c r="N189" s="103" t="s">
        <v>77</v>
      </c>
      <c r="O189" s="103" t="n">
        <v>20</v>
      </c>
      <c r="P189" s="103" t="n">
        <v>12.6</v>
      </c>
      <c r="Q189" s="103" t="n">
        <v>2</v>
      </c>
      <c r="R189" s="103" t="s">
        <v>135</v>
      </c>
      <c r="S189" s="103" t="n">
        <v>784</v>
      </c>
      <c r="T189" s="103" t="n">
        <v>584</v>
      </c>
      <c r="U189" s="103" t="s">
        <v>893</v>
      </c>
      <c r="V189" s="103" t="n">
        <v>2025</v>
      </c>
    </row>
    <row r="190" customFormat="false" ht="14.25" hidden="false" customHeight="false" outlineLevel="0" collapsed="false">
      <c r="A190" s="103" t="s">
        <v>904</v>
      </c>
      <c r="B190" s="103" t="s">
        <v>528</v>
      </c>
      <c r="C190" s="104" t="n">
        <v>45720</v>
      </c>
      <c r="D190" s="103" t="s">
        <v>106</v>
      </c>
      <c r="E190" s="103" t="n">
        <v>54</v>
      </c>
      <c r="F190" s="103" t="s">
        <v>170</v>
      </c>
      <c r="G190" s="103" t="s">
        <v>82</v>
      </c>
      <c r="H190" s="103" t="n">
        <v>4</v>
      </c>
      <c r="I190" s="103" t="n">
        <v>1021</v>
      </c>
      <c r="J190" s="103" t="n">
        <v>50</v>
      </c>
      <c r="K190" s="103" t="n">
        <v>75</v>
      </c>
      <c r="L190" s="103" t="s">
        <v>95</v>
      </c>
      <c r="M190" s="103" t="s">
        <v>67</v>
      </c>
      <c r="N190" s="103" t="s">
        <v>78</v>
      </c>
      <c r="O190" s="103" t="n">
        <v>35</v>
      </c>
      <c r="P190" s="103" t="n">
        <v>14.3</v>
      </c>
      <c r="Q190" s="103" t="n">
        <v>5</v>
      </c>
      <c r="R190" s="103" t="s">
        <v>141</v>
      </c>
      <c r="S190" s="103" t="n">
        <v>1071</v>
      </c>
      <c r="T190" s="103" t="n">
        <v>996</v>
      </c>
      <c r="U190" s="103" t="s">
        <v>893</v>
      </c>
      <c r="V190" s="103" t="n">
        <v>2025</v>
      </c>
    </row>
    <row r="191" customFormat="false" ht="14.25" hidden="false" customHeight="false" outlineLevel="0" collapsed="false">
      <c r="A191" s="103" t="s">
        <v>905</v>
      </c>
      <c r="B191" s="103" t="s">
        <v>529</v>
      </c>
      <c r="C191" s="104" t="n">
        <v>45721</v>
      </c>
      <c r="D191" s="103" t="s">
        <v>109</v>
      </c>
      <c r="E191" s="103" t="n">
        <v>42</v>
      </c>
      <c r="F191" s="103" t="s">
        <v>171</v>
      </c>
      <c r="G191" s="103" t="s">
        <v>87</v>
      </c>
      <c r="H191" s="103" t="n">
        <v>4.2</v>
      </c>
      <c r="I191" s="103" t="n">
        <v>1325</v>
      </c>
      <c r="J191" s="103" t="n">
        <v>50</v>
      </c>
      <c r="K191" s="103" t="n">
        <v>150</v>
      </c>
      <c r="L191" s="103" t="s">
        <v>96</v>
      </c>
      <c r="M191" s="103" t="s">
        <v>65</v>
      </c>
      <c r="N191" s="103" t="s">
        <v>77</v>
      </c>
      <c r="O191" s="103" t="n">
        <v>29</v>
      </c>
      <c r="P191" s="103" t="n">
        <v>12.2</v>
      </c>
      <c r="Q191" s="103" t="n">
        <v>2</v>
      </c>
      <c r="R191" s="103" t="s">
        <v>135</v>
      </c>
      <c r="S191" s="103" t="n">
        <v>1375</v>
      </c>
      <c r="T191" s="103" t="n">
        <v>1225</v>
      </c>
      <c r="U191" s="103" t="s">
        <v>893</v>
      </c>
      <c r="V191" s="103" t="n">
        <v>2025</v>
      </c>
    </row>
    <row r="192" customFormat="false" ht="14.25" hidden="false" customHeight="false" outlineLevel="0" collapsed="false">
      <c r="A192" s="103" t="s">
        <v>906</v>
      </c>
      <c r="B192" s="103" t="s">
        <v>530</v>
      </c>
      <c r="C192" s="104" t="n">
        <v>45721</v>
      </c>
      <c r="D192" s="103" t="s">
        <v>102</v>
      </c>
      <c r="E192" s="103" t="n">
        <v>55</v>
      </c>
      <c r="F192" s="103" t="s">
        <v>170</v>
      </c>
      <c r="G192" s="103" t="s">
        <v>81</v>
      </c>
      <c r="H192" s="103" t="n">
        <v>3.8</v>
      </c>
      <c r="I192" s="103" t="n">
        <v>865</v>
      </c>
      <c r="J192" s="103" t="n">
        <v>20</v>
      </c>
      <c r="K192" s="103" t="n">
        <v>200</v>
      </c>
      <c r="L192" s="103" t="s">
        <v>97</v>
      </c>
      <c r="M192" s="103" t="s">
        <v>65</v>
      </c>
      <c r="N192" s="103" t="s">
        <v>77</v>
      </c>
      <c r="O192" s="103" t="n">
        <v>66</v>
      </c>
      <c r="P192" s="103" t="n">
        <v>6</v>
      </c>
      <c r="Q192" s="103" t="n">
        <v>5</v>
      </c>
      <c r="R192" s="103" t="s">
        <v>136</v>
      </c>
      <c r="S192" s="103" t="n">
        <v>885</v>
      </c>
      <c r="T192" s="103" t="n">
        <v>685</v>
      </c>
      <c r="U192" s="103" t="s">
        <v>893</v>
      </c>
      <c r="V192" s="103" t="n">
        <v>2025</v>
      </c>
    </row>
    <row r="193" customFormat="false" ht="14.25" hidden="false" customHeight="false" outlineLevel="0" collapsed="false">
      <c r="A193" s="103" t="s">
        <v>907</v>
      </c>
      <c r="B193" s="103" t="s">
        <v>531</v>
      </c>
      <c r="C193" s="104" t="n">
        <v>45721</v>
      </c>
      <c r="D193" s="103" t="s">
        <v>108</v>
      </c>
      <c r="E193" s="103" t="n">
        <v>29</v>
      </c>
      <c r="F193" s="103" t="s">
        <v>170</v>
      </c>
      <c r="G193" s="103" t="s">
        <v>86</v>
      </c>
      <c r="H193" s="103" t="n">
        <v>4.1</v>
      </c>
      <c r="I193" s="103" t="n">
        <v>1697</v>
      </c>
      <c r="J193" s="103" t="n">
        <v>60</v>
      </c>
      <c r="K193" s="103" t="n">
        <v>30</v>
      </c>
      <c r="L193" s="103" t="s">
        <v>97</v>
      </c>
      <c r="M193" s="103" t="s">
        <v>65</v>
      </c>
      <c r="N193" s="103" t="s">
        <v>77</v>
      </c>
      <c r="O193" s="103" t="n">
        <v>22</v>
      </c>
      <c r="P193" s="103" t="n">
        <v>11.9</v>
      </c>
      <c r="Q193" s="103" t="n">
        <v>5</v>
      </c>
      <c r="R193" s="103" t="s">
        <v>137</v>
      </c>
      <c r="S193" s="103" t="n">
        <v>1757</v>
      </c>
      <c r="T193" s="103" t="n">
        <v>1727</v>
      </c>
      <c r="U193" s="103" t="s">
        <v>893</v>
      </c>
      <c r="V193" s="103" t="n">
        <v>2025</v>
      </c>
    </row>
    <row r="194" customFormat="false" ht="14.25" hidden="false" customHeight="false" outlineLevel="0" collapsed="false">
      <c r="A194" s="103" t="s">
        <v>908</v>
      </c>
      <c r="B194" s="103" t="s">
        <v>532</v>
      </c>
      <c r="C194" s="104" t="n">
        <v>45722</v>
      </c>
      <c r="D194" s="103" t="s">
        <v>107</v>
      </c>
      <c r="E194" s="103" t="n">
        <v>40</v>
      </c>
      <c r="F194" s="103" t="s">
        <v>170</v>
      </c>
      <c r="G194" s="103" t="s">
        <v>86</v>
      </c>
      <c r="H194" s="103" t="n">
        <v>2.6</v>
      </c>
      <c r="I194" s="103" t="n">
        <v>616</v>
      </c>
      <c r="J194" s="103" t="n">
        <v>60</v>
      </c>
      <c r="K194" s="103" t="n">
        <v>0</v>
      </c>
      <c r="L194" s="103" t="s">
        <v>93</v>
      </c>
      <c r="M194" s="103" t="s">
        <v>67</v>
      </c>
      <c r="N194" s="103" t="s">
        <v>77</v>
      </c>
      <c r="O194" s="103" t="n">
        <v>48</v>
      </c>
      <c r="P194" s="103" t="n">
        <v>5.6</v>
      </c>
      <c r="Q194" s="103" t="n">
        <v>3</v>
      </c>
      <c r="R194" s="103" t="s">
        <v>141</v>
      </c>
      <c r="S194" s="103" t="n">
        <v>676</v>
      </c>
      <c r="T194" s="103" t="n">
        <v>676</v>
      </c>
      <c r="U194" s="103" t="s">
        <v>893</v>
      </c>
      <c r="V194" s="103" t="n">
        <v>2025</v>
      </c>
    </row>
    <row r="195" customFormat="false" ht="14.25" hidden="false" customHeight="false" outlineLevel="0" collapsed="false">
      <c r="A195" s="103" t="s">
        <v>909</v>
      </c>
      <c r="B195" s="103" t="s">
        <v>533</v>
      </c>
      <c r="C195" s="104" t="n">
        <v>45722</v>
      </c>
      <c r="D195" s="103" t="s">
        <v>105</v>
      </c>
      <c r="E195" s="103" t="n">
        <v>59</v>
      </c>
      <c r="F195" s="103" t="s">
        <v>170</v>
      </c>
      <c r="G195" s="103" t="s">
        <v>86</v>
      </c>
      <c r="H195" s="103" t="n">
        <v>3.6</v>
      </c>
      <c r="I195" s="103" t="n">
        <v>919</v>
      </c>
      <c r="J195" s="103" t="n">
        <v>0</v>
      </c>
      <c r="K195" s="103" t="n">
        <v>150</v>
      </c>
      <c r="L195" s="103" t="s">
        <v>93</v>
      </c>
      <c r="M195" s="103" t="s">
        <v>65</v>
      </c>
      <c r="N195" s="103" t="s">
        <v>77</v>
      </c>
      <c r="O195" s="103" t="n">
        <v>54</v>
      </c>
      <c r="P195" s="103" t="n">
        <v>2.9</v>
      </c>
      <c r="Q195" s="103" t="n">
        <v>4</v>
      </c>
      <c r="R195" s="103" t="s">
        <v>134</v>
      </c>
      <c r="S195" s="103" t="n">
        <v>919</v>
      </c>
      <c r="T195" s="103" t="n">
        <v>769</v>
      </c>
      <c r="U195" s="103" t="s">
        <v>893</v>
      </c>
      <c r="V195" s="103" t="n">
        <v>2025</v>
      </c>
    </row>
    <row r="196" customFormat="false" ht="14.25" hidden="false" customHeight="false" outlineLevel="0" collapsed="false">
      <c r="A196" s="103" t="s">
        <v>910</v>
      </c>
      <c r="B196" s="103" t="s">
        <v>534</v>
      </c>
      <c r="C196" s="104" t="n">
        <v>45722</v>
      </c>
      <c r="D196" s="103" t="s">
        <v>111</v>
      </c>
      <c r="E196" s="103" t="n">
        <v>39</v>
      </c>
      <c r="F196" s="103" t="s">
        <v>170</v>
      </c>
      <c r="G196" s="103" t="s">
        <v>85</v>
      </c>
      <c r="H196" s="103" t="n">
        <v>3.2</v>
      </c>
      <c r="I196" s="103" t="n">
        <v>1392</v>
      </c>
      <c r="J196" s="103" t="n">
        <v>40</v>
      </c>
      <c r="K196" s="103" t="n">
        <v>10</v>
      </c>
      <c r="L196" s="103" t="s">
        <v>93</v>
      </c>
      <c r="M196" s="103" t="s">
        <v>65</v>
      </c>
      <c r="N196" s="103" t="s">
        <v>77</v>
      </c>
      <c r="O196" s="103" t="n">
        <v>15</v>
      </c>
      <c r="P196" s="103" t="n">
        <v>1</v>
      </c>
      <c r="Q196" s="103" t="n">
        <v>4</v>
      </c>
      <c r="R196" s="103" t="s">
        <v>132</v>
      </c>
      <c r="S196" s="103" t="n">
        <v>1432</v>
      </c>
      <c r="T196" s="103" t="n">
        <v>1422</v>
      </c>
      <c r="U196" s="103" t="s">
        <v>893</v>
      </c>
      <c r="V196" s="103" t="n">
        <v>2025</v>
      </c>
    </row>
    <row r="197" customFormat="false" ht="14.25" hidden="false" customHeight="false" outlineLevel="0" collapsed="false">
      <c r="A197" s="103" t="s">
        <v>911</v>
      </c>
      <c r="B197" s="103" t="s">
        <v>535</v>
      </c>
      <c r="C197" s="104" t="n">
        <v>45723</v>
      </c>
      <c r="D197" s="103" t="s">
        <v>109</v>
      </c>
      <c r="E197" s="103" t="n">
        <v>38</v>
      </c>
      <c r="F197" s="103" t="s">
        <v>170</v>
      </c>
      <c r="G197" s="103" t="s">
        <v>81</v>
      </c>
      <c r="H197" s="103" t="n">
        <v>2.8</v>
      </c>
      <c r="I197" s="103" t="n">
        <v>1278</v>
      </c>
      <c r="J197" s="103" t="n">
        <v>30</v>
      </c>
      <c r="K197" s="103" t="n">
        <v>0</v>
      </c>
      <c r="L197" s="103" t="s">
        <v>93</v>
      </c>
      <c r="M197" s="103" t="s">
        <v>65</v>
      </c>
      <c r="N197" s="103" t="s">
        <v>77</v>
      </c>
      <c r="O197" s="103" t="n">
        <v>46</v>
      </c>
      <c r="P197" s="103" t="n">
        <v>6.1</v>
      </c>
      <c r="Q197" s="103" t="n">
        <v>5</v>
      </c>
      <c r="R197" s="103" t="s">
        <v>141</v>
      </c>
      <c r="S197" s="103" t="n">
        <v>1308</v>
      </c>
      <c r="T197" s="103" t="n">
        <v>1308</v>
      </c>
      <c r="U197" s="103" t="s">
        <v>893</v>
      </c>
      <c r="V197" s="103" t="n">
        <v>2025</v>
      </c>
    </row>
    <row r="198" customFormat="false" ht="14.25" hidden="false" customHeight="false" outlineLevel="0" collapsed="false">
      <c r="A198" s="103" t="s">
        <v>912</v>
      </c>
      <c r="B198" s="103" t="s">
        <v>536</v>
      </c>
      <c r="C198" s="104" t="n">
        <v>45723</v>
      </c>
      <c r="D198" s="103" t="s">
        <v>103</v>
      </c>
      <c r="E198" s="103" t="n">
        <v>44</v>
      </c>
      <c r="F198" s="103" t="s">
        <v>171</v>
      </c>
      <c r="G198" s="103" t="s">
        <v>83</v>
      </c>
      <c r="H198" s="103" t="n">
        <v>2.7</v>
      </c>
      <c r="I198" s="103" t="n">
        <v>1571</v>
      </c>
      <c r="J198" s="103" t="n">
        <v>0</v>
      </c>
      <c r="K198" s="103" t="n">
        <v>100</v>
      </c>
      <c r="L198" s="103" t="s">
        <v>93</v>
      </c>
      <c r="M198" s="103" t="s">
        <v>65</v>
      </c>
      <c r="N198" s="103" t="s">
        <v>77</v>
      </c>
      <c r="O198" s="103" t="n">
        <v>63</v>
      </c>
      <c r="P198" s="103" t="n">
        <v>13.6</v>
      </c>
      <c r="Q198" s="103" t="n">
        <v>4</v>
      </c>
      <c r="R198" s="103" t="s">
        <v>134</v>
      </c>
      <c r="S198" s="103" t="n">
        <v>1571</v>
      </c>
      <c r="T198" s="103" t="n">
        <v>1471</v>
      </c>
      <c r="U198" s="103" t="s">
        <v>893</v>
      </c>
      <c r="V198" s="103" t="n">
        <v>2025</v>
      </c>
    </row>
    <row r="199" customFormat="false" ht="14.25" hidden="false" customHeight="false" outlineLevel="0" collapsed="false">
      <c r="A199" s="103" t="s">
        <v>913</v>
      </c>
      <c r="B199" s="103" t="s">
        <v>537</v>
      </c>
      <c r="C199" s="104" t="n">
        <v>45723</v>
      </c>
      <c r="D199" s="103" t="s">
        <v>100</v>
      </c>
      <c r="E199" s="103" t="n">
        <v>48</v>
      </c>
      <c r="F199" s="103" t="s">
        <v>170</v>
      </c>
      <c r="G199" s="103" t="s">
        <v>87</v>
      </c>
      <c r="H199" s="103" t="n">
        <v>4</v>
      </c>
      <c r="I199" s="103" t="n">
        <v>1795</v>
      </c>
      <c r="J199" s="103" t="n">
        <v>60</v>
      </c>
      <c r="K199" s="103" t="n">
        <v>200</v>
      </c>
      <c r="L199" s="103" t="s">
        <v>93</v>
      </c>
      <c r="M199" s="103" t="s">
        <v>65</v>
      </c>
      <c r="N199" s="103" t="s">
        <v>77</v>
      </c>
      <c r="O199" s="103" t="n">
        <v>65</v>
      </c>
      <c r="P199" s="103" t="n">
        <v>4</v>
      </c>
      <c r="Q199" s="103" t="n">
        <v>5</v>
      </c>
      <c r="R199" s="103" t="s">
        <v>140</v>
      </c>
      <c r="S199" s="103" t="n">
        <v>1855</v>
      </c>
      <c r="T199" s="103" t="n">
        <v>1655</v>
      </c>
      <c r="U199" s="103" t="s">
        <v>893</v>
      </c>
      <c r="V199" s="103" t="n">
        <v>2025</v>
      </c>
    </row>
    <row r="200" customFormat="false" ht="14.25" hidden="false" customHeight="false" outlineLevel="0" collapsed="false">
      <c r="A200" s="103" t="s">
        <v>914</v>
      </c>
      <c r="B200" s="103" t="s">
        <v>538</v>
      </c>
      <c r="C200" s="104" t="n">
        <v>45724</v>
      </c>
      <c r="D200" s="103" t="s">
        <v>102</v>
      </c>
      <c r="E200" s="103" t="n">
        <v>23</v>
      </c>
      <c r="F200" s="103" t="s">
        <v>170</v>
      </c>
      <c r="G200" s="103" t="s">
        <v>83</v>
      </c>
      <c r="H200" s="103" t="n">
        <v>3.8</v>
      </c>
      <c r="I200" s="103" t="n">
        <v>837</v>
      </c>
      <c r="J200" s="103" t="n">
        <v>0</v>
      </c>
      <c r="K200" s="103" t="n">
        <v>200</v>
      </c>
      <c r="L200" s="103" t="s">
        <v>93</v>
      </c>
      <c r="M200" s="103" t="s">
        <v>65</v>
      </c>
      <c r="N200" s="103" t="s">
        <v>77</v>
      </c>
      <c r="O200" s="103" t="n">
        <v>19</v>
      </c>
      <c r="P200" s="103" t="n">
        <v>3.5</v>
      </c>
      <c r="Q200" s="103" t="n">
        <v>4</v>
      </c>
      <c r="R200" s="103" t="s">
        <v>136</v>
      </c>
      <c r="S200" s="103" t="n">
        <v>837</v>
      </c>
      <c r="T200" s="103" t="n">
        <v>637</v>
      </c>
      <c r="U200" s="103" t="s">
        <v>893</v>
      </c>
      <c r="V200" s="103" t="n">
        <v>2025</v>
      </c>
    </row>
    <row r="201" customFormat="false" ht="14.25" hidden="false" customHeight="false" outlineLevel="0" collapsed="false">
      <c r="A201" s="103" t="s">
        <v>915</v>
      </c>
      <c r="B201" s="103" t="s">
        <v>539</v>
      </c>
      <c r="C201" s="104" t="n">
        <v>45724</v>
      </c>
      <c r="D201" s="103" t="s">
        <v>104</v>
      </c>
      <c r="E201" s="103" t="n">
        <v>44</v>
      </c>
      <c r="F201" s="103" t="s">
        <v>170</v>
      </c>
      <c r="G201" s="103" t="s">
        <v>90</v>
      </c>
      <c r="H201" s="103" t="n">
        <v>3.1</v>
      </c>
      <c r="I201" s="103" t="n">
        <v>307</v>
      </c>
      <c r="J201" s="103" t="n">
        <v>20</v>
      </c>
      <c r="K201" s="103" t="n">
        <v>20</v>
      </c>
      <c r="L201" s="103" t="s">
        <v>94</v>
      </c>
      <c r="M201" s="103" t="s">
        <v>67</v>
      </c>
      <c r="N201" s="103" t="s">
        <v>78</v>
      </c>
      <c r="O201" s="103" t="n">
        <v>44</v>
      </c>
      <c r="P201" s="103" t="n">
        <v>14.6</v>
      </c>
      <c r="Q201" s="103" t="n">
        <v>2</v>
      </c>
      <c r="R201" s="103" t="s">
        <v>135</v>
      </c>
      <c r="S201" s="103" t="n">
        <v>327</v>
      </c>
      <c r="T201" s="103" t="n">
        <v>307</v>
      </c>
      <c r="U201" s="103" t="s">
        <v>893</v>
      </c>
      <c r="V201" s="103" t="n">
        <v>2025</v>
      </c>
    </row>
    <row r="202" customFormat="false" ht="14.25" hidden="false" customHeight="false" outlineLevel="0" collapsed="false">
      <c r="A202" s="103" t="s">
        <v>916</v>
      </c>
      <c r="B202" s="103" t="s">
        <v>540</v>
      </c>
      <c r="C202" s="104" t="n">
        <v>45724</v>
      </c>
      <c r="D202" s="103" t="s">
        <v>101</v>
      </c>
      <c r="E202" s="103" t="n">
        <v>57</v>
      </c>
      <c r="F202" s="103" t="s">
        <v>170</v>
      </c>
      <c r="G202" s="103" t="s">
        <v>84</v>
      </c>
      <c r="H202" s="103" t="n">
        <v>3.7</v>
      </c>
      <c r="I202" s="103" t="n">
        <v>171</v>
      </c>
      <c r="J202" s="103" t="n">
        <v>40</v>
      </c>
      <c r="K202" s="103" t="n">
        <v>75</v>
      </c>
      <c r="L202" s="103" t="s">
        <v>95</v>
      </c>
      <c r="M202" s="103" t="s">
        <v>65</v>
      </c>
      <c r="N202" s="103" t="s">
        <v>78</v>
      </c>
      <c r="O202" s="103" t="n">
        <v>36</v>
      </c>
      <c r="P202" s="103" t="n">
        <v>0.9</v>
      </c>
      <c r="Q202" s="103" t="n">
        <v>1</v>
      </c>
      <c r="R202" s="103" t="s">
        <v>131</v>
      </c>
      <c r="S202" s="103" t="n">
        <v>211</v>
      </c>
      <c r="T202" s="103" t="n">
        <v>136</v>
      </c>
      <c r="U202" s="103" t="s">
        <v>893</v>
      </c>
      <c r="V202" s="103" t="n">
        <v>2025</v>
      </c>
    </row>
    <row r="203" customFormat="false" ht="14.25" hidden="false" customHeight="false" outlineLevel="0" collapsed="false">
      <c r="A203" s="103" t="s">
        <v>917</v>
      </c>
      <c r="B203" s="103" t="s">
        <v>541</v>
      </c>
      <c r="C203" s="104" t="n">
        <v>45725</v>
      </c>
      <c r="D203" s="103" t="s">
        <v>105</v>
      </c>
      <c r="E203" s="103" t="n">
        <v>51</v>
      </c>
      <c r="F203" s="103" t="s">
        <v>170</v>
      </c>
      <c r="G203" s="103" t="s">
        <v>88</v>
      </c>
      <c r="H203" s="103" t="n">
        <v>3.7</v>
      </c>
      <c r="I203" s="103" t="n">
        <v>1341</v>
      </c>
      <c r="J203" s="103" t="n">
        <v>60</v>
      </c>
      <c r="K203" s="103" t="n">
        <v>100</v>
      </c>
      <c r="L203" s="103" t="s">
        <v>93</v>
      </c>
      <c r="M203" s="103" t="s">
        <v>65</v>
      </c>
      <c r="N203" s="103" t="s">
        <v>78</v>
      </c>
      <c r="O203" s="103" t="n">
        <v>34</v>
      </c>
      <c r="P203" s="103" t="n">
        <v>11.9</v>
      </c>
      <c r="Q203" s="103" t="n">
        <v>2</v>
      </c>
      <c r="R203" s="103" t="s">
        <v>135</v>
      </c>
      <c r="S203" s="103" t="n">
        <v>1401</v>
      </c>
      <c r="T203" s="103" t="n">
        <v>1301</v>
      </c>
      <c r="U203" s="103" t="s">
        <v>893</v>
      </c>
      <c r="V203" s="103" t="n">
        <v>2025</v>
      </c>
    </row>
    <row r="204" customFormat="false" ht="14.25" hidden="false" customHeight="false" outlineLevel="0" collapsed="false">
      <c r="A204" s="103" t="s">
        <v>918</v>
      </c>
      <c r="B204" s="103" t="s">
        <v>542</v>
      </c>
      <c r="C204" s="104" t="n">
        <v>45725</v>
      </c>
      <c r="D204" s="103" t="s">
        <v>111</v>
      </c>
      <c r="E204" s="103" t="n">
        <v>29</v>
      </c>
      <c r="F204" s="103" t="s">
        <v>171</v>
      </c>
      <c r="G204" s="103" t="s">
        <v>88</v>
      </c>
      <c r="H204" s="103" t="n">
        <v>3</v>
      </c>
      <c r="I204" s="103" t="n">
        <v>1588</v>
      </c>
      <c r="J204" s="103" t="n">
        <v>60</v>
      </c>
      <c r="K204" s="103" t="n">
        <v>200</v>
      </c>
      <c r="L204" s="103" t="s">
        <v>95</v>
      </c>
      <c r="M204" s="103" t="s">
        <v>65</v>
      </c>
      <c r="N204" s="103" t="s">
        <v>77</v>
      </c>
      <c r="O204" s="103" t="n">
        <v>30</v>
      </c>
      <c r="P204" s="103" t="n">
        <v>5.2</v>
      </c>
      <c r="Q204" s="103" t="n">
        <v>5</v>
      </c>
      <c r="R204" s="103" t="s">
        <v>142</v>
      </c>
      <c r="S204" s="103" t="n">
        <v>1648</v>
      </c>
      <c r="T204" s="103" t="n">
        <v>1448</v>
      </c>
      <c r="U204" s="103" t="s">
        <v>893</v>
      </c>
      <c r="V204" s="103" t="n">
        <v>2025</v>
      </c>
    </row>
    <row r="205" customFormat="false" ht="14.25" hidden="false" customHeight="false" outlineLevel="0" collapsed="false">
      <c r="A205" s="103" t="s">
        <v>919</v>
      </c>
      <c r="B205" s="103" t="s">
        <v>543</v>
      </c>
      <c r="C205" s="104" t="n">
        <v>45725</v>
      </c>
      <c r="D205" s="103" t="s">
        <v>107</v>
      </c>
      <c r="E205" s="103" t="n">
        <v>24</v>
      </c>
      <c r="F205" s="103" t="s">
        <v>171</v>
      </c>
      <c r="G205" s="103" t="s">
        <v>83</v>
      </c>
      <c r="H205" s="103" t="n">
        <v>4.1</v>
      </c>
      <c r="I205" s="103" t="n">
        <v>491</v>
      </c>
      <c r="J205" s="103" t="n">
        <v>30</v>
      </c>
      <c r="K205" s="103" t="n">
        <v>10</v>
      </c>
      <c r="L205" s="103" t="s">
        <v>95</v>
      </c>
      <c r="M205" s="103" t="s">
        <v>65</v>
      </c>
      <c r="N205" s="103" t="s">
        <v>77</v>
      </c>
      <c r="O205" s="103" t="n">
        <v>21</v>
      </c>
      <c r="P205" s="103" t="n">
        <v>1</v>
      </c>
      <c r="Q205" s="103" t="n">
        <v>5</v>
      </c>
      <c r="R205" s="103" t="s">
        <v>136</v>
      </c>
      <c r="S205" s="103" t="n">
        <v>521</v>
      </c>
      <c r="T205" s="103" t="n">
        <v>511</v>
      </c>
      <c r="U205" s="103" t="s">
        <v>893</v>
      </c>
      <c r="V205" s="103" t="n">
        <v>2025</v>
      </c>
    </row>
    <row r="206" customFormat="false" ht="14.25" hidden="false" customHeight="false" outlineLevel="0" collapsed="false">
      <c r="A206" s="103" t="s">
        <v>920</v>
      </c>
      <c r="B206" s="103" t="s">
        <v>544</v>
      </c>
      <c r="C206" s="104" t="n">
        <v>45726</v>
      </c>
      <c r="D206" s="103" t="s">
        <v>105</v>
      </c>
      <c r="E206" s="103" t="n">
        <v>27</v>
      </c>
      <c r="F206" s="103" t="s">
        <v>171</v>
      </c>
      <c r="G206" s="103" t="s">
        <v>84</v>
      </c>
      <c r="H206" s="103" t="n">
        <v>4.5</v>
      </c>
      <c r="I206" s="103" t="n">
        <v>386</v>
      </c>
      <c r="J206" s="103" t="n">
        <v>40</v>
      </c>
      <c r="K206" s="103" t="n">
        <v>150</v>
      </c>
      <c r="L206" s="103" t="s">
        <v>94</v>
      </c>
      <c r="M206" s="103" t="s">
        <v>65</v>
      </c>
      <c r="N206" s="103" t="s">
        <v>78</v>
      </c>
      <c r="O206" s="103" t="n">
        <v>21</v>
      </c>
      <c r="P206" s="103" t="n">
        <v>13.8</v>
      </c>
      <c r="Q206" s="103" t="n">
        <v>4</v>
      </c>
      <c r="R206" s="103" t="s">
        <v>137</v>
      </c>
      <c r="S206" s="103" t="n">
        <v>426</v>
      </c>
      <c r="T206" s="103" t="n">
        <v>276</v>
      </c>
      <c r="U206" s="103" t="s">
        <v>893</v>
      </c>
      <c r="V206" s="103" t="n">
        <v>2025</v>
      </c>
    </row>
    <row r="207" customFormat="false" ht="14.25" hidden="false" customHeight="false" outlineLevel="0" collapsed="false">
      <c r="A207" s="103" t="s">
        <v>921</v>
      </c>
      <c r="B207" s="103" t="s">
        <v>545</v>
      </c>
      <c r="C207" s="104" t="n">
        <v>45726</v>
      </c>
      <c r="D207" s="103" t="s">
        <v>109</v>
      </c>
      <c r="E207" s="103" t="n">
        <v>34</v>
      </c>
      <c r="F207" s="103" t="s">
        <v>171</v>
      </c>
      <c r="G207" s="103" t="s">
        <v>84</v>
      </c>
      <c r="H207" s="103" t="n">
        <v>4.5</v>
      </c>
      <c r="I207" s="103" t="n">
        <v>225</v>
      </c>
      <c r="J207" s="103" t="n">
        <v>20</v>
      </c>
      <c r="K207" s="103" t="n">
        <v>100</v>
      </c>
      <c r="L207" s="103" t="s">
        <v>96</v>
      </c>
      <c r="M207" s="103" t="s">
        <v>65</v>
      </c>
      <c r="N207" s="103" t="s">
        <v>77</v>
      </c>
      <c r="O207" s="103" t="n">
        <v>64</v>
      </c>
      <c r="P207" s="103" t="n">
        <v>2.5</v>
      </c>
      <c r="Q207" s="103" t="n">
        <v>4</v>
      </c>
      <c r="R207" s="103" t="s">
        <v>132</v>
      </c>
      <c r="S207" s="103" t="n">
        <v>245</v>
      </c>
      <c r="T207" s="103" t="n">
        <v>145</v>
      </c>
      <c r="U207" s="103" t="s">
        <v>893</v>
      </c>
      <c r="V207" s="103" t="n">
        <v>2025</v>
      </c>
    </row>
    <row r="208" customFormat="false" ht="14.25" hidden="false" customHeight="false" outlineLevel="0" collapsed="false">
      <c r="A208" s="103" t="s">
        <v>922</v>
      </c>
      <c r="B208" s="103" t="s">
        <v>546</v>
      </c>
      <c r="C208" s="104" t="n">
        <v>45726</v>
      </c>
      <c r="D208" s="103" t="s">
        <v>106</v>
      </c>
      <c r="E208" s="103" t="n">
        <v>43</v>
      </c>
      <c r="F208" s="103" t="s">
        <v>170</v>
      </c>
      <c r="G208" s="103" t="s">
        <v>82</v>
      </c>
      <c r="H208" s="103" t="n">
        <v>4</v>
      </c>
      <c r="I208" s="103" t="n">
        <v>1502</v>
      </c>
      <c r="J208" s="103" t="n">
        <v>50</v>
      </c>
      <c r="K208" s="103" t="n">
        <v>30</v>
      </c>
      <c r="L208" s="103" t="s">
        <v>93</v>
      </c>
      <c r="M208" s="103" t="s">
        <v>65</v>
      </c>
      <c r="N208" s="103" t="s">
        <v>77</v>
      </c>
      <c r="O208" s="103" t="n">
        <v>64</v>
      </c>
      <c r="P208" s="103" t="n">
        <v>8.5</v>
      </c>
      <c r="Q208" s="103" t="n">
        <v>3</v>
      </c>
      <c r="R208" s="103" t="s">
        <v>136</v>
      </c>
      <c r="S208" s="103" t="n">
        <v>1552</v>
      </c>
      <c r="T208" s="103" t="n">
        <v>1522</v>
      </c>
      <c r="U208" s="103" t="s">
        <v>893</v>
      </c>
      <c r="V208" s="103" t="n">
        <v>2025</v>
      </c>
    </row>
    <row r="209" customFormat="false" ht="14.25" hidden="false" customHeight="false" outlineLevel="0" collapsed="false">
      <c r="A209" s="103" t="s">
        <v>923</v>
      </c>
      <c r="B209" s="103" t="s">
        <v>547</v>
      </c>
      <c r="C209" s="104" t="n">
        <v>45727</v>
      </c>
      <c r="D209" s="103" t="s">
        <v>100</v>
      </c>
      <c r="E209" s="103" t="n">
        <v>38</v>
      </c>
      <c r="F209" s="103" t="s">
        <v>172</v>
      </c>
      <c r="G209" s="103" t="s">
        <v>90</v>
      </c>
      <c r="H209" s="103" t="n">
        <v>3.8</v>
      </c>
      <c r="I209" s="103" t="n">
        <v>643</v>
      </c>
      <c r="J209" s="103" t="n">
        <v>0</v>
      </c>
      <c r="K209" s="103" t="n">
        <v>10</v>
      </c>
      <c r="L209" s="103" t="s">
        <v>93</v>
      </c>
      <c r="M209" s="103" t="s">
        <v>65</v>
      </c>
      <c r="N209" s="103" t="s">
        <v>77</v>
      </c>
      <c r="O209" s="103" t="n">
        <v>16</v>
      </c>
      <c r="P209" s="103" t="n">
        <v>4.5</v>
      </c>
      <c r="Q209" s="103" t="n">
        <v>5</v>
      </c>
      <c r="R209" s="103" t="s">
        <v>133</v>
      </c>
      <c r="S209" s="103" t="n">
        <v>643</v>
      </c>
      <c r="T209" s="103" t="n">
        <v>633</v>
      </c>
      <c r="U209" s="103" t="s">
        <v>893</v>
      </c>
      <c r="V209" s="103" t="n">
        <v>2025</v>
      </c>
    </row>
    <row r="210" customFormat="false" ht="14.25" hidden="false" customHeight="false" outlineLevel="0" collapsed="false">
      <c r="A210" s="103" t="s">
        <v>924</v>
      </c>
      <c r="B210" s="103" t="s">
        <v>548</v>
      </c>
      <c r="C210" s="104" t="n">
        <v>45727</v>
      </c>
      <c r="D210" s="103" t="s">
        <v>100</v>
      </c>
      <c r="E210" s="103" t="n">
        <v>45</v>
      </c>
      <c r="F210" s="103" t="s">
        <v>171</v>
      </c>
      <c r="G210" s="103" t="s">
        <v>81</v>
      </c>
      <c r="H210" s="103" t="n">
        <v>2.7</v>
      </c>
      <c r="I210" s="103" t="n">
        <v>795</v>
      </c>
      <c r="J210" s="103" t="n">
        <v>30</v>
      </c>
      <c r="K210" s="103" t="n">
        <v>150</v>
      </c>
      <c r="L210" s="103" t="s">
        <v>94</v>
      </c>
      <c r="M210" s="103" t="s">
        <v>66</v>
      </c>
      <c r="N210" s="103" t="s">
        <v>77</v>
      </c>
      <c r="O210" s="103" t="n">
        <v>61</v>
      </c>
      <c r="P210" s="103" t="n">
        <v>1.4</v>
      </c>
      <c r="Q210" s="103" t="n">
        <v>3</v>
      </c>
      <c r="R210" s="103" t="s">
        <v>131</v>
      </c>
      <c r="S210" s="103" t="n">
        <v>825</v>
      </c>
      <c r="T210" s="103" t="n">
        <v>675</v>
      </c>
      <c r="U210" s="103" t="s">
        <v>893</v>
      </c>
      <c r="V210" s="103" t="n">
        <v>2025</v>
      </c>
    </row>
    <row r="211" customFormat="false" ht="14.25" hidden="false" customHeight="false" outlineLevel="0" collapsed="false">
      <c r="A211" s="103" t="s">
        <v>925</v>
      </c>
      <c r="B211" s="103" t="s">
        <v>549</v>
      </c>
      <c r="C211" s="104" t="n">
        <v>45727</v>
      </c>
      <c r="D211" s="103" t="s">
        <v>104</v>
      </c>
      <c r="E211" s="103" t="n">
        <v>19</v>
      </c>
      <c r="F211" s="103" t="s">
        <v>171</v>
      </c>
      <c r="G211" s="103" t="s">
        <v>84</v>
      </c>
      <c r="H211" s="103" t="n">
        <v>3.2</v>
      </c>
      <c r="I211" s="103" t="n">
        <v>965</v>
      </c>
      <c r="J211" s="103" t="n">
        <v>60</v>
      </c>
      <c r="K211" s="103" t="n">
        <v>50</v>
      </c>
      <c r="L211" s="103" t="s">
        <v>93</v>
      </c>
      <c r="M211" s="103" t="s">
        <v>65</v>
      </c>
      <c r="N211" s="103" t="s">
        <v>77</v>
      </c>
      <c r="O211" s="103" t="n">
        <v>28</v>
      </c>
      <c r="P211" s="103" t="n">
        <v>1.2</v>
      </c>
      <c r="Q211" s="103" t="n">
        <v>5</v>
      </c>
      <c r="R211" s="103" t="s">
        <v>137</v>
      </c>
      <c r="S211" s="103" t="n">
        <v>1025</v>
      </c>
      <c r="T211" s="103" t="n">
        <v>975</v>
      </c>
      <c r="U211" s="103" t="s">
        <v>893</v>
      </c>
      <c r="V211" s="103" t="n">
        <v>2025</v>
      </c>
    </row>
    <row r="212" customFormat="false" ht="14.25" hidden="false" customHeight="false" outlineLevel="0" collapsed="false">
      <c r="A212" s="103" t="s">
        <v>926</v>
      </c>
      <c r="B212" s="103" t="s">
        <v>550</v>
      </c>
      <c r="C212" s="104" t="n">
        <v>45728</v>
      </c>
      <c r="D212" s="103" t="s">
        <v>106</v>
      </c>
      <c r="E212" s="103" t="n">
        <v>60</v>
      </c>
      <c r="F212" s="103" t="s">
        <v>170</v>
      </c>
      <c r="G212" s="103" t="s">
        <v>89</v>
      </c>
      <c r="H212" s="103" t="n">
        <v>2.7</v>
      </c>
      <c r="I212" s="103" t="n">
        <v>1530</v>
      </c>
      <c r="J212" s="103" t="n">
        <v>50</v>
      </c>
      <c r="K212" s="103" t="n">
        <v>75</v>
      </c>
      <c r="L212" s="103" t="s">
        <v>94</v>
      </c>
      <c r="M212" s="103" t="s">
        <v>67</v>
      </c>
      <c r="N212" s="103" t="s">
        <v>78</v>
      </c>
      <c r="O212" s="103" t="n">
        <v>45</v>
      </c>
      <c r="P212" s="103" t="n">
        <v>2.2</v>
      </c>
      <c r="Q212" s="103" t="n">
        <v>5</v>
      </c>
      <c r="R212" s="103" t="s">
        <v>133</v>
      </c>
      <c r="S212" s="103" t="n">
        <v>1580</v>
      </c>
      <c r="T212" s="103" t="n">
        <v>1505</v>
      </c>
      <c r="U212" s="103" t="s">
        <v>893</v>
      </c>
      <c r="V212" s="103" t="n">
        <v>2025</v>
      </c>
    </row>
    <row r="213" customFormat="false" ht="14.25" hidden="false" customHeight="false" outlineLevel="0" collapsed="false">
      <c r="A213" s="103" t="s">
        <v>927</v>
      </c>
      <c r="B213" s="103" t="s">
        <v>551</v>
      </c>
      <c r="C213" s="104" t="n">
        <v>45728</v>
      </c>
      <c r="D213" s="103" t="s">
        <v>101</v>
      </c>
      <c r="E213" s="103" t="n">
        <v>18</v>
      </c>
      <c r="F213" s="103" t="s">
        <v>171</v>
      </c>
      <c r="G213" s="103" t="s">
        <v>88</v>
      </c>
      <c r="H213" s="103" t="n">
        <v>4.9</v>
      </c>
      <c r="I213" s="103" t="n">
        <v>1213</v>
      </c>
      <c r="J213" s="103" t="n">
        <v>20</v>
      </c>
      <c r="K213" s="103" t="n">
        <v>100</v>
      </c>
      <c r="L213" s="103" t="s">
        <v>93</v>
      </c>
      <c r="M213" s="103" t="s">
        <v>65</v>
      </c>
      <c r="N213" s="103" t="s">
        <v>77</v>
      </c>
      <c r="O213" s="103" t="n">
        <v>64</v>
      </c>
      <c r="P213" s="103" t="n">
        <v>1.5</v>
      </c>
      <c r="Q213" s="103" t="n">
        <v>3</v>
      </c>
      <c r="R213" s="103" t="s">
        <v>137</v>
      </c>
      <c r="S213" s="103" t="n">
        <v>1233</v>
      </c>
      <c r="T213" s="103" t="n">
        <v>1133</v>
      </c>
      <c r="U213" s="103" t="s">
        <v>893</v>
      </c>
      <c r="V213" s="103" t="n">
        <v>2025</v>
      </c>
    </row>
    <row r="214" customFormat="false" ht="14.25" hidden="false" customHeight="false" outlineLevel="0" collapsed="false">
      <c r="A214" s="103" t="s">
        <v>928</v>
      </c>
      <c r="B214" s="103" t="s">
        <v>552</v>
      </c>
      <c r="C214" s="104" t="n">
        <v>45728</v>
      </c>
      <c r="D214" s="103" t="s">
        <v>108</v>
      </c>
      <c r="E214" s="103" t="n">
        <v>53</v>
      </c>
      <c r="F214" s="103" t="s">
        <v>170</v>
      </c>
      <c r="G214" s="103" t="s">
        <v>89</v>
      </c>
      <c r="H214" s="103" t="n">
        <v>2.8</v>
      </c>
      <c r="I214" s="103" t="n">
        <v>1153</v>
      </c>
      <c r="J214" s="103" t="n">
        <v>40</v>
      </c>
      <c r="K214" s="103" t="n">
        <v>0</v>
      </c>
      <c r="L214" s="103" t="s">
        <v>93</v>
      </c>
      <c r="M214" s="103" t="s">
        <v>67</v>
      </c>
      <c r="N214" s="103" t="s">
        <v>78</v>
      </c>
      <c r="O214" s="103" t="n">
        <v>55</v>
      </c>
      <c r="P214" s="103" t="n">
        <v>11.5</v>
      </c>
      <c r="Q214" s="103" t="n">
        <v>5</v>
      </c>
      <c r="R214" s="103" t="s">
        <v>133</v>
      </c>
      <c r="S214" s="103" t="n">
        <v>1193</v>
      </c>
      <c r="T214" s="103" t="n">
        <v>1193</v>
      </c>
      <c r="U214" s="103" t="s">
        <v>893</v>
      </c>
      <c r="V214" s="103" t="n">
        <v>2025</v>
      </c>
    </row>
    <row r="215" customFormat="false" ht="14.25" hidden="false" customHeight="false" outlineLevel="0" collapsed="false">
      <c r="A215" s="103" t="s">
        <v>929</v>
      </c>
      <c r="B215" s="103" t="s">
        <v>553</v>
      </c>
      <c r="C215" s="104" t="n">
        <v>45729</v>
      </c>
      <c r="D215" s="103" t="s">
        <v>110</v>
      </c>
      <c r="E215" s="103" t="n">
        <v>43</v>
      </c>
      <c r="F215" s="103" t="s">
        <v>170</v>
      </c>
      <c r="G215" s="103" t="s">
        <v>90</v>
      </c>
      <c r="H215" s="103" t="n">
        <v>2.9</v>
      </c>
      <c r="I215" s="103" t="n">
        <v>415</v>
      </c>
      <c r="J215" s="103" t="n">
        <v>0</v>
      </c>
      <c r="K215" s="103" t="n">
        <v>150</v>
      </c>
      <c r="L215" s="103" t="s">
        <v>93</v>
      </c>
      <c r="M215" s="103" t="s">
        <v>67</v>
      </c>
      <c r="N215" s="103" t="s">
        <v>77</v>
      </c>
      <c r="O215" s="103" t="n">
        <v>28</v>
      </c>
      <c r="P215" s="103" t="n">
        <v>7.5</v>
      </c>
      <c r="Q215" s="103" t="n">
        <v>1</v>
      </c>
      <c r="R215" s="103" t="s">
        <v>138</v>
      </c>
      <c r="S215" s="103" t="n">
        <v>415</v>
      </c>
      <c r="T215" s="103" t="n">
        <v>265</v>
      </c>
      <c r="U215" s="103" t="s">
        <v>893</v>
      </c>
      <c r="V215" s="103" t="n">
        <v>2025</v>
      </c>
    </row>
    <row r="216" customFormat="false" ht="14.25" hidden="false" customHeight="false" outlineLevel="0" collapsed="false">
      <c r="A216" s="103" t="s">
        <v>930</v>
      </c>
      <c r="B216" s="103" t="s">
        <v>554</v>
      </c>
      <c r="C216" s="104" t="n">
        <v>45729</v>
      </c>
      <c r="D216" s="103" t="s">
        <v>102</v>
      </c>
      <c r="E216" s="103" t="n">
        <v>46</v>
      </c>
      <c r="F216" s="103" t="s">
        <v>170</v>
      </c>
      <c r="G216" s="103" t="s">
        <v>84</v>
      </c>
      <c r="H216" s="103" t="n">
        <v>4.7</v>
      </c>
      <c r="I216" s="103" t="n">
        <v>982</v>
      </c>
      <c r="J216" s="103" t="n">
        <v>30</v>
      </c>
      <c r="K216" s="103" t="n">
        <v>30</v>
      </c>
      <c r="L216" s="103" t="s">
        <v>93</v>
      </c>
      <c r="M216" s="103" t="s">
        <v>67</v>
      </c>
      <c r="N216" s="103" t="s">
        <v>77</v>
      </c>
      <c r="O216" s="103" t="n">
        <v>19</v>
      </c>
      <c r="P216" s="103" t="n">
        <v>5.5</v>
      </c>
      <c r="Q216" s="103" t="n">
        <v>4</v>
      </c>
      <c r="R216" s="103" t="s">
        <v>132</v>
      </c>
      <c r="S216" s="103" t="n">
        <v>1012</v>
      </c>
      <c r="T216" s="103" t="n">
        <v>982</v>
      </c>
      <c r="U216" s="103" t="s">
        <v>893</v>
      </c>
      <c r="V216" s="103" t="n">
        <v>2025</v>
      </c>
    </row>
    <row r="217" customFormat="false" ht="14.25" hidden="false" customHeight="false" outlineLevel="0" collapsed="false">
      <c r="A217" s="103" t="s">
        <v>931</v>
      </c>
      <c r="B217" s="103" t="s">
        <v>555</v>
      </c>
      <c r="C217" s="104" t="n">
        <v>45729</v>
      </c>
      <c r="D217" s="103" t="s">
        <v>100</v>
      </c>
      <c r="E217" s="103" t="n">
        <v>38</v>
      </c>
      <c r="F217" s="103" t="s">
        <v>171</v>
      </c>
      <c r="G217" s="103" t="s">
        <v>87</v>
      </c>
      <c r="H217" s="103" t="n">
        <v>4.9</v>
      </c>
      <c r="I217" s="103" t="n">
        <v>1322</v>
      </c>
      <c r="J217" s="103" t="n">
        <v>60</v>
      </c>
      <c r="K217" s="103" t="n">
        <v>200</v>
      </c>
      <c r="L217" s="103" t="s">
        <v>94</v>
      </c>
      <c r="M217" s="103" t="s">
        <v>66</v>
      </c>
      <c r="N217" s="103" t="s">
        <v>77</v>
      </c>
      <c r="O217" s="103" t="n">
        <v>25</v>
      </c>
      <c r="P217" s="103" t="n">
        <v>6.6</v>
      </c>
      <c r="Q217" s="103" t="n">
        <v>3</v>
      </c>
      <c r="R217" s="103" t="s">
        <v>134</v>
      </c>
      <c r="S217" s="103" t="n">
        <v>1382</v>
      </c>
      <c r="T217" s="103" t="n">
        <v>1182</v>
      </c>
      <c r="U217" s="103" t="s">
        <v>893</v>
      </c>
      <c r="V217" s="103" t="n">
        <v>2025</v>
      </c>
    </row>
    <row r="218" customFormat="false" ht="14.25" hidden="false" customHeight="false" outlineLevel="0" collapsed="false">
      <c r="A218" s="103" t="s">
        <v>932</v>
      </c>
      <c r="B218" s="103" t="s">
        <v>556</v>
      </c>
      <c r="C218" s="104" t="n">
        <v>45730</v>
      </c>
      <c r="D218" s="103" t="s">
        <v>103</v>
      </c>
      <c r="E218" s="103" t="n">
        <v>28</v>
      </c>
      <c r="F218" s="103" t="s">
        <v>171</v>
      </c>
      <c r="G218" s="103" t="s">
        <v>88</v>
      </c>
      <c r="H218" s="103" t="n">
        <v>4.4</v>
      </c>
      <c r="I218" s="103" t="n">
        <v>1755</v>
      </c>
      <c r="J218" s="103" t="n">
        <v>60</v>
      </c>
      <c r="K218" s="103" t="n">
        <v>0</v>
      </c>
      <c r="L218" s="103" t="s">
        <v>94</v>
      </c>
      <c r="M218" s="103" t="s">
        <v>67</v>
      </c>
      <c r="N218" s="103" t="s">
        <v>78</v>
      </c>
      <c r="O218" s="103" t="n">
        <v>54</v>
      </c>
      <c r="P218" s="103" t="n">
        <v>14</v>
      </c>
      <c r="Q218" s="103" t="n">
        <v>4</v>
      </c>
      <c r="R218" s="103" t="s">
        <v>135</v>
      </c>
      <c r="S218" s="103" t="n">
        <v>1815</v>
      </c>
      <c r="T218" s="103" t="n">
        <v>1815</v>
      </c>
      <c r="U218" s="103" t="s">
        <v>893</v>
      </c>
      <c r="V218" s="103" t="n">
        <v>2025</v>
      </c>
    </row>
    <row r="219" customFormat="false" ht="14.25" hidden="false" customHeight="false" outlineLevel="0" collapsed="false">
      <c r="A219" s="103" t="s">
        <v>933</v>
      </c>
      <c r="B219" s="103" t="s">
        <v>557</v>
      </c>
      <c r="C219" s="104" t="n">
        <v>45730</v>
      </c>
      <c r="D219" s="103" t="s">
        <v>100</v>
      </c>
      <c r="E219" s="103" t="n">
        <v>57</v>
      </c>
      <c r="F219" s="103" t="s">
        <v>170</v>
      </c>
      <c r="G219" s="103" t="s">
        <v>82</v>
      </c>
      <c r="H219" s="103" t="n">
        <v>2.5</v>
      </c>
      <c r="I219" s="103" t="n">
        <v>458</v>
      </c>
      <c r="J219" s="103" t="n">
        <v>50</v>
      </c>
      <c r="K219" s="103" t="n">
        <v>10</v>
      </c>
      <c r="L219" s="103" t="s">
        <v>93</v>
      </c>
      <c r="M219" s="103" t="s">
        <v>66</v>
      </c>
      <c r="N219" s="103" t="s">
        <v>77</v>
      </c>
      <c r="O219" s="103" t="n">
        <v>19</v>
      </c>
      <c r="P219" s="103" t="n">
        <v>13.7</v>
      </c>
      <c r="Q219" s="103" t="n">
        <v>3</v>
      </c>
      <c r="R219" s="103" t="s">
        <v>136</v>
      </c>
      <c r="S219" s="103" t="n">
        <v>508</v>
      </c>
      <c r="T219" s="103" t="n">
        <v>498</v>
      </c>
      <c r="U219" s="103" t="s">
        <v>893</v>
      </c>
      <c r="V219" s="103" t="n">
        <v>2025</v>
      </c>
    </row>
    <row r="220" customFormat="false" ht="14.25" hidden="false" customHeight="false" outlineLevel="0" collapsed="false">
      <c r="A220" s="103" t="s">
        <v>934</v>
      </c>
      <c r="B220" s="103" t="s">
        <v>558</v>
      </c>
      <c r="C220" s="104" t="n">
        <v>45730</v>
      </c>
      <c r="D220" s="103" t="s">
        <v>105</v>
      </c>
      <c r="E220" s="103" t="n">
        <v>28</v>
      </c>
      <c r="F220" s="103" t="s">
        <v>170</v>
      </c>
      <c r="G220" s="103" t="s">
        <v>82</v>
      </c>
      <c r="H220" s="103" t="n">
        <v>2.5</v>
      </c>
      <c r="I220" s="103" t="n">
        <v>136</v>
      </c>
      <c r="J220" s="103" t="n">
        <v>50</v>
      </c>
      <c r="K220" s="103" t="n">
        <v>75</v>
      </c>
      <c r="L220" s="103" t="s">
        <v>93</v>
      </c>
      <c r="M220" s="103" t="s">
        <v>65</v>
      </c>
      <c r="N220" s="103" t="s">
        <v>77</v>
      </c>
      <c r="O220" s="103" t="n">
        <v>43</v>
      </c>
      <c r="P220" s="103" t="n">
        <v>10.9</v>
      </c>
      <c r="Q220" s="103" t="n">
        <v>4</v>
      </c>
      <c r="R220" s="103" t="s">
        <v>140</v>
      </c>
      <c r="S220" s="103" t="n">
        <v>186</v>
      </c>
      <c r="T220" s="103" t="n">
        <v>111</v>
      </c>
      <c r="U220" s="103" t="s">
        <v>893</v>
      </c>
      <c r="V220" s="103" t="n">
        <v>2025</v>
      </c>
    </row>
    <row r="221" customFormat="false" ht="14.25" hidden="false" customHeight="false" outlineLevel="0" collapsed="false">
      <c r="A221" s="103" t="s">
        <v>935</v>
      </c>
      <c r="B221" s="103" t="s">
        <v>559</v>
      </c>
      <c r="C221" s="104" t="n">
        <v>45731</v>
      </c>
      <c r="D221" s="103" t="s">
        <v>100</v>
      </c>
      <c r="E221" s="103" t="n">
        <v>53</v>
      </c>
      <c r="F221" s="103" t="s">
        <v>171</v>
      </c>
      <c r="G221" s="103" t="s">
        <v>86</v>
      </c>
      <c r="H221" s="103" t="n">
        <v>3.4</v>
      </c>
      <c r="I221" s="103" t="n">
        <v>247</v>
      </c>
      <c r="J221" s="103" t="n">
        <v>0</v>
      </c>
      <c r="K221" s="103" t="n">
        <v>0</v>
      </c>
      <c r="L221" s="103" t="s">
        <v>93</v>
      </c>
      <c r="M221" s="103" t="s">
        <v>65</v>
      </c>
      <c r="N221" s="103" t="s">
        <v>77</v>
      </c>
      <c r="O221" s="103" t="n">
        <v>25</v>
      </c>
      <c r="P221" s="103" t="n">
        <v>13.3</v>
      </c>
      <c r="Q221" s="103" t="n">
        <v>4</v>
      </c>
      <c r="R221" s="103" t="s">
        <v>133</v>
      </c>
      <c r="S221" s="103" t="n">
        <v>247</v>
      </c>
      <c r="T221" s="103" t="n">
        <v>247</v>
      </c>
      <c r="U221" s="103" t="s">
        <v>893</v>
      </c>
      <c r="V221" s="103" t="n">
        <v>2025</v>
      </c>
    </row>
    <row r="222" customFormat="false" ht="14.25" hidden="false" customHeight="false" outlineLevel="0" collapsed="false">
      <c r="A222" s="103" t="s">
        <v>936</v>
      </c>
      <c r="B222" s="103" t="s">
        <v>560</v>
      </c>
      <c r="C222" s="104" t="n">
        <v>45731</v>
      </c>
      <c r="D222" s="103" t="s">
        <v>111</v>
      </c>
      <c r="E222" s="103" t="n">
        <v>56</v>
      </c>
      <c r="F222" s="103" t="s">
        <v>170</v>
      </c>
      <c r="G222" s="103" t="s">
        <v>85</v>
      </c>
      <c r="H222" s="103" t="n">
        <v>2.9</v>
      </c>
      <c r="I222" s="103" t="n">
        <v>751</v>
      </c>
      <c r="J222" s="103" t="n">
        <v>40</v>
      </c>
      <c r="K222" s="103" t="n">
        <v>30</v>
      </c>
      <c r="L222" s="103" t="s">
        <v>93</v>
      </c>
      <c r="M222" s="103" t="s">
        <v>66</v>
      </c>
      <c r="N222" s="103" t="s">
        <v>77</v>
      </c>
      <c r="O222" s="103" t="n">
        <v>19</v>
      </c>
      <c r="P222" s="103" t="n">
        <v>5.1</v>
      </c>
      <c r="Q222" s="103" t="n">
        <v>4</v>
      </c>
      <c r="R222" s="103" t="s">
        <v>138</v>
      </c>
      <c r="S222" s="103" t="n">
        <v>791</v>
      </c>
      <c r="T222" s="103" t="n">
        <v>761</v>
      </c>
      <c r="U222" s="103" t="s">
        <v>893</v>
      </c>
      <c r="V222" s="103" t="n">
        <v>2025</v>
      </c>
    </row>
    <row r="223" customFormat="false" ht="14.25" hidden="false" customHeight="false" outlineLevel="0" collapsed="false">
      <c r="A223" s="103" t="s">
        <v>937</v>
      </c>
      <c r="B223" s="103" t="s">
        <v>561</v>
      </c>
      <c r="C223" s="104" t="n">
        <v>45731</v>
      </c>
      <c r="D223" s="103" t="s">
        <v>100</v>
      </c>
      <c r="E223" s="103" t="n">
        <v>57</v>
      </c>
      <c r="F223" s="103" t="s">
        <v>171</v>
      </c>
      <c r="G223" s="103" t="s">
        <v>84</v>
      </c>
      <c r="H223" s="103" t="n">
        <v>2.5</v>
      </c>
      <c r="I223" s="103" t="n">
        <v>1499</v>
      </c>
      <c r="J223" s="103" t="n">
        <v>20</v>
      </c>
      <c r="K223" s="103" t="n">
        <v>150</v>
      </c>
      <c r="L223" s="103" t="s">
        <v>96</v>
      </c>
      <c r="M223" s="103" t="s">
        <v>65</v>
      </c>
      <c r="N223" s="103" t="s">
        <v>78</v>
      </c>
      <c r="O223" s="103" t="n">
        <v>63</v>
      </c>
      <c r="P223" s="103" t="n">
        <v>6</v>
      </c>
      <c r="Q223" s="103" t="n">
        <v>5</v>
      </c>
      <c r="R223" s="103" t="s">
        <v>132</v>
      </c>
      <c r="S223" s="103" t="n">
        <v>1519</v>
      </c>
      <c r="T223" s="103" t="n">
        <v>1369</v>
      </c>
      <c r="U223" s="103" t="s">
        <v>893</v>
      </c>
      <c r="V223" s="103" t="n">
        <v>2025</v>
      </c>
    </row>
    <row r="224" customFormat="false" ht="14.25" hidden="false" customHeight="false" outlineLevel="0" collapsed="false">
      <c r="A224" s="103" t="s">
        <v>938</v>
      </c>
      <c r="B224" s="103" t="s">
        <v>562</v>
      </c>
      <c r="C224" s="104" t="n">
        <v>45732</v>
      </c>
      <c r="D224" s="103" t="s">
        <v>110</v>
      </c>
      <c r="E224" s="103" t="n">
        <v>52</v>
      </c>
      <c r="F224" s="103" t="s">
        <v>170</v>
      </c>
      <c r="G224" s="103" t="s">
        <v>90</v>
      </c>
      <c r="H224" s="103" t="n">
        <v>3.7</v>
      </c>
      <c r="I224" s="103" t="n">
        <v>132</v>
      </c>
      <c r="J224" s="103" t="n">
        <v>40</v>
      </c>
      <c r="K224" s="103" t="n">
        <v>50</v>
      </c>
      <c r="L224" s="103" t="s">
        <v>93</v>
      </c>
      <c r="M224" s="103" t="s">
        <v>67</v>
      </c>
      <c r="N224" s="103" t="s">
        <v>77</v>
      </c>
      <c r="O224" s="103" t="n">
        <v>68</v>
      </c>
      <c r="P224" s="103" t="n">
        <v>9.4</v>
      </c>
      <c r="Q224" s="103" t="n">
        <v>5</v>
      </c>
      <c r="R224" s="103" t="s">
        <v>140</v>
      </c>
      <c r="S224" s="103" t="n">
        <v>172</v>
      </c>
      <c r="T224" s="103" t="n">
        <v>122</v>
      </c>
      <c r="U224" s="103" t="s">
        <v>893</v>
      </c>
      <c r="V224" s="103" t="n">
        <v>2025</v>
      </c>
    </row>
    <row r="225" customFormat="false" ht="14.25" hidden="false" customHeight="false" outlineLevel="0" collapsed="false">
      <c r="A225" s="103" t="s">
        <v>939</v>
      </c>
      <c r="B225" s="103" t="s">
        <v>563</v>
      </c>
      <c r="C225" s="104" t="n">
        <v>45732</v>
      </c>
      <c r="D225" s="103" t="s">
        <v>110</v>
      </c>
      <c r="E225" s="103" t="n">
        <v>51</v>
      </c>
      <c r="F225" s="103" t="s">
        <v>171</v>
      </c>
      <c r="G225" s="103" t="s">
        <v>88</v>
      </c>
      <c r="H225" s="103" t="n">
        <v>4.9</v>
      </c>
      <c r="I225" s="103" t="n">
        <v>887</v>
      </c>
      <c r="J225" s="103" t="n">
        <v>40</v>
      </c>
      <c r="K225" s="103" t="n">
        <v>200</v>
      </c>
      <c r="L225" s="103" t="s">
        <v>95</v>
      </c>
      <c r="M225" s="103" t="s">
        <v>65</v>
      </c>
      <c r="N225" s="103" t="s">
        <v>77</v>
      </c>
      <c r="O225" s="103" t="n">
        <v>46</v>
      </c>
      <c r="P225" s="103" t="n">
        <v>9.5</v>
      </c>
      <c r="Q225" s="103" t="n">
        <v>4</v>
      </c>
      <c r="R225" s="103" t="s">
        <v>142</v>
      </c>
      <c r="S225" s="103" t="n">
        <v>927</v>
      </c>
      <c r="T225" s="103" t="n">
        <v>727</v>
      </c>
      <c r="U225" s="103" t="s">
        <v>893</v>
      </c>
      <c r="V225" s="103" t="n">
        <v>2025</v>
      </c>
    </row>
    <row r="226" customFormat="false" ht="14.25" hidden="false" customHeight="false" outlineLevel="0" collapsed="false">
      <c r="A226" s="103" t="s">
        <v>940</v>
      </c>
      <c r="B226" s="103" t="s">
        <v>564</v>
      </c>
      <c r="C226" s="104" t="n">
        <v>45732</v>
      </c>
      <c r="D226" s="103" t="s">
        <v>101</v>
      </c>
      <c r="E226" s="103" t="n">
        <v>41</v>
      </c>
      <c r="F226" s="103" t="s">
        <v>170</v>
      </c>
      <c r="G226" s="103" t="s">
        <v>85</v>
      </c>
      <c r="H226" s="103" t="n">
        <v>3.3</v>
      </c>
      <c r="I226" s="103" t="n">
        <v>673</v>
      </c>
      <c r="J226" s="103" t="n">
        <v>40</v>
      </c>
      <c r="K226" s="103" t="n">
        <v>75</v>
      </c>
      <c r="L226" s="103" t="s">
        <v>96</v>
      </c>
      <c r="M226" s="103" t="s">
        <v>65</v>
      </c>
      <c r="N226" s="103" t="s">
        <v>77</v>
      </c>
      <c r="O226" s="103" t="n">
        <v>50</v>
      </c>
      <c r="P226" s="103" t="n">
        <v>7.5</v>
      </c>
      <c r="Q226" s="103" t="n">
        <v>3</v>
      </c>
      <c r="R226" s="103" t="s">
        <v>136</v>
      </c>
      <c r="S226" s="103" t="n">
        <v>713</v>
      </c>
      <c r="T226" s="103" t="n">
        <v>638</v>
      </c>
      <c r="U226" s="103" t="s">
        <v>893</v>
      </c>
      <c r="V226" s="103" t="n">
        <v>2025</v>
      </c>
    </row>
    <row r="227" customFormat="false" ht="14.25" hidden="false" customHeight="false" outlineLevel="0" collapsed="false">
      <c r="A227" s="103" t="s">
        <v>941</v>
      </c>
      <c r="B227" s="103" t="s">
        <v>565</v>
      </c>
      <c r="C227" s="104" t="n">
        <v>45733</v>
      </c>
      <c r="D227" s="103" t="s">
        <v>107</v>
      </c>
      <c r="E227" s="103" t="n">
        <v>39</v>
      </c>
      <c r="F227" s="103" t="s">
        <v>171</v>
      </c>
      <c r="G227" s="103" t="s">
        <v>90</v>
      </c>
      <c r="H227" s="103" t="n">
        <v>4.2</v>
      </c>
      <c r="I227" s="103" t="n">
        <v>208</v>
      </c>
      <c r="J227" s="103" t="n">
        <v>0</v>
      </c>
      <c r="K227" s="103" t="n">
        <v>0</v>
      </c>
      <c r="L227" s="103" t="s">
        <v>93</v>
      </c>
      <c r="M227" s="103" t="s">
        <v>65</v>
      </c>
      <c r="N227" s="103" t="s">
        <v>78</v>
      </c>
      <c r="O227" s="103" t="n">
        <v>29</v>
      </c>
      <c r="P227" s="103" t="n">
        <v>6.3</v>
      </c>
      <c r="Q227" s="103" t="n">
        <v>4</v>
      </c>
      <c r="R227" s="103" t="s">
        <v>138</v>
      </c>
      <c r="S227" s="103" t="n">
        <v>208</v>
      </c>
      <c r="T227" s="103" t="n">
        <v>208</v>
      </c>
      <c r="U227" s="103" t="s">
        <v>893</v>
      </c>
      <c r="V227" s="103" t="n">
        <v>2025</v>
      </c>
    </row>
    <row r="228" customFormat="false" ht="14.25" hidden="false" customHeight="false" outlineLevel="0" collapsed="false">
      <c r="A228" s="103" t="s">
        <v>942</v>
      </c>
      <c r="B228" s="103" t="s">
        <v>566</v>
      </c>
      <c r="C228" s="104" t="n">
        <v>45733</v>
      </c>
      <c r="D228" s="103" t="s">
        <v>108</v>
      </c>
      <c r="E228" s="103" t="n">
        <v>22</v>
      </c>
      <c r="F228" s="103" t="s">
        <v>171</v>
      </c>
      <c r="G228" s="103" t="s">
        <v>83</v>
      </c>
      <c r="H228" s="103" t="n">
        <v>4.1</v>
      </c>
      <c r="I228" s="103" t="n">
        <v>876</v>
      </c>
      <c r="J228" s="103" t="n">
        <v>0</v>
      </c>
      <c r="K228" s="103" t="n">
        <v>75</v>
      </c>
      <c r="L228" s="103" t="s">
        <v>94</v>
      </c>
      <c r="M228" s="103" t="s">
        <v>65</v>
      </c>
      <c r="N228" s="103" t="s">
        <v>77</v>
      </c>
      <c r="O228" s="103" t="n">
        <v>33</v>
      </c>
      <c r="P228" s="103" t="n">
        <v>14.8</v>
      </c>
      <c r="Q228" s="103" t="n">
        <v>5</v>
      </c>
      <c r="R228" s="103" t="s">
        <v>140</v>
      </c>
      <c r="S228" s="103" t="n">
        <v>876</v>
      </c>
      <c r="T228" s="103" t="n">
        <v>801</v>
      </c>
      <c r="U228" s="103" t="s">
        <v>893</v>
      </c>
      <c r="V228" s="103" t="n">
        <v>2025</v>
      </c>
    </row>
    <row r="229" customFormat="false" ht="14.25" hidden="false" customHeight="false" outlineLevel="0" collapsed="false">
      <c r="A229" s="103" t="s">
        <v>943</v>
      </c>
      <c r="B229" s="103" t="s">
        <v>567</v>
      </c>
      <c r="C229" s="104" t="n">
        <v>45733</v>
      </c>
      <c r="D229" s="103" t="s">
        <v>103</v>
      </c>
      <c r="E229" s="103" t="n">
        <v>50</v>
      </c>
      <c r="F229" s="103" t="s">
        <v>171</v>
      </c>
      <c r="G229" s="103" t="s">
        <v>84</v>
      </c>
      <c r="H229" s="103" t="n">
        <v>3.1</v>
      </c>
      <c r="I229" s="103" t="n">
        <v>548</v>
      </c>
      <c r="J229" s="103" t="n">
        <v>20</v>
      </c>
      <c r="K229" s="103" t="n">
        <v>75</v>
      </c>
      <c r="L229" s="103" t="s">
        <v>97</v>
      </c>
      <c r="M229" s="103" t="s">
        <v>67</v>
      </c>
      <c r="N229" s="103" t="s">
        <v>78</v>
      </c>
      <c r="O229" s="103" t="n">
        <v>36</v>
      </c>
      <c r="P229" s="103" t="n">
        <v>12.4</v>
      </c>
      <c r="Q229" s="103" t="n">
        <v>5</v>
      </c>
      <c r="R229" s="103" t="s">
        <v>131</v>
      </c>
      <c r="S229" s="103" t="n">
        <v>568</v>
      </c>
      <c r="T229" s="103" t="n">
        <v>493</v>
      </c>
      <c r="U229" s="103" t="s">
        <v>893</v>
      </c>
      <c r="V229" s="103" t="n">
        <v>2025</v>
      </c>
    </row>
    <row r="230" customFormat="false" ht="14.25" hidden="false" customHeight="false" outlineLevel="0" collapsed="false">
      <c r="A230" s="103" t="s">
        <v>944</v>
      </c>
      <c r="B230" s="103" t="s">
        <v>568</v>
      </c>
      <c r="C230" s="104" t="n">
        <v>45734</v>
      </c>
      <c r="D230" s="103" t="s">
        <v>100</v>
      </c>
      <c r="E230" s="103" t="n">
        <v>53</v>
      </c>
      <c r="F230" s="103" t="s">
        <v>171</v>
      </c>
      <c r="G230" s="103" t="s">
        <v>81</v>
      </c>
      <c r="H230" s="103" t="n">
        <v>4.1</v>
      </c>
      <c r="I230" s="103" t="n">
        <v>711</v>
      </c>
      <c r="J230" s="103" t="n">
        <v>40</v>
      </c>
      <c r="K230" s="103" t="n">
        <v>75</v>
      </c>
      <c r="L230" s="103" t="s">
        <v>96</v>
      </c>
      <c r="M230" s="103" t="s">
        <v>65</v>
      </c>
      <c r="N230" s="103" t="s">
        <v>77</v>
      </c>
      <c r="O230" s="103" t="n">
        <v>48</v>
      </c>
      <c r="P230" s="103" t="n">
        <v>6.8</v>
      </c>
      <c r="Q230" s="103" t="n">
        <v>4</v>
      </c>
      <c r="R230" s="103" t="s">
        <v>139</v>
      </c>
      <c r="S230" s="103" t="n">
        <v>751</v>
      </c>
      <c r="T230" s="103" t="n">
        <v>676</v>
      </c>
      <c r="U230" s="103" t="s">
        <v>893</v>
      </c>
      <c r="V230" s="103" t="n">
        <v>2025</v>
      </c>
    </row>
    <row r="231" customFormat="false" ht="14.25" hidden="false" customHeight="false" outlineLevel="0" collapsed="false">
      <c r="A231" s="103" t="s">
        <v>945</v>
      </c>
      <c r="B231" s="103" t="s">
        <v>569</v>
      </c>
      <c r="C231" s="104" t="n">
        <v>45734</v>
      </c>
      <c r="D231" s="103" t="s">
        <v>100</v>
      </c>
      <c r="E231" s="103" t="n">
        <v>37</v>
      </c>
      <c r="F231" s="103" t="s">
        <v>170</v>
      </c>
      <c r="G231" s="103" t="s">
        <v>81</v>
      </c>
      <c r="H231" s="103" t="n">
        <v>3</v>
      </c>
      <c r="I231" s="103" t="n">
        <v>1305</v>
      </c>
      <c r="J231" s="103" t="n">
        <v>0</v>
      </c>
      <c r="K231" s="103" t="n">
        <v>150</v>
      </c>
      <c r="L231" s="103" t="s">
        <v>94</v>
      </c>
      <c r="M231" s="103" t="s">
        <v>65</v>
      </c>
      <c r="N231" s="103" t="s">
        <v>77</v>
      </c>
      <c r="O231" s="103" t="n">
        <v>70</v>
      </c>
      <c r="P231" s="103" t="n">
        <v>11</v>
      </c>
      <c r="Q231" s="103" t="n">
        <v>3</v>
      </c>
      <c r="R231" s="103" t="s">
        <v>135</v>
      </c>
      <c r="S231" s="103" t="n">
        <v>1305</v>
      </c>
      <c r="T231" s="103" t="n">
        <v>1155</v>
      </c>
      <c r="U231" s="103" t="s">
        <v>893</v>
      </c>
      <c r="V231" s="103" t="n">
        <v>2025</v>
      </c>
    </row>
    <row r="232" customFormat="false" ht="14.25" hidden="false" customHeight="false" outlineLevel="0" collapsed="false">
      <c r="A232" s="103" t="s">
        <v>946</v>
      </c>
      <c r="B232" s="103" t="s">
        <v>570</v>
      </c>
      <c r="C232" s="104" t="n">
        <v>45734</v>
      </c>
      <c r="D232" s="103" t="s">
        <v>102</v>
      </c>
      <c r="E232" s="103" t="n">
        <v>36</v>
      </c>
      <c r="F232" s="103" t="s">
        <v>172</v>
      </c>
      <c r="G232" s="103" t="s">
        <v>84</v>
      </c>
      <c r="H232" s="103" t="n">
        <v>2.8</v>
      </c>
      <c r="I232" s="103" t="n">
        <v>996</v>
      </c>
      <c r="J232" s="103" t="n">
        <v>20</v>
      </c>
      <c r="K232" s="103" t="n">
        <v>75</v>
      </c>
      <c r="L232" s="103" t="s">
        <v>95</v>
      </c>
      <c r="M232" s="103" t="s">
        <v>65</v>
      </c>
      <c r="N232" s="103" t="s">
        <v>77</v>
      </c>
      <c r="O232" s="103" t="n">
        <v>31</v>
      </c>
      <c r="P232" s="103" t="n">
        <v>4.4</v>
      </c>
      <c r="Q232" s="103" t="n">
        <v>4</v>
      </c>
      <c r="R232" s="103" t="s">
        <v>137</v>
      </c>
      <c r="S232" s="103" t="n">
        <v>1016</v>
      </c>
      <c r="T232" s="103" t="n">
        <v>941</v>
      </c>
      <c r="U232" s="103" t="s">
        <v>893</v>
      </c>
      <c r="V232" s="103" t="n">
        <v>2025</v>
      </c>
    </row>
    <row r="233" customFormat="false" ht="14.25" hidden="false" customHeight="false" outlineLevel="0" collapsed="false">
      <c r="A233" s="103" t="s">
        <v>947</v>
      </c>
      <c r="B233" s="103" t="s">
        <v>571</v>
      </c>
      <c r="C233" s="104" t="n">
        <v>45735</v>
      </c>
      <c r="D233" s="103" t="s">
        <v>110</v>
      </c>
      <c r="E233" s="103" t="n">
        <v>52</v>
      </c>
      <c r="F233" s="103" t="s">
        <v>171</v>
      </c>
      <c r="G233" s="103" t="s">
        <v>86</v>
      </c>
      <c r="H233" s="103" t="n">
        <v>4.3</v>
      </c>
      <c r="I233" s="103" t="n">
        <v>329</v>
      </c>
      <c r="J233" s="103" t="n">
        <v>60</v>
      </c>
      <c r="K233" s="103" t="n">
        <v>50</v>
      </c>
      <c r="L233" s="103" t="s">
        <v>96</v>
      </c>
      <c r="M233" s="103" t="s">
        <v>65</v>
      </c>
      <c r="N233" s="103" t="s">
        <v>77</v>
      </c>
      <c r="O233" s="103" t="n">
        <v>26</v>
      </c>
      <c r="P233" s="103" t="n">
        <v>2</v>
      </c>
      <c r="Q233" s="103" t="n">
        <v>4</v>
      </c>
      <c r="R233" s="103" t="s">
        <v>137</v>
      </c>
      <c r="S233" s="103" t="n">
        <v>389</v>
      </c>
      <c r="T233" s="103" t="n">
        <v>339</v>
      </c>
      <c r="U233" s="103" t="s">
        <v>893</v>
      </c>
      <c r="V233" s="103" t="n">
        <v>2025</v>
      </c>
    </row>
    <row r="234" customFormat="false" ht="14.25" hidden="false" customHeight="false" outlineLevel="0" collapsed="false">
      <c r="A234" s="103" t="s">
        <v>948</v>
      </c>
      <c r="B234" s="103" t="s">
        <v>572</v>
      </c>
      <c r="C234" s="104" t="n">
        <v>45735</v>
      </c>
      <c r="D234" s="103" t="s">
        <v>103</v>
      </c>
      <c r="E234" s="103" t="n">
        <v>60</v>
      </c>
      <c r="F234" s="103" t="s">
        <v>171</v>
      </c>
      <c r="G234" s="103" t="s">
        <v>86</v>
      </c>
      <c r="H234" s="103" t="n">
        <v>2.8</v>
      </c>
      <c r="I234" s="103" t="n">
        <v>1735</v>
      </c>
      <c r="J234" s="103" t="n">
        <v>20</v>
      </c>
      <c r="K234" s="103" t="n">
        <v>10</v>
      </c>
      <c r="L234" s="103" t="s">
        <v>93</v>
      </c>
      <c r="M234" s="103" t="s">
        <v>65</v>
      </c>
      <c r="N234" s="103" t="s">
        <v>77</v>
      </c>
      <c r="O234" s="103" t="n">
        <v>39</v>
      </c>
      <c r="P234" s="103" t="n">
        <v>5.6</v>
      </c>
      <c r="Q234" s="103" t="n">
        <v>5</v>
      </c>
      <c r="R234" s="103" t="s">
        <v>141</v>
      </c>
      <c r="S234" s="103" t="n">
        <v>1755</v>
      </c>
      <c r="T234" s="103" t="n">
        <v>1745</v>
      </c>
      <c r="U234" s="103" t="s">
        <v>893</v>
      </c>
      <c r="V234" s="103" t="n">
        <v>2025</v>
      </c>
    </row>
    <row r="235" customFormat="false" ht="14.25" hidden="false" customHeight="false" outlineLevel="0" collapsed="false">
      <c r="A235" s="103" t="s">
        <v>949</v>
      </c>
      <c r="B235" s="103" t="s">
        <v>573</v>
      </c>
      <c r="C235" s="104" t="n">
        <v>45735</v>
      </c>
      <c r="D235" s="103" t="s">
        <v>101</v>
      </c>
      <c r="E235" s="103" t="n">
        <v>34</v>
      </c>
      <c r="F235" s="103" t="s">
        <v>170</v>
      </c>
      <c r="G235" s="103" t="s">
        <v>81</v>
      </c>
      <c r="H235" s="103" t="n">
        <v>5</v>
      </c>
      <c r="I235" s="103" t="n">
        <v>1188</v>
      </c>
      <c r="J235" s="103" t="n">
        <v>40</v>
      </c>
      <c r="K235" s="103" t="n">
        <v>30</v>
      </c>
      <c r="L235" s="103" t="s">
        <v>96</v>
      </c>
      <c r="M235" s="103" t="s">
        <v>67</v>
      </c>
      <c r="N235" s="103" t="s">
        <v>78</v>
      </c>
      <c r="O235" s="103" t="n">
        <v>70</v>
      </c>
      <c r="P235" s="103" t="n">
        <v>6.3</v>
      </c>
      <c r="Q235" s="103" t="n">
        <v>5</v>
      </c>
      <c r="R235" s="103" t="s">
        <v>142</v>
      </c>
      <c r="S235" s="103" t="n">
        <v>1228</v>
      </c>
      <c r="T235" s="103" t="n">
        <v>1198</v>
      </c>
      <c r="U235" s="103" t="s">
        <v>893</v>
      </c>
      <c r="V235" s="103" t="n">
        <v>2025</v>
      </c>
    </row>
    <row r="236" customFormat="false" ht="14.25" hidden="false" customHeight="false" outlineLevel="0" collapsed="false">
      <c r="A236" s="103" t="s">
        <v>950</v>
      </c>
      <c r="B236" s="103" t="s">
        <v>574</v>
      </c>
      <c r="C236" s="104" t="n">
        <v>45736</v>
      </c>
      <c r="D236" s="103" t="s">
        <v>104</v>
      </c>
      <c r="E236" s="103" t="n">
        <v>60</v>
      </c>
      <c r="F236" s="103" t="s">
        <v>170</v>
      </c>
      <c r="G236" s="103" t="s">
        <v>87</v>
      </c>
      <c r="H236" s="103" t="n">
        <v>3</v>
      </c>
      <c r="I236" s="103" t="n">
        <v>1407</v>
      </c>
      <c r="J236" s="103" t="n">
        <v>30</v>
      </c>
      <c r="K236" s="103" t="n">
        <v>50</v>
      </c>
      <c r="L236" s="103" t="s">
        <v>94</v>
      </c>
      <c r="M236" s="103" t="s">
        <v>65</v>
      </c>
      <c r="N236" s="103" t="s">
        <v>77</v>
      </c>
      <c r="O236" s="103" t="n">
        <v>31</v>
      </c>
      <c r="P236" s="103" t="n">
        <v>0.7</v>
      </c>
      <c r="Q236" s="103" t="n">
        <v>2</v>
      </c>
      <c r="R236" s="103" t="s">
        <v>131</v>
      </c>
      <c r="S236" s="103" t="n">
        <v>1437</v>
      </c>
      <c r="T236" s="103" t="n">
        <v>1387</v>
      </c>
      <c r="U236" s="103" t="s">
        <v>893</v>
      </c>
      <c r="V236" s="103" t="n">
        <v>2025</v>
      </c>
    </row>
    <row r="237" customFormat="false" ht="14.25" hidden="false" customHeight="false" outlineLevel="0" collapsed="false">
      <c r="A237" s="103" t="s">
        <v>951</v>
      </c>
      <c r="B237" s="103" t="s">
        <v>575</v>
      </c>
      <c r="C237" s="104" t="n">
        <v>45736</v>
      </c>
      <c r="D237" s="103" t="s">
        <v>107</v>
      </c>
      <c r="E237" s="103" t="n">
        <v>51</v>
      </c>
      <c r="F237" s="103" t="s">
        <v>170</v>
      </c>
      <c r="G237" s="103" t="s">
        <v>88</v>
      </c>
      <c r="H237" s="103" t="n">
        <v>4</v>
      </c>
      <c r="I237" s="103" t="n">
        <v>253</v>
      </c>
      <c r="J237" s="103" t="n">
        <v>40</v>
      </c>
      <c r="K237" s="103" t="n">
        <v>30</v>
      </c>
      <c r="L237" s="103" t="s">
        <v>94</v>
      </c>
      <c r="M237" s="103" t="s">
        <v>66</v>
      </c>
      <c r="N237" s="103" t="s">
        <v>77</v>
      </c>
      <c r="O237" s="103" t="n">
        <v>24</v>
      </c>
      <c r="P237" s="103" t="n">
        <v>12.3</v>
      </c>
      <c r="Q237" s="103" t="n">
        <v>4</v>
      </c>
      <c r="R237" s="103" t="s">
        <v>135</v>
      </c>
      <c r="S237" s="103" t="n">
        <v>293</v>
      </c>
      <c r="T237" s="103" t="n">
        <v>263</v>
      </c>
      <c r="U237" s="103" t="s">
        <v>893</v>
      </c>
      <c r="V237" s="103" t="n">
        <v>2025</v>
      </c>
    </row>
    <row r="238" customFormat="false" ht="14.25" hidden="false" customHeight="false" outlineLevel="0" collapsed="false">
      <c r="A238" s="103" t="s">
        <v>952</v>
      </c>
      <c r="B238" s="103" t="s">
        <v>576</v>
      </c>
      <c r="C238" s="104" t="n">
        <v>45736</v>
      </c>
      <c r="D238" s="103" t="s">
        <v>108</v>
      </c>
      <c r="E238" s="103" t="n">
        <v>26</v>
      </c>
      <c r="F238" s="103" t="s">
        <v>171</v>
      </c>
      <c r="G238" s="103" t="s">
        <v>81</v>
      </c>
      <c r="H238" s="103" t="n">
        <v>3.5</v>
      </c>
      <c r="I238" s="103" t="n">
        <v>199</v>
      </c>
      <c r="J238" s="103" t="n">
        <v>30</v>
      </c>
      <c r="K238" s="103" t="n">
        <v>10</v>
      </c>
      <c r="L238" s="103" t="s">
        <v>97</v>
      </c>
      <c r="M238" s="103" t="s">
        <v>65</v>
      </c>
      <c r="N238" s="103" t="s">
        <v>77</v>
      </c>
      <c r="O238" s="103" t="n">
        <v>42</v>
      </c>
      <c r="P238" s="103" t="n">
        <v>5.7</v>
      </c>
      <c r="Q238" s="103" t="n">
        <v>3</v>
      </c>
      <c r="R238" s="103" t="s">
        <v>139</v>
      </c>
      <c r="S238" s="103" t="n">
        <v>229</v>
      </c>
      <c r="T238" s="103" t="n">
        <v>219</v>
      </c>
      <c r="U238" s="103" t="s">
        <v>893</v>
      </c>
      <c r="V238" s="103" t="n">
        <v>2025</v>
      </c>
    </row>
    <row r="239" customFormat="false" ht="14.25" hidden="false" customHeight="false" outlineLevel="0" collapsed="false">
      <c r="A239" s="103" t="s">
        <v>953</v>
      </c>
      <c r="B239" s="103" t="s">
        <v>577</v>
      </c>
      <c r="C239" s="104" t="n">
        <v>45737</v>
      </c>
      <c r="D239" s="103" t="s">
        <v>106</v>
      </c>
      <c r="E239" s="103" t="n">
        <v>43</v>
      </c>
      <c r="F239" s="103" t="s">
        <v>171</v>
      </c>
      <c r="G239" s="103" t="s">
        <v>87</v>
      </c>
      <c r="H239" s="103" t="n">
        <v>2.8</v>
      </c>
      <c r="I239" s="103" t="n">
        <v>153</v>
      </c>
      <c r="J239" s="103" t="n">
        <v>20</v>
      </c>
      <c r="K239" s="103" t="n">
        <v>100</v>
      </c>
      <c r="L239" s="103" t="s">
        <v>96</v>
      </c>
      <c r="M239" s="103" t="s">
        <v>66</v>
      </c>
      <c r="N239" s="103" t="s">
        <v>77</v>
      </c>
      <c r="O239" s="103" t="n">
        <v>32</v>
      </c>
      <c r="P239" s="103" t="n">
        <v>8.9</v>
      </c>
      <c r="Q239" s="103" t="n">
        <v>4</v>
      </c>
      <c r="R239" s="103" t="s">
        <v>141</v>
      </c>
      <c r="S239" s="103" t="n">
        <v>173</v>
      </c>
      <c r="T239" s="103" t="n">
        <v>73</v>
      </c>
      <c r="U239" s="103" t="s">
        <v>893</v>
      </c>
      <c r="V239" s="103" t="n">
        <v>2025</v>
      </c>
    </row>
    <row r="240" customFormat="false" ht="14.25" hidden="false" customHeight="false" outlineLevel="0" collapsed="false">
      <c r="A240" s="103" t="s">
        <v>954</v>
      </c>
      <c r="B240" s="103" t="s">
        <v>578</v>
      </c>
      <c r="C240" s="104" t="n">
        <v>45737</v>
      </c>
      <c r="D240" s="103" t="s">
        <v>108</v>
      </c>
      <c r="E240" s="103" t="n">
        <v>19</v>
      </c>
      <c r="F240" s="103" t="s">
        <v>170</v>
      </c>
      <c r="G240" s="103" t="s">
        <v>85</v>
      </c>
      <c r="H240" s="103" t="n">
        <v>2.6</v>
      </c>
      <c r="I240" s="103" t="n">
        <v>437</v>
      </c>
      <c r="J240" s="103" t="n">
        <v>60</v>
      </c>
      <c r="K240" s="103" t="n">
        <v>10</v>
      </c>
      <c r="L240" s="103" t="s">
        <v>93</v>
      </c>
      <c r="M240" s="103" t="s">
        <v>65</v>
      </c>
      <c r="N240" s="103" t="s">
        <v>77</v>
      </c>
      <c r="O240" s="103" t="n">
        <v>65</v>
      </c>
      <c r="P240" s="103" t="n">
        <v>1.6</v>
      </c>
      <c r="Q240" s="103" t="n">
        <v>5</v>
      </c>
      <c r="R240" s="103" t="s">
        <v>140</v>
      </c>
      <c r="S240" s="103" t="n">
        <v>497</v>
      </c>
      <c r="T240" s="103" t="n">
        <v>487</v>
      </c>
      <c r="U240" s="103" t="s">
        <v>893</v>
      </c>
      <c r="V240" s="103" t="n">
        <v>2025</v>
      </c>
    </row>
    <row r="241" customFormat="false" ht="14.25" hidden="false" customHeight="false" outlineLevel="0" collapsed="false">
      <c r="A241" s="103" t="s">
        <v>955</v>
      </c>
      <c r="B241" s="103" t="s">
        <v>579</v>
      </c>
      <c r="C241" s="104" t="n">
        <v>45737</v>
      </c>
      <c r="D241" s="103" t="s">
        <v>111</v>
      </c>
      <c r="E241" s="103" t="n">
        <v>26</v>
      </c>
      <c r="F241" s="103" t="s">
        <v>171</v>
      </c>
      <c r="G241" s="103" t="s">
        <v>87</v>
      </c>
      <c r="H241" s="103" t="n">
        <v>4.1</v>
      </c>
      <c r="I241" s="103" t="n">
        <v>816</v>
      </c>
      <c r="J241" s="103" t="n">
        <v>60</v>
      </c>
      <c r="K241" s="103" t="n">
        <v>0</v>
      </c>
      <c r="L241" s="103" t="s">
        <v>93</v>
      </c>
      <c r="M241" s="103" t="s">
        <v>67</v>
      </c>
      <c r="N241" s="103" t="s">
        <v>78</v>
      </c>
      <c r="O241" s="103" t="n">
        <v>32</v>
      </c>
      <c r="P241" s="103" t="n">
        <v>3</v>
      </c>
      <c r="Q241" s="103" t="n">
        <v>4</v>
      </c>
      <c r="R241" s="103" t="s">
        <v>141</v>
      </c>
      <c r="S241" s="103" t="n">
        <v>876</v>
      </c>
      <c r="T241" s="103" t="n">
        <v>876</v>
      </c>
      <c r="U241" s="103" t="s">
        <v>893</v>
      </c>
      <c r="V241" s="103" t="n">
        <v>2025</v>
      </c>
    </row>
    <row r="242" customFormat="false" ht="14.25" hidden="false" customHeight="false" outlineLevel="0" collapsed="false">
      <c r="A242" s="103" t="s">
        <v>956</v>
      </c>
      <c r="B242" s="103" t="s">
        <v>580</v>
      </c>
      <c r="C242" s="104" t="n">
        <v>45738</v>
      </c>
      <c r="D242" s="103" t="s">
        <v>105</v>
      </c>
      <c r="E242" s="103" t="n">
        <v>26</v>
      </c>
      <c r="F242" s="103" t="s">
        <v>170</v>
      </c>
      <c r="G242" s="103" t="s">
        <v>85</v>
      </c>
      <c r="H242" s="103" t="n">
        <v>4.5</v>
      </c>
      <c r="I242" s="103" t="n">
        <v>1692</v>
      </c>
      <c r="J242" s="103" t="n">
        <v>0</v>
      </c>
      <c r="K242" s="103" t="n">
        <v>50</v>
      </c>
      <c r="L242" s="103" t="s">
        <v>95</v>
      </c>
      <c r="M242" s="103" t="s">
        <v>65</v>
      </c>
      <c r="N242" s="103" t="s">
        <v>77</v>
      </c>
      <c r="O242" s="103" t="n">
        <v>59</v>
      </c>
      <c r="P242" s="103" t="n">
        <v>13.4</v>
      </c>
      <c r="Q242" s="103" t="n">
        <v>4</v>
      </c>
      <c r="R242" s="103" t="s">
        <v>133</v>
      </c>
      <c r="S242" s="103" t="n">
        <v>1692</v>
      </c>
      <c r="T242" s="103" t="n">
        <v>1642</v>
      </c>
      <c r="U242" s="103" t="s">
        <v>893</v>
      </c>
      <c r="V242" s="103" t="n">
        <v>2025</v>
      </c>
    </row>
    <row r="243" customFormat="false" ht="14.25" hidden="false" customHeight="false" outlineLevel="0" collapsed="false">
      <c r="A243" s="103" t="s">
        <v>957</v>
      </c>
      <c r="B243" s="103" t="s">
        <v>581</v>
      </c>
      <c r="C243" s="104" t="n">
        <v>45738</v>
      </c>
      <c r="D243" s="103" t="s">
        <v>111</v>
      </c>
      <c r="E243" s="103" t="n">
        <v>57</v>
      </c>
      <c r="F243" s="103" t="s">
        <v>171</v>
      </c>
      <c r="G243" s="103" t="s">
        <v>90</v>
      </c>
      <c r="H243" s="103" t="n">
        <v>4.6</v>
      </c>
      <c r="I243" s="103" t="n">
        <v>888</v>
      </c>
      <c r="J243" s="103" t="n">
        <v>60</v>
      </c>
      <c r="K243" s="103" t="n">
        <v>0</v>
      </c>
      <c r="L243" s="103" t="s">
        <v>95</v>
      </c>
      <c r="M243" s="103" t="s">
        <v>65</v>
      </c>
      <c r="N243" s="103" t="s">
        <v>77</v>
      </c>
      <c r="O243" s="103" t="n">
        <v>46</v>
      </c>
      <c r="P243" s="103" t="n">
        <v>9.3</v>
      </c>
      <c r="Q243" s="103" t="n">
        <v>3</v>
      </c>
      <c r="R243" s="103" t="s">
        <v>131</v>
      </c>
      <c r="S243" s="103" t="n">
        <v>948</v>
      </c>
      <c r="T243" s="103" t="n">
        <v>948</v>
      </c>
      <c r="U243" s="103" t="s">
        <v>893</v>
      </c>
      <c r="V243" s="103" t="n">
        <v>2025</v>
      </c>
    </row>
    <row r="244" customFormat="false" ht="14.25" hidden="false" customHeight="false" outlineLevel="0" collapsed="false">
      <c r="A244" s="103" t="s">
        <v>958</v>
      </c>
      <c r="B244" s="103" t="s">
        <v>582</v>
      </c>
      <c r="C244" s="104" t="n">
        <v>45738</v>
      </c>
      <c r="D244" s="103" t="s">
        <v>100</v>
      </c>
      <c r="E244" s="103" t="n">
        <v>34</v>
      </c>
      <c r="F244" s="103" t="s">
        <v>170</v>
      </c>
      <c r="G244" s="103" t="s">
        <v>89</v>
      </c>
      <c r="H244" s="103" t="n">
        <v>3.7</v>
      </c>
      <c r="I244" s="103" t="n">
        <v>608</v>
      </c>
      <c r="J244" s="103" t="n">
        <v>50</v>
      </c>
      <c r="K244" s="103" t="n">
        <v>0</v>
      </c>
      <c r="L244" s="103" t="s">
        <v>95</v>
      </c>
      <c r="M244" s="103" t="s">
        <v>67</v>
      </c>
      <c r="N244" s="103" t="s">
        <v>77</v>
      </c>
      <c r="O244" s="103" t="n">
        <v>28</v>
      </c>
      <c r="P244" s="103" t="n">
        <v>14.3</v>
      </c>
      <c r="Q244" s="103" t="n">
        <v>5</v>
      </c>
      <c r="R244" s="103" t="s">
        <v>138</v>
      </c>
      <c r="S244" s="103" t="n">
        <v>658</v>
      </c>
      <c r="T244" s="103" t="n">
        <v>658</v>
      </c>
      <c r="U244" s="103" t="s">
        <v>893</v>
      </c>
      <c r="V244" s="103" t="n">
        <v>2025</v>
      </c>
    </row>
    <row r="245" customFormat="false" ht="14.25" hidden="false" customHeight="false" outlineLevel="0" collapsed="false">
      <c r="A245" s="103" t="s">
        <v>959</v>
      </c>
      <c r="B245" s="103" t="s">
        <v>583</v>
      </c>
      <c r="C245" s="104" t="n">
        <v>45739</v>
      </c>
      <c r="D245" s="103" t="s">
        <v>107</v>
      </c>
      <c r="E245" s="103" t="n">
        <v>18</v>
      </c>
      <c r="F245" s="103" t="s">
        <v>171</v>
      </c>
      <c r="G245" s="103" t="s">
        <v>90</v>
      </c>
      <c r="H245" s="103" t="n">
        <v>4.4</v>
      </c>
      <c r="I245" s="103" t="n">
        <v>1064</v>
      </c>
      <c r="J245" s="103" t="n">
        <v>20</v>
      </c>
      <c r="K245" s="103" t="n">
        <v>0</v>
      </c>
      <c r="L245" s="103" t="s">
        <v>97</v>
      </c>
      <c r="M245" s="103" t="s">
        <v>67</v>
      </c>
      <c r="N245" s="103" t="s">
        <v>77</v>
      </c>
      <c r="O245" s="103" t="n">
        <v>70</v>
      </c>
      <c r="P245" s="103" t="n">
        <v>15</v>
      </c>
      <c r="Q245" s="103" t="n">
        <v>5</v>
      </c>
      <c r="R245" s="103" t="s">
        <v>138</v>
      </c>
      <c r="S245" s="103" t="n">
        <v>1084</v>
      </c>
      <c r="T245" s="103" t="n">
        <v>1084</v>
      </c>
      <c r="U245" s="103" t="s">
        <v>893</v>
      </c>
      <c r="V245" s="103" t="n">
        <v>2025</v>
      </c>
    </row>
    <row r="246" customFormat="false" ht="14.25" hidden="false" customHeight="false" outlineLevel="0" collapsed="false">
      <c r="A246" s="103" t="s">
        <v>960</v>
      </c>
      <c r="B246" s="103" t="s">
        <v>584</v>
      </c>
      <c r="C246" s="104" t="n">
        <v>45739</v>
      </c>
      <c r="D246" s="103" t="s">
        <v>105</v>
      </c>
      <c r="E246" s="103" t="n">
        <v>42</v>
      </c>
      <c r="F246" s="103" t="s">
        <v>170</v>
      </c>
      <c r="G246" s="103" t="s">
        <v>81</v>
      </c>
      <c r="H246" s="103" t="n">
        <v>4.2</v>
      </c>
      <c r="I246" s="103" t="n">
        <v>308</v>
      </c>
      <c r="J246" s="103" t="n">
        <v>0</v>
      </c>
      <c r="K246" s="103" t="n">
        <v>75</v>
      </c>
      <c r="L246" s="103" t="s">
        <v>96</v>
      </c>
      <c r="M246" s="103" t="s">
        <v>66</v>
      </c>
      <c r="N246" s="103" t="s">
        <v>78</v>
      </c>
      <c r="O246" s="103" t="n">
        <v>30</v>
      </c>
      <c r="P246" s="103" t="n">
        <v>5.9</v>
      </c>
      <c r="Q246" s="103" t="n">
        <v>4</v>
      </c>
      <c r="R246" s="103" t="s">
        <v>139</v>
      </c>
      <c r="S246" s="103" t="n">
        <v>308</v>
      </c>
      <c r="T246" s="103" t="n">
        <v>233</v>
      </c>
      <c r="U246" s="103" t="s">
        <v>893</v>
      </c>
      <c r="V246" s="103" t="n">
        <v>2025</v>
      </c>
    </row>
    <row r="247" customFormat="false" ht="14.25" hidden="false" customHeight="false" outlineLevel="0" collapsed="false">
      <c r="A247" s="103" t="s">
        <v>961</v>
      </c>
      <c r="B247" s="103" t="s">
        <v>585</v>
      </c>
      <c r="C247" s="104" t="n">
        <v>45739</v>
      </c>
      <c r="D247" s="103" t="s">
        <v>103</v>
      </c>
      <c r="E247" s="103" t="n">
        <v>60</v>
      </c>
      <c r="F247" s="103" t="s">
        <v>170</v>
      </c>
      <c r="G247" s="103" t="s">
        <v>85</v>
      </c>
      <c r="H247" s="103" t="n">
        <v>4.3</v>
      </c>
      <c r="I247" s="103" t="n">
        <v>1144</v>
      </c>
      <c r="J247" s="103" t="n">
        <v>60</v>
      </c>
      <c r="K247" s="103" t="n">
        <v>200</v>
      </c>
      <c r="L247" s="103" t="s">
        <v>94</v>
      </c>
      <c r="M247" s="103" t="s">
        <v>65</v>
      </c>
      <c r="N247" s="103" t="s">
        <v>77</v>
      </c>
      <c r="O247" s="103" t="n">
        <v>64</v>
      </c>
      <c r="P247" s="103" t="n">
        <v>4.8</v>
      </c>
      <c r="Q247" s="103" t="n">
        <v>3</v>
      </c>
      <c r="R247" s="103" t="s">
        <v>136</v>
      </c>
      <c r="S247" s="103" t="n">
        <v>1204</v>
      </c>
      <c r="T247" s="103" t="n">
        <v>1004</v>
      </c>
      <c r="U247" s="103" t="s">
        <v>893</v>
      </c>
      <c r="V247" s="103" t="n">
        <v>2025</v>
      </c>
    </row>
    <row r="248" customFormat="false" ht="14.25" hidden="false" customHeight="false" outlineLevel="0" collapsed="false">
      <c r="A248" s="103" t="s">
        <v>962</v>
      </c>
      <c r="B248" s="103" t="s">
        <v>586</v>
      </c>
      <c r="C248" s="104" t="n">
        <v>45740</v>
      </c>
      <c r="D248" s="103" t="s">
        <v>106</v>
      </c>
      <c r="E248" s="103" t="n">
        <v>57</v>
      </c>
      <c r="F248" s="103" t="s">
        <v>170</v>
      </c>
      <c r="G248" s="103" t="s">
        <v>81</v>
      </c>
      <c r="H248" s="103" t="n">
        <v>3.7</v>
      </c>
      <c r="I248" s="103" t="n">
        <v>1075</v>
      </c>
      <c r="J248" s="103" t="n">
        <v>20</v>
      </c>
      <c r="K248" s="103" t="n">
        <v>0</v>
      </c>
      <c r="L248" s="103" t="s">
        <v>93</v>
      </c>
      <c r="M248" s="103" t="s">
        <v>65</v>
      </c>
      <c r="N248" s="103" t="s">
        <v>78</v>
      </c>
      <c r="O248" s="103" t="n">
        <v>32</v>
      </c>
      <c r="P248" s="103" t="n">
        <v>12.9</v>
      </c>
      <c r="Q248" s="103" t="n">
        <v>4</v>
      </c>
      <c r="R248" s="103" t="s">
        <v>135</v>
      </c>
      <c r="S248" s="103" t="n">
        <v>1095</v>
      </c>
      <c r="T248" s="103" t="n">
        <v>1095</v>
      </c>
      <c r="U248" s="103" t="s">
        <v>893</v>
      </c>
      <c r="V248" s="103" t="n">
        <v>2025</v>
      </c>
    </row>
    <row r="249" customFormat="false" ht="14.25" hidden="false" customHeight="false" outlineLevel="0" collapsed="false">
      <c r="A249" s="103" t="s">
        <v>963</v>
      </c>
      <c r="B249" s="103" t="s">
        <v>587</v>
      </c>
      <c r="C249" s="104" t="n">
        <v>45740</v>
      </c>
      <c r="D249" s="103" t="s">
        <v>110</v>
      </c>
      <c r="E249" s="103" t="n">
        <v>59</v>
      </c>
      <c r="F249" s="103" t="s">
        <v>171</v>
      </c>
      <c r="G249" s="103" t="s">
        <v>84</v>
      </c>
      <c r="H249" s="103" t="n">
        <v>4.1</v>
      </c>
      <c r="I249" s="103" t="n">
        <v>1451</v>
      </c>
      <c r="J249" s="103" t="n">
        <v>40</v>
      </c>
      <c r="K249" s="103" t="n">
        <v>50</v>
      </c>
      <c r="L249" s="103" t="s">
        <v>94</v>
      </c>
      <c r="M249" s="103" t="s">
        <v>66</v>
      </c>
      <c r="N249" s="103" t="s">
        <v>77</v>
      </c>
      <c r="O249" s="103" t="n">
        <v>30</v>
      </c>
      <c r="P249" s="103" t="n">
        <v>15</v>
      </c>
      <c r="Q249" s="103" t="n">
        <v>5</v>
      </c>
      <c r="R249" s="103" t="s">
        <v>138</v>
      </c>
      <c r="S249" s="103" t="n">
        <v>1491</v>
      </c>
      <c r="T249" s="103" t="n">
        <v>1441</v>
      </c>
      <c r="U249" s="103" t="s">
        <v>893</v>
      </c>
      <c r="V249" s="103" t="n">
        <v>2025</v>
      </c>
    </row>
    <row r="250" customFormat="false" ht="14.25" hidden="false" customHeight="false" outlineLevel="0" collapsed="false">
      <c r="A250" s="103" t="s">
        <v>964</v>
      </c>
      <c r="B250" s="103" t="s">
        <v>588</v>
      </c>
      <c r="C250" s="104" t="n">
        <v>45740</v>
      </c>
      <c r="D250" s="103" t="s">
        <v>107</v>
      </c>
      <c r="E250" s="103" t="n">
        <v>42</v>
      </c>
      <c r="F250" s="103" t="s">
        <v>170</v>
      </c>
      <c r="G250" s="103" t="s">
        <v>88</v>
      </c>
      <c r="H250" s="103" t="n">
        <v>4.5</v>
      </c>
      <c r="I250" s="103" t="n">
        <v>1778</v>
      </c>
      <c r="J250" s="103" t="n">
        <v>60</v>
      </c>
      <c r="K250" s="103" t="n">
        <v>200</v>
      </c>
      <c r="L250" s="103" t="s">
        <v>95</v>
      </c>
      <c r="M250" s="103" t="s">
        <v>67</v>
      </c>
      <c r="N250" s="103" t="s">
        <v>77</v>
      </c>
      <c r="O250" s="103" t="n">
        <v>31</v>
      </c>
      <c r="P250" s="103" t="n">
        <v>9.6</v>
      </c>
      <c r="Q250" s="103" t="n">
        <v>4</v>
      </c>
      <c r="R250" s="103" t="s">
        <v>131</v>
      </c>
      <c r="S250" s="103" t="n">
        <v>1838</v>
      </c>
      <c r="T250" s="103" t="n">
        <v>1638</v>
      </c>
      <c r="U250" s="103" t="s">
        <v>893</v>
      </c>
      <c r="V250" s="103" t="n">
        <v>2025</v>
      </c>
    </row>
    <row r="251" customFormat="false" ht="14.25" hidden="false" customHeight="false" outlineLevel="0" collapsed="false">
      <c r="A251" s="103" t="s">
        <v>965</v>
      </c>
      <c r="B251" s="103" t="s">
        <v>589</v>
      </c>
      <c r="C251" s="104" t="n">
        <v>45741</v>
      </c>
      <c r="D251" s="103" t="s">
        <v>107</v>
      </c>
      <c r="E251" s="103" t="n">
        <v>56</v>
      </c>
      <c r="F251" s="103" t="s">
        <v>170</v>
      </c>
      <c r="G251" s="103" t="s">
        <v>82</v>
      </c>
      <c r="H251" s="103" t="n">
        <v>3.5</v>
      </c>
      <c r="I251" s="103" t="n">
        <v>541</v>
      </c>
      <c r="J251" s="103" t="n">
        <v>30</v>
      </c>
      <c r="K251" s="103" t="n">
        <v>200</v>
      </c>
      <c r="L251" s="103" t="s">
        <v>94</v>
      </c>
      <c r="M251" s="103" t="s">
        <v>65</v>
      </c>
      <c r="N251" s="103" t="s">
        <v>78</v>
      </c>
      <c r="O251" s="103" t="n">
        <v>21</v>
      </c>
      <c r="P251" s="103" t="n">
        <v>12</v>
      </c>
      <c r="Q251" s="103" t="n">
        <v>4</v>
      </c>
      <c r="R251" s="103" t="s">
        <v>132</v>
      </c>
      <c r="S251" s="103" t="n">
        <v>571</v>
      </c>
      <c r="T251" s="103" t="n">
        <v>371</v>
      </c>
      <c r="U251" s="103" t="s">
        <v>893</v>
      </c>
      <c r="V251" s="103" t="n">
        <v>2025</v>
      </c>
    </row>
    <row r="252" customFormat="false" ht="14.25" hidden="false" customHeight="false" outlineLevel="0" collapsed="false">
      <c r="A252" s="103" t="s">
        <v>966</v>
      </c>
      <c r="B252" s="103" t="s">
        <v>590</v>
      </c>
      <c r="C252" s="104" t="n">
        <v>45741</v>
      </c>
      <c r="D252" s="103" t="s">
        <v>111</v>
      </c>
      <c r="E252" s="103" t="n">
        <v>52</v>
      </c>
      <c r="F252" s="103" t="s">
        <v>170</v>
      </c>
      <c r="G252" s="103" t="s">
        <v>81</v>
      </c>
      <c r="H252" s="103" t="n">
        <v>4.5</v>
      </c>
      <c r="I252" s="103" t="n">
        <v>976</v>
      </c>
      <c r="J252" s="103" t="n">
        <v>20</v>
      </c>
      <c r="K252" s="103" t="n">
        <v>0</v>
      </c>
      <c r="L252" s="103" t="s">
        <v>94</v>
      </c>
      <c r="M252" s="103" t="s">
        <v>66</v>
      </c>
      <c r="N252" s="103" t="s">
        <v>77</v>
      </c>
      <c r="O252" s="103" t="n">
        <v>26</v>
      </c>
      <c r="P252" s="103" t="n">
        <v>11.8</v>
      </c>
      <c r="Q252" s="103" t="n">
        <v>4</v>
      </c>
      <c r="R252" s="103" t="s">
        <v>137</v>
      </c>
      <c r="S252" s="103" t="n">
        <v>996</v>
      </c>
      <c r="T252" s="103" t="n">
        <v>996</v>
      </c>
      <c r="U252" s="103" t="s">
        <v>893</v>
      </c>
      <c r="V252" s="103" t="n">
        <v>2025</v>
      </c>
    </row>
    <row r="253" customFormat="false" ht="14.25" hidden="false" customHeight="false" outlineLevel="0" collapsed="false">
      <c r="A253" s="103" t="s">
        <v>967</v>
      </c>
      <c r="B253" s="103" t="s">
        <v>591</v>
      </c>
      <c r="C253" s="104" t="n">
        <v>45741</v>
      </c>
      <c r="D253" s="103" t="s">
        <v>100</v>
      </c>
      <c r="E253" s="103" t="n">
        <v>20</v>
      </c>
      <c r="F253" s="103" t="s">
        <v>170</v>
      </c>
      <c r="G253" s="103" t="s">
        <v>88</v>
      </c>
      <c r="H253" s="103" t="n">
        <v>4</v>
      </c>
      <c r="I253" s="103" t="n">
        <v>1647</v>
      </c>
      <c r="J253" s="103" t="n">
        <v>0</v>
      </c>
      <c r="K253" s="103" t="n">
        <v>150</v>
      </c>
      <c r="L253" s="103" t="s">
        <v>94</v>
      </c>
      <c r="M253" s="103" t="s">
        <v>65</v>
      </c>
      <c r="N253" s="103" t="s">
        <v>77</v>
      </c>
      <c r="O253" s="103" t="n">
        <v>48</v>
      </c>
      <c r="P253" s="103" t="n">
        <v>5.7</v>
      </c>
      <c r="Q253" s="103" t="n">
        <v>5</v>
      </c>
      <c r="R253" s="103" t="s">
        <v>132</v>
      </c>
      <c r="S253" s="103" t="n">
        <v>1647</v>
      </c>
      <c r="T253" s="103" t="n">
        <v>1497</v>
      </c>
      <c r="U253" s="103" t="s">
        <v>893</v>
      </c>
      <c r="V253" s="103" t="n">
        <v>2025</v>
      </c>
    </row>
    <row r="254" customFormat="false" ht="14.25" hidden="false" customHeight="false" outlineLevel="0" collapsed="false">
      <c r="A254" s="103" t="s">
        <v>968</v>
      </c>
      <c r="B254" s="103" t="s">
        <v>592</v>
      </c>
      <c r="C254" s="104" t="n">
        <v>45742</v>
      </c>
      <c r="D254" s="103" t="s">
        <v>109</v>
      </c>
      <c r="E254" s="103" t="n">
        <v>54</v>
      </c>
      <c r="F254" s="103" t="s">
        <v>170</v>
      </c>
      <c r="G254" s="103" t="s">
        <v>87</v>
      </c>
      <c r="H254" s="103" t="n">
        <v>2.9</v>
      </c>
      <c r="I254" s="103" t="n">
        <v>1439</v>
      </c>
      <c r="J254" s="103" t="n">
        <v>40</v>
      </c>
      <c r="K254" s="103" t="n">
        <v>0</v>
      </c>
      <c r="L254" s="103" t="s">
        <v>93</v>
      </c>
      <c r="M254" s="103" t="s">
        <v>65</v>
      </c>
      <c r="N254" s="103" t="s">
        <v>77</v>
      </c>
      <c r="O254" s="103" t="n">
        <v>24</v>
      </c>
      <c r="P254" s="103" t="n">
        <v>8.8</v>
      </c>
      <c r="Q254" s="103" t="n">
        <v>4</v>
      </c>
      <c r="R254" s="103" t="s">
        <v>141</v>
      </c>
      <c r="S254" s="103" t="n">
        <v>1479</v>
      </c>
      <c r="T254" s="103" t="n">
        <v>1479</v>
      </c>
      <c r="U254" s="103" t="s">
        <v>893</v>
      </c>
      <c r="V254" s="103" t="n">
        <v>2025</v>
      </c>
    </row>
    <row r="255" customFormat="false" ht="14.25" hidden="false" customHeight="false" outlineLevel="0" collapsed="false">
      <c r="A255" s="103" t="s">
        <v>969</v>
      </c>
      <c r="B255" s="103" t="s">
        <v>593</v>
      </c>
      <c r="C255" s="104" t="n">
        <v>45742</v>
      </c>
      <c r="D255" s="103" t="s">
        <v>101</v>
      </c>
      <c r="E255" s="103" t="n">
        <v>47</v>
      </c>
      <c r="F255" s="103" t="s">
        <v>170</v>
      </c>
      <c r="G255" s="103" t="s">
        <v>90</v>
      </c>
      <c r="H255" s="103" t="n">
        <v>2.6</v>
      </c>
      <c r="I255" s="103" t="n">
        <v>939</v>
      </c>
      <c r="J255" s="103" t="n">
        <v>50</v>
      </c>
      <c r="K255" s="103" t="n">
        <v>150</v>
      </c>
      <c r="L255" s="103" t="s">
        <v>93</v>
      </c>
      <c r="M255" s="103" t="s">
        <v>66</v>
      </c>
      <c r="N255" s="103" t="s">
        <v>78</v>
      </c>
      <c r="O255" s="103" t="n">
        <v>19</v>
      </c>
      <c r="P255" s="103" t="n">
        <v>12.6</v>
      </c>
      <c r="Q255" s="103" t="n">
        <v>3</v>
      </c>
      <c r="R255" s="103" t="s">
        <v>134</v>
      </c>
      <c r="S255" s="103" t="n">
        <v>989</v>
      </c>
      <c r="T255" s="103" t="n">
        <v>839</v>
      </c>
      <c r="U255" s="103" t="s">
        <v>893</v>
      </c>
      <c r="V255" s="103" t="n">
        <v>2025</v>
      </c>
    </row>
    <row r="256" customFormat="false" ht="14.25" hidden="false" customHeight="false" outlineLevel="0" collapsed="false">
      <c r="A256" s="103" t="s">
        <v>970</v>
      </c>
      <c r="B256" s="103" t="s">
        <v>594</v>
      </c>
      <c r="C256" s="104" t="n">
        <v>45742</v>
      </c>
      <c r="D256" s="103" t="s">
        <v>111</v>
      </c>
      <c r="E256" s="103" t="n">
        <v>55</v>
      </c>
      <c r="F256" s="103" t="s">
        <v>171</v>
      </c>
      <c r="G256" s="103" t="s">
        <v>87</v>
      </c>
      <c r="H256" s="103" t="n">
        <v>3.4</v>
      </c>
      <c r="I256" s="103" t="n">
        <v>1708</v>
      </c>
      <c r="J256" s="103" t="n">
        <v>40</v>
      </c>
      <c r="K256" s="103" t="n">
        <v>0</v>
      </c>
      <c r="L256" s="103" t="s">
        <v>94</v>
      </c>
      <c r="M256" s="103" t="s">
        <v>67</v>
      </c>
      <c r="N256" s="103" t="s">
        <v>77</v>
      </c>
      <c r="O256" s="103" t="n">
        <v>35</v>
      </c>
      <c r="P256" s="103" t="n">
        <v>10.5</v>
      </c>
      <c r="Q256" s="103" t="n">
        <v>5</v>
      </c>
      <c r="R256" s="103" t="s">
        <v>133</v>
      </c>
      <c r="S256" s="103" t="n">
        <v>1748</v>
      </c>
      <c r="T256" s="103" t="n">
        <v>1748</v>
      </c>
      <c r="U256" s="103" t="s">
        <v>893</v>
      </c>
      <c r="V256" s="103" t="n">
        <v>2025</v>
      </c>
    </row>
    <row r="257" customFormat="false" ht="14.25" hidden="false" customHeight="false" outlineLevel="0" collapsed="false">
      <c r="A257" s="103" t="s">
        <v>971</v>
      </c>
      <c r="B257" s="103" t="s">
        <v>595</v>
      </c>
      <c r="C257" s="104" t="n">
        <v>45743</v>
      </c>
      <c r="D257" s="103" t="s">
        <v>107</v>
      </c>
      <c r="E257" s="103" t="n">
        <v>51</v>
      </c>
      <c r="F257" s="103" t="s">
        <v>170</v>
      </c>
      <c r="G257" s="103" t="s">
        <v>82</v>
      </c>
      <c r="H257" s="103" t="n">
        <v>3.9</v>
      </c>
      <c r="I257" s="103" t="n">
        <v>216</v>
      </c>
      <c r="J257" s="103" t="n">
        <v>60</v>
      </c>
      <c r="K257" s="103" t="n">
        <v>50</v>
      </c>
      <c r="L257" s="103" t="s">
        <v>93</v>
      </c>
      <c r="M257" s="103" t="s">
        <v>67</v>
      </c>
      <c r="N257" s="103" t="s">
        <v>77</v>
      </c>
      <c r="O257" s="103" t="n">
        <v>17</v>
      </c>
      <c r="P257" s="103" t="n">
        <v>0.8</v>
      </c>
      <c r="Q257" s="103" t="n">
        <v>5</v>
      </c>
      <c r="R257" s="103" t="s">
        <v>134</v>
      </c>
      <c r="S257" s="103" t="n">
        <v>276</v>
      </c>
      <c r="T257" s="103" t="n">
        <v>226</v>
      </c>
      <c r="U257" s="103" t="s">
        <v>893</v>
      </c>
      <c r="V257" s="103" t="n">
        <v>2025</v>
      </c>
    </row>
    <row r="258" customFormat="false" ht="14.25" hidden="false" customHeight="false" outlineLevel="0" collapsed="false">
      <c r="A258" s="103" t="s">
        <v>972</v>
      </c>
      <c r="B258" s="103" t="s">
        <v>596</v>
      </c>
      <c r="C258" s="104" t="n">
        <v>45743</v>
      </c>
      <c r="D258" s="103" t="s">
        <v>102</v>
      </c>
      <c r="E258" s="103" t="n">
        <v>29</v>
      </c>
      <c r="F258" s="103" t="s">
        <v>170</v>
      </c>
      <c r="G258" s="103" t="s">
        <v>85</v>
      </c>
      <c r="H258" s="103" t="n">
        <v>4.6</v>
      </c>
      <c r="I258" s="103" t="n">
        <v>1684</v>
      </c>
      <c r="J258" s="103" t="n">
        <v>30</v>
      </c>
      <c r="K258" s="103" t="n">
        <v>150</v>
      </c>
      <c r="L258" s="103" t="s">
        <v>93</v>
      </c>
      <c r="M258" s="103" t="s">
        <v>65</v>
      </c>
      <c r="N258" s="103" t="s">
        <v>77</v>
      </c>
      <c r="O258" s="103" t="n">
        <v>33</v>
      </c>
      <c r="P258" s="103" t="n">
        <v>5.4</v>
      </c>
      <c r="Q258" s="103" t="n">
        <v>5</v>
      </c>
      <c r="R258" s="103" t="s">
        <v>131</v>
      </c>
      <c r="S258" s="103" t="n">
        <v>1714</v>
      </c>
      <c r="T258" s="103" t="n">
        <v>1564</v>
      </c>
      <c r="U258" s="103" t="s">
        <v>893</v>
      </c>
      <c r="V258" s="103" t="n">
        <v>2025</v>
      </c>
    </row>
    <row r="259" customFormat="false" ht="14.25" hidden="false" customHeight="false" outlineLevel="0" collapsed="false">
      <c r="A259" s="103" t="s">
        <v>973</v>
      </c>
      <c r="B259" s="103" t="s">
        <v>597</v>
      </c>
      <c r="C259" s="104" t="n">
        <v>45743</v>
      </c>
      <c r="D259" s="103" t="s">
        <v>106</v>
      </c>
      <c r="E259" s="103" t="n">
        <v>36</v>
      </c>
      <c r="F259" s="103" t="s">
        <v>171</v>
      </c>
      <c r="G259" s="103" t="s">
        <v>84</v>
      </c>
      <c r="H259" s="103" t="n">
        <v>2.8</v>
      </c>
      <c r="I259" s="103" t="n">
        <v>205</v>
      </c>
      <c r="J259" s="103" t="n">
        <v>40</v>
      </c>
      <c r="K259" s="103" t="n">
        <v>75</v>
      </c>
      <c r="L259" s="103" t="s">
        <v>93</v>
      </c>
      <c r="M259" s="103" t="s">
        <v>65</v>
      </c>
      <c r="N259" s="103" t="s">
        <v>77</v>
      </c>
      <c r="O259" s="103" t="n">
        <v>59</v>
      </c>
      <c r="P259" s="103" t="n">
        <v>2.6</v>
      </c>
      <c r="Q259" s="103" t="n">
        <v>5</v>
      </c>
      <c r="R259" s="103" t="s">
        <v>134</v>
      </c>
      <c r="S259" s="103" t="n">
        <v>245</v>
      </c>
      <c r="T259" s="103" t="n">
        <v>170</v>
      </c>
      <c r="U259" s="103" t="s">
        <v>893</v>
      </c>
      <c r="V259" s="103" t="n">
        <v>2025</v>
      </c>
    </row>
    <row r="260" customFormat="false" ht="14.25" hidden="false" customHeight="false" outlineLevel="0" collapsed="false">
      <c r="A260" s="103" t="s">
        <v>974</v>
      </c>
      <c r="B260" s="103" t="s">
        <v>598</v>
      </c>
      <c r="C260" s="104" t="n">
        <v>45744</v>
      </c>
      <c r="D260" s="103" t="s">
        <v>101</v>
      </c>
      <c r="E260" s="103" t="n">
        <v>54</v>
      </c>
      <c r="F260" s="103" t="s">
        <v>171</v>
      </c>
      <c r="G260" s="103" t="s">
        <v>88</v>
      </c>
      <c r="H260" s="103" t="n">
        <v>4.5</v>
      </c>
      <c r="I260" s="103" t="n">
        <v>1039</v>
      </c>
      <c r="J260" s="103" t="n">
        <v>50</v>
      </c>
      <c r="K260" s="103" t="n">
        <v>200</v>
      </c>
      <c r="L260" s="103" t="s">
        <v>94</v>
      </c>
      <c r="M260" s="103" t="s">
        <v>66</v>
      </c>
      <c r="N260" s="103" t="s">
        <v>77</v>
      </c>
      <c r="O260" s="103" t="n">
        <v>58</v>
      </c>
      <c r="P260" s="103" t="n">
        <v>3.9</v>
      </c>
      <c r="Q260" s="103" t="n">
        <v>4</v>
      </c>
      <c r="R260" s="103" t="s">
        <v>132</v>
      </c>
      <c r="S260" s="103" t="n">
        <v>1089</v>
      </c>
      <c r="T260" s="103" t="n">
        <v>889</v>
      </c>
      <c r="U260" s="103" t="s">
        <v>893</v>
      </c>
      <c r="V260" s="103" t="n">
        <v>2025</v>
      </c>
    </row>
    <row r="261" customFormat="false" ht="14.25" hidden="false" customHeight="false" outlineLevel="0" collapsed="false">
      <c r="A261" s="103" t="s">
        <v>975</v>
      </c>
      <c r="B261" s="103" t="s">
        <v>599</v>
      </c>
      <c r="C261" s="104" t="n">
        <v>45744</v>
      </c>
      <c r="D261" s="103" t="s">
        <v>111</v>
      </c>
      <c r="E261" s="103" t="n">
        <v>34</v>
      </c>
      <c r="F261" s="103" t="s">
        <v>171</v>
      </c>
      <c r="G261" s="103" t="s">
        <v>84</v>
      </c>
      <c r="H261" s="103" t="n">
        <v>4.7</v>
      </c>
      <c r="I261" s="103" t="n">
        <v>1616</v>
      </c>
      <c r="J261" s="103" t="n">
        <v>0</v>
      </c>
      <c r="K261" s="103" t="n">
        <v>0</v>
      </c>
      <c r="L261" s="103" t="s">
        <v>93</v>
      </c>
      <c r="M261" s="103" t="s">
        <v>66</v>
      </c>
      <c r="N261" s="103" t="s">
        <v>77</v>
      </c>
      <c r="O261" s="103" t="n">
        <v>49</v>
      </c>
      <c r="P261" s="103" t="n">
        <v>13.6</v>
      </c>
      <c r="Q261" s="103" t="n">
        <v>2</v>
      </c>
      <c r="R261" s="103" t="s">
        <v>136</v>
      </c>
      <c r="S261" s="103" t="n">
        <v>1616</v>
      </c>
      <c r="T261" s="103" t="n">
        <v>1616</v>
      </c>
      <c r="U261" s="103" t="s">
        <v>893</v>
      </c>
      <c r="V261" s="103" t="n">
        <v>2025</v>
      </c>
    </row>
    <row r="262" customFormat="false" ht="14.25" hidden="false" customHeight="false" outlineLevel="0" collapsed="false">
      <c r="A262" s="103" t="s">
        <v>976</v>
      </c>
      <c r="B262" s="103" t="s">
        <v>600</v>
      </c>
      <c r="C262" s="104" t="n">
        <v>45744</v>
      </c>
      <c r="D262" s="103" t="s">
        <v>106</v>
      </c>
      <c r="E262" s="103" t="n">
        <v>27</v>
      </c>
      <c r="F262" s="103" t="s">
        <v>170</v>
      </c>
      <c r="G262" s="103" t="s">
        <v>89</v>
      </c>
      <c r="H262" s="103" t="n">
        <v>2.9</v>
      </c>
      <c r="I262" s="103" t="n">
        <v>561</v>
      </c>
      <c r="J262" s="103" t="n">
        <v>20</v>
      </c>
      <c r="K262" s="103" t="n">
        <v>200</v>
      </c>
      <c r="L262" s="103" t="s">
        <v>96</v>
      </c>
      <c r="M262" s="103" t="s">
        <v>65</v>
      </c>
      <c r="N262" s="103" t="s">
        <v>77</v>
      </c>
      <c r="O262" s="103" t="n">
        <v>20</v>
      </c>
      <c r="P262" s="103" t="n">
        <v>1</v>
      </c>
      <c r="Q262" s="103" t="n">
        <v>5</v>
      </c>
      <c r="R262" s="103" t="s">
        <v>131</v>
      </c>
      <c r="S262" s="103" t="n">
        <v>581</v>
      </c>
      <c r="T262" s="103" t="n">
        <v>381</v>
      </c>
      <c r="U262" s="103" t="s">
        <v>893</v>
      </c>
      <c r="V262" s="103" t="n">
        <v>2025</v>
      </c>
    </row>
    <row r="263" customFormat="false" ht="14.25" hidden="false" customHeight="false" outlineLevel="0" collapsed="false">
      <c r="A263" s="103" t="s">
        <v>977</v>
      </c>
      <c r="B263" s="103" t="s">
        <v>601</v>
      </c>
      <c r="C263" s="104" t="n">
        <v>45745</v>
      </c>
      <c r="D263" s="103" t="s">
        <v>102</v>
      </c>
      <c r="E263" s="103" t="n">
        <v>29</v>
      </c>
      <c r="F263" s="103" t="s">
        <v>170</v>
      </c>
      <c r="G263" s="103" t="s">
        <v>81</v>
      </c>
      <c r="H263" s="103" t="n">
        <v>4.6</v>
      </c>
      <c r="I263" s="103" t="n">
        <v>913</v>
      </c>
      <c r="J263" s="103" t="n">
        <v>30</v>
      </c>
      <c r="K263" s="103" t="n">
        <v>0</v>
      </c>
      <c r="L263" s="103" t="s">
        <v>94</v>
      </c>
      <c r="M263" s="103" t="s">
        <v>65</v>
      </c>
      <c r="N263" s="103" t="s">
        <v>78</v>
      </c>
      <c r="O263" s="103" t="n">
        <v>28</v>
      </c>
      <c r="P263" s="103" t="n">
        <v>3.7</v>
      </c>
      <c r="Q263" s="103" t="n">
        <v>4</v>
      </c>
      <c r="R263" s="103" t="s">
        <v>137</v>
      </c>
      <c r="S263" s="103" t="n">
        <v>943</v>
      </c>
      <c r="T263" s="103" t="n">
        <v>943</v>
      </c>
      <c r="U263" s="103" t="s">
        <v>893</v>
      </c>
      <c r="V263" s="103" t="n">
        <v>2025</v>
      </c>
    </row>
    <row r="264" customFormat="false" ht="14.25" hidden="false" customHeight="false" outlineLevel="0" collapsed="false">
      <c r="A264" s="103" t="s">
        <v>978</v>
      </c>
      <c r="B264" s="103" t="s">
        <v>602</v>
      </c>
      <c r="C264" s="104" t="n">
        <v>45745</v>
      </c>
      <c r="D264" s="103" t="s">
        <v>104</v>
      </c>
      <c r="E264" s="103" t="n">
        <v>33</v>
      </c>
      <c r="F264" s="103" t="s">
        <v>170</v>
      </c>
      <c r="G264" s="103" t="s">
        <v>85</v>
      </c>
      <c r="H264" s="103" t="n">
        <v>5</v>
      </c>
      <c r="I264" s="103" t="n">
        <v>665</v>
      </c>
      <c r="J264" s="103" t="n">
        <v>50</v>
      </c>
      <c r="K264" s="103" t="n">
        <v>20</v>
      </c>
      <c r="L264" s="103" t="s">
        <v>95</v>
      </c>
      <c r="M264" s="103" t="s">
        <v>67</v>
      </c>
      <c r="N264" s="103" t="s">
        <v>77</v>
      </c>
      <c r="O264" s="103" t="n">
        <v>18</v>
      </c>
      <c r="P264" s="103" t="n">
        <v>5</v>
      </c>
      <c r="Q264" s="103" t="n">
        <v>5</v>
      </c>
      <c r="R264" s="103" t="s">
        <v>142</v>
      </c>
      <c r="S264" s="103" t="n">
        <v>715</v>
      </c>
      <c r="T264" s="103" t="n">
        <v>695</v>
      </c>
      <c r="U264" s="103" t="s">
        <v>893</v>
      </c>
      <c r="V264" s="103" t="n">
        <v>2025</v>
      </c>
    </row>
    <row r="265" customFormat="false" ht="14.25" hidden="false" customHeight="false" outlineLevel="0" collapsed="false">
      <c r="A265" s="103" t="s">
        <v>979</v>
      </c>
      <c r="B265" s="103" t="s">
        <v>603</v>
      </c>
      <c r="C265" s="104" t="n">
        <v>45745</v>
      </c>
      <c r="D265" s="103" t="s">
        <v>102</v>
      </c>
      <c r="E265" s="103" t="n">
        <v>41</v>
      </c>
      <c r="F265" s="103" t="s">
        <v>170</v>
      </c>
      <c r="G265" s="103" t="s">
        <v>89</v>
      </c>
      <c r="H265" s="103" t="n">
        <v>4.3</v>
      </c>
      <c r="I265" s="103" t="n">
        <v>1720</v>
      </c>
      <c r="J265" s="103" t="n">
        <v>60</v>
      </c>
      <c r="K265" s="103" t="n">
        <v>0</v>
      </c>
      <c r="L265" s="103" t="s">
        <v>95</v>
      </c>
      <c r="M265" s="103" t="s">
        <v>66</v>
      </c>
      <c r="N265" s="103" t="s">
        <v>77</v>
      </c>
      <c r="O265" s="103" t="n">
        <v>59</v>
      </c>
      <c r="P265" s="103" t="n">
        <v>9.4</v>
      </c>
      <c r="Q265" s="103" t="n">
        <v>5</v>
      </c>
      <c r="R265" s="103" t="s">
        <v>139</v>
      </c>
      <c r="S265" s="103" t="n">
        <v>1780</v>
      </c>
      <c r="T265" s="103" t="n">
        <v>1780</v>
      </c>
      <c r="U265" s="103" t="s">
        <v>893</v>
      </c>
      <c r="V265" s="103" t="n">
        <v>2025</v>
      </c>
    </row>
    <row r="266" customFormat="false" ht="14.25" hidden="false" customHeight="false" outlineLevel="0" collapsed="false">
      <c r="A266" s="103" t="s">
        <v>980</v>
      </c>
      <c r="B266" s="103" t="s">
        <v>604</v>
      </c>
      <c r="C266" s="104" t="n">
        <v>45746</v>
      </c>
      <c r="D266" s="103" t="s">
        <v>102</v>
      </c>
      <c r="E266" s="103" t="n">
        <v>36</v>
      </c>
      <c r="F266" s="103" t="s">
        <v>171</v>
      </c>
      <c r="G266" s="103" t="s">
        <v>83</v>
      </c>
      <c r="H266" s="103" t="n">
        <v>4.5</v>
      </c>
      <c r="I266" s="103" t="n">
        <v>1504</v>
      </c>
      <c r="J266" s="103" t="n">
        <v>60</v>
      </c>
      <c r="K266" s="103" t="n">
        <v>20</v>
      </c>
      <c r="L266" s="103" t="s">
        <v>93</v>
      </c>
      <c r="M266" s="103" t="s">
        <v>66</v>
      </c>
      <c r="N266" s="103" t="s">
        <v>78</v>
      </c>
      <c r="O266" s="103" t="n">
        <v>65</v>
      </c>
      <c r="P266" s="103" t="n">
        <v>8.2</v>
      </c>
      <c r="Q266" s="103" t="n">
        <v>4</v>
      </c>
      <c r="R266" s="103" t="s">
        <v>131</v>
      </c>
      <c r="S266" s="103" t="n">
        <v>1564</v>
      </c>
      <c r="T266" s="103" t="n">
        <v>1544</v>
      </c>
      <c r="U266" s="103" t="s">
        <v>893</v>
      </c>
      <c r="V266" s="103" t="n">
        <v>2025</v>
      </c>
    </row>
    <row r="267" customFormat="false" ht="14.25" hidden="false" customHeight="false" outlineLevel="0" collapsed="false">
      <c r="A267" s="103" t="s">
        <v>981</v>
      </c>
      <c r="B267" s="103" t="s">
        <v>605</v>
      </c>
      <c r="C267" s="104" t="n">
        <v>45746</v>
      </c>
      <c r="D267" s="103" t="s">
        <v>106</v>
      </c>
      <c r="E267" s="103" t="n">
        <v>25</v>
      </c>
      <c r="F267" s="103" t="s">
        <v>171</v>
      </c>
      <c r="G267" s="103" t="s">
        <v>81</v>
      </c>
      <c r="H267" s="103" t="n">
        <v>5</v>
      </c>
      <c r="I267" s="103" t="n">
        <v>1311</v>
      </c>
      <c r="J267" s="103" t="n">
        <v>60</v>
      </c>
      <c r="K267" s="103" t="n">
        <v>10</v>
      </c>
      <c r="L267" s="103" t="s">
        <v>94</v>
      </c>
      <c r="M267" s="103" t="s">
        <v>66</v>
      </c>
      <c r="N267" s="103" t="s">
        <v>77</v>
      </c>
      <c r="O267" s="103" t="n">
        <v>32</v>
      </c>
      <c r="P267" s="103" t="n">
        <v>3.7</v>
      </c>
      <c r="Q267" s="103" t="n">
        <v>3</v>
      </c>
      <c r="R267" s="103" t="s">
        <v>140</v>
      </c>
      <c r="S267" s="103" t="n">
        <v>1371</v>
      </c>
      <c r="T267" s="103" t="n">
        <v>1361</v>
      </c>
      <c r="U267" s="103" t="s">
        <v>893</v>
      </c>
      <c r="V267" s="103" t="n">
        <v>2025</v>
      </c>
    </row>
    <row r="268" customFormat="false" ht="14.25" hidden="false" customHeight="false" outlineLevel="0" collapsed="false">
      <c r="A268" s="103" t="s">
        <v>982</v>
      </c>
      <c r="B268" s="103" t="s">
        <v>606</v>
      </c>
      <c r="C268" s="104" t="n">
        <v>45746</v>
      </c>
      <c r="D268" s="103" t="s">
        <v>108</v>
      </c>
      <c r="E268" s="103" t="n">
        <v>48</v>
      </c>
      <c r="F268" s="103" t="s">
        <v>171</v>
      </c>
      <c r="G268" s="103" t="s">
        <v>87</v>
      </c>
      <c r="H268" s="103" t="n">
        <v>4</v>
      </c>
      <c r="I268" s="103" t="n">
        <v>1107</v>
      </c>
      <c r="J268" s="103" t="n">
        <v>30</v>
      </c>
      <c r="K268" s="103" t="n">
        <v>10</v>
      </c>
      <c r="L268" s="103" t="s">
        <v>97</v>
      </c>
      <c r="M268" s="103" t="s">
        <v>65</v>
      </c>
      <c r="N268" s="103" t="s">
        <v>77</v>
      </c>
      <c r="O268" s="103" t="n">
        <v>43</v>
      </c>
      <c r="P268" s="103" t="n">
        <v>2.9</v>
      </c>
      <c r="Q268" s="103" t="n">
        <v>5</v>
      </c>
      <c r="R268" s="103" t="s">
        <v>137</v>
      </c>
      <c r="S268" s="103" t="n">
        <v>1137</v>
      </c>
      <c r="T268" s="103" t="n">
        <v>1127</v>
      </c>
      <c r="U268" s="103" t="s">
        <v>893</v>
      </c>
      <c r="V268" s="103" t="n">
        <v>2025</v>
      </c>
    </row>
    <row r="269" customFormat="false" ht="14.25" hidden="false" customHeight="false" outlineLevel="0" collapsed="false">
      <c r="A269" s="103" t="s">
        <v>983</v>
      </c>
      <c r="B269" s="103" t="s">
        <v>607</v>
      </c>
      <c r="C269" s="104" t="n">
        <v>45747</v>
      </c>
      <c r="D269" s="103" t="s">
        <v>106</v>
      </c>
      <c r="E269" s="103" t="n">
        <v>38</v>
      </c>
      <c r="F269" s="103" t="s">
        <v>171</v>
      </c>
      <c r="G269" s="103" t="s">
        <v>90</v>
      </c>
      <c r="H269" s="103" t="n">
        <v>3.3</v>
      </c>
      <c r="I269" s="103" t="n">
        <v>1499</v>
      </c>
      <c r="J269" s="103" t="n">
        <v>40</v>
      </c>
      <c r="K269" s="103" t="n">
        <v>200</v>
      </c>
      <c r="L269" s="103" t="s">
        <v>95</v>
      </c>
      <c r="M269" s="103" t="s">
        <v>65</v>
      </c>
      <c r="N269" s="103" t="s">
        <v>77</v>
      </c>
      <c r="O269" s="103" t="n">
        <v>49</v>
      </c>
      <c r="P269" s="103" t="n">
        <v>3.9</v>
      </c>
      <c r="Q269" s="103" t="n">
        <v>5</v>
      </c>
      <c r="R269" s="103" t="s">
        <v>131</v>
      </c>
      <c r="S269" s="103" t="n">
        <v>1539</v>
      </c>
      <c r="T269" s="103" t="n">
        <v>1339</v>
      </c>
      <c r="U269" s="103" t="s">
        <v>893</v>
      </c>
      <c r="V269" s="103" t="n">
        <v>2025</v>
      </c>
    </row>
    <row r="270" customFormat="false" ht="14.25" hidden="false" customHeight="false" outlineLevel="0" collapsed="false">
      <c r="A270" s="103" t="s">
        <v>984</v>
      </c>
      <c r="B270" s="103" t="s">
        <v>608</v>
      </c>
      <c r="C270" s="104" t="n">
        <v>45747</v>
      </c>
      <c r="D270" s="103" t="s">
        <v>109</v>
      </c>
      <c r="E270" s="103" t="n">
        <v>34</v>
      </c>
      <c r="F270" s="103" t="s">
        <v>171</v>
      </c>
      <c r="G270" s="103" t="s">
        <v>88</v>
      </c>
      <c r="H270" s="103" t="n">
        <v>4.6</v>
      </c>
      <c r="I270" s="103" t="n">
        <v>779</v>
      </c>
      <c r="J270" s="103" t="n">
        <v>30</v>
      </c>
      <c r="K270" s="103" t="n">
        <v>150</v>
      </c>
      <c r="L270" s="103" t="s">
        <v>97</v>
      </c>
      <c r="M270" s="103" t="s">
        <v>66</v>
      </c>
      <c r="N270" s="103" t="s">
        <v>77</v>
      </c>
      <c r="O270" s="103" t="n">
        <v>66</v>
      </c>
      <c r="P270" s="103" t="n">
        <v>7.8</v>
      </c>
      <c r="Q270" s="103" t="n">
        <v>5</v>
      </c>
      <c r="R270" s="103" t="s">
        <v>140</v>
      </c>
      <c r="S270" s="103" t="n">
        <v>809</v>
      </c>
      <c r="T270" s="103" t="n">
        <v>659</v>
      </c>
      <c r="U270" s="103" t="s">
        <v>893</v>
      </c>
      <c r="V270" s="103" t="n">
        <v>2025</v>
      </c>
    </row>
    <row r="271" customFormat="false" ht="14.25" hidden="false" customHeight="false" outlineLevel="0" collapsed="false">
      <c r="A271" s="103" t="s">
        <v>985</v>
      </c>
      <c r="B271" s="103" t="s">
        <v>609</v>
      </c>
      <c r="C271" s="104" t="n">
        <v>45747</v>
      </c>
      <c r="D271" s="103" t="s">
        <v>100</v>
      </c>
      <c r="E271" s="103" t="n">
        <v>40</v>
      </c>
      <c r="F271" s="103" t="s">
        <v>171</v>
      </c>
      <c r="G271" s="103" t="s">
        <v>82</v>
      </c>
      <c r="H271" s="103" t="n">
        <v>4</v>
      </c>
      <c r="I271" s="103" t="n">
        <v>872</v>
      </c>
      <c r="J271" s="103" t="n">
        <v>60</v>
      </c>
      <c r="K271" s="103" t="n">
        <v>0</v>
      </c>
      <c r="L271" s="103" t="s">
        <v>95</v>
      </c>
      <c r="M271" s="103" t="s">
        <v>65</v>
      </c>
      <c r="N271" s="103" t="s">
        <v>77</v>
      </c>
      <c r="O271" s="103" t="n">
        <v>52</v>
      </c>
      <c r="P271" s="103" t="n">
        <v>4.4</v>
      </c>
      <c r="Q271" s="103" t="n">
        <v>4</v>
      </c>
      <c r="R271" s="103" t="s">
        <v>137</v>
      </c>
      <c r="S271" s="103" t="n">
        <v>932</v>
      </c>
      <c r="T271" s="103" t="n">
        <v>932</v>
      </c>
      <c r="U271" s="103" t="s">
        <v>893</v>
      </c>
      <c r="V271" s="103" t="n">
        <v>2025</v>
      </c>
    </row>
    <row r="272" customFormat="false" ht="14.25" hidden="false" customHeight="false" outlineLevel="0" collapsed="false">
      <c r="A272" s="103" t="s">
        <v>986</v>
      </c>
      <c r="B272" s="103" t="s">
        <v>610</v>
      </c>
      <c r="C272" s="104" t="n">
        <v>45748</v>
      </c>
      <c r="D272" s="103" t="s">
        <v>105</v>
      </c>
      <c r="E272" s="103" t="n">
        <v>54</v>
      </c>
      <c r="F272" s="103" t="s">
        <v>170</v>
      </c>
      <c r="G272" s="103" t="s">
        <v>82</v>
      </c>
      <c r="H272" s="103" t="n">
        <v>4</v>
      </c>
      <c r="I272" s="103" t="n">
        <v>1346</v>
      </c>
      <c r="J272" s="103" t="n">
        <v>50</v>
      </c>
      <c r="K272" s="103" t="n">
        <v>30</v>
      </c>
      <c r="L272" s="103" t="s">
        <v>93</v>
      </c>
      <c r="M272" s="103" t="s">
        <v>67</v>
      </c>
      <c r="N272" s="103" t="s">
        <v>78</v>
      </c>
      <c r="O272" s="103" t="n">
        <v>30</v>
      </c>
      <c r="P272" s="103" t="n">
        <v>14.2</v>
      </c>
      <c r="Q272" s="103" t="n">
        <v>3</v>
      </c>
      <c r="R272" s="103" t="s">
        <v>141</v>
      </c>
      <c r="S272" s="103" t="n">
        <v>1396</v>
      </c>
      <c r="T272" s="103" t="n">
        <v>1366</v>
      </c>
      <c r="U272" s="103" t="s">
        <v>987</v>
      </c>
      <c r="V272" s="103" t="n">
        <v>2025</v>
      </c>
    </row>
    <row r="273" customFormat="false" ht="14.25" hidden="false" customHeight="false" outlineLevel="0" collapsed="false">
      <c r="A273" s="103" t="s">
        <v>988</v>
      </c>
      <c r="B273" s="103" t="s">
        <v>611</v>
      </c>
      <c r="C273" s="104" t="n">
        <v>45748</v>
      </c>
      <c r="D273" s="103" t="s">
        <v>108</v>
      </c>
      <c r="E273" s="103" t="n">
        <v>33</v>
      </c>
      <c r="F273" s="103" t="s">
        <v>170</v>
      </c>
      <c r="G273" s="103" t="s">
        <v>87</v>
      </c>
      <c r="H273" s="103" t="n">
        <v>3.1</v>
      </c>
      <c r="I273" s="103" t="n">
        <v>721</v>
      </c>
      <c r="J273" s="103" t="n">
        <v>20</v>
      </c>
      <c r="K273" s="103" t="n">
        <v>0</v>
      </c>
      <c r="L273" s="103" t="s">
        <v>93</v>
      </c>
      <c r="M273" s="103" t="s">
        <v>65</v>
      </c>
      <c r="N273" s="103" t="s">
        <v>77</v>
      </c>
      <c r="O273" s="103" t="n">
        <v>34</v>
      </c>
      <c r="P273" s="103" t="n">
        <v>7.2</v>
      </c>
      <c r="Q273" s="103" t="n">
        <v>2</v>
      </c>
      <c r="R273" s="103" t="s">
        <v>138</v>
      </c>
      <c r="S273" s="103" t="n">
        <v>741</v>
      </c>
      <c r="T273" s="103" t="n">
        <v>741</v>
      </c>
      <c r="U273" s="103" t="s">
        <v>987</v>
      </c>
      <c r="V273" s="103" t="n">
        <v>2025</v>
      </c>
    </row>
    <row r="274" customFormat="false" ht="14.25" hidden="false" customHeight="false" outlineLevel="0" collapsed="false">
      <c r="A274" s="103" t="s">
        <v>989</v>
      </c>
      <c r="B274" s="103" t="s">
        <v>612</v>
      </c>
      <c r="C274" s="104" t="n">
        <v>45748</v>
      </c>
      <c r="D274" s="103" t="s">
        <v>110</v>
      </c>
      <c r="E274" s="103" t="n">
        <v>23</v>
      </c>
      <c r="F274" s="103" t="s">
        <v>172</v>
      </c>
      <c r="G274" s="103" t="s">
        <v>86</v>
      </c>
      <c r="H274" s="103" t="n">
        <v>4.4</v>
      </c>
      <c r="I274" s="103" t="n">
        <v>227</v>
      </c>
      <c r="J274" s="103" t="n">
        <v>20</v>
      </c>
      <c r="K274" s="103" t="n">
        <v>0</v>
      </c>
      <c r="L274" s="103" t="s">
        <v>94</v>
      </c>
      <c r="M274" s="103" t="s">
        <v>65</v>
      </c>
      <c r="N274" s="103" t="s">
        <v>78</v>
      </c>
      <c r="O274" s="103" t="n">
        <v>38</v>
      </c>
      <c r="P274" s="103" t="n">
        <v>1.4</v>
      </c>
      <c r="Q274" s="103" t="n">
        <v>4</v>
      </c>
      <c r="R274" s="103" t="s">
        <v>133</v>
      </c>
      <c r="S274" s="103" t="n">
        <v>247</v>
      </c>
      <c r="T274" s="103" t="n">
        <v>247</v>
      </c>
      <c r="U274" s="103" t="s">
        <v>987</v>
      </c>
      <c r="V274" s="103" t="n">
        <v>2025</v>
      </c>
    </row>
    <row r="275" customFormat="false" ht="14.25" hidden="false" customHeight="false" outlineLevel="0" collapsed="false">
      <c r="A275" s="103" t="s">
        <v>990</v>
      </c>
      <c r="B275" s="103" t="s">
        <v>613</v>
      </c>
      <c r="C275" s="104" t="n">
        <v>45749</v>
      </c>
      <c r="D275" s="103" t="s">
        <v>105</v>
      </c>
      <c r="E275" s="103" t="n">
        <v>25</v>
      </c>
      <c r="F275" s="103" t="s">
        <v>170</v>
      </c>
      <c r="G275" s="103" t="s">
        <v>82</v>
      </c>
      <c r="H275" s="103" t="n">
        <v>2.7</v>
      </c>
      <c r="I275" s="103" t="n">
        <v>245</v>
      </c>
      <c r="J275" s="103" t="n">
        <v>30</v>
      </c>
      <c r="K275" s="103" t="n">
        <v>30</v>
      </c>
      <c r="L275" s="103" t="s">
        <v>93</v>
      </c>
      <c r="M275" s="103" t="s">
        <v>67</v>
      </c>
      <c r="N275" s="103" t="s">
        <v>77</v>
      </c>
      <c r="O275" s="103" t="n">
        <v>49</v>
      </c>
      <c r="P275" s="103" t="n">
        <v>11.1</v>
      </c>
      <c r="Q275" s="103" t="n">
        <v>4</v>
      </c>
      <c r="R275" s="103" t="s">
        <v>138</v>
      </c>
      <c r="S275" s="103" t="n">
        <v>275</v>
      </c>
      <c r="T275" s="103" t="n">
        <v>245</v>
      </c>
      <c r="U275" s="103" t="s">
        <v>987</v>
      </c>
      <c r="V275" s="103" t="n">
        <v>2025</v>
      </c>
    </row>
    <row r="276" customFormat="false" ht="14.25" hidden="false" customHeight="false" outlineLevel="0" collapsed="false">
      <c r="A276" s="103" t="s">
        <v>991</v>
      </c>
      <c r="B276" s="103" t="s">
        <v>614</v>
      </c>
      <c r="C276" s="104" t="n">
        <v>45749</v>
      </c>
      <c r="D276" s="103" t="s">
        <v>100</v>
      </c>
      <c r="E276" s="103" t="n">
        <v>42</v>
      </c>
      <c r="F276" s="103" t="s">
        <v>170</v>
      </c>
      <c r="G276" s="103" t="s">
        <v>88</v>
      </c>
      <c r="H276" s="103" t="n">
        <v>4.8</v>
      </c>
      <c r="I276" s="103" t="n">
        <v>314</v>
      </c>
      <c r="J276" s="103" t="n">
        <v>60</v>
      </c>
      <c r="K276" s="103" t="n">
        <v>10</v>
      </c>
      <c r="L276" s="103" t="s">
        <v>93</v>
      </c>
      <c r="M276" s="103" t="s">
        <v>65</v>
      </c>
      <c r="N276" s="103" t="s">
        <v>77</v>
      </c>
      <c r="O276" s="103" t="n">
        <v>58</v>
      </c>
      <c r="P276" s="103" t="n">
        <v>5.3</v>
      </c>
      <c r="Q276" s="103" t="n">
        <v>5</v>
      </c>
      <c r="R276" s="103" t="s">
        <v>132</v>
      </c>
      <c r="S276" s="103" t="n">
        <v>374</v>
      </c>
      <c r="T276" s="103" t="n">
        <v>364</v>
      </c>
      <c r="U276" s="103" t="s">
        <v>987</v>
      </c>
      <c r="V276" s="103" t="n">
        <v>2025</v>
      </c>
    </row>
    <row r="277" customFormat="false" ht="14.25" hidden="false" customHeight="false" outlineLevel="0" collapsed="false">
      <c r="A277" s="103" t="s">
        <v>992</v>
      </c>
      <c r="B277" s="103" t="s">
        <v>615</v>
      </c>
      <c r="C277" s="104" t="n">
        <v>45749</v>
      </c>
      <c r="D277" s="103" t="s">
        <v>111</v>
      </c>
      <c r="E277" s="103" t="n">
        <v>35</v>
      </c>
      <c r="F277" s="103" t="s">
        <v>171</v>
      </c>
      <c r="G277" s="103" t="s">
        <v>87</v>
      </c>
      <c r="H277" s="103" t="n">
        <v>3.3</v>
      </c>
      <c r="I277" s="103" t="n">
        <v>1581</v>
      </c>
      <c r="J277" s="103" t="n">
        <v>0</v>
      </c>
      <c r="K277" s="103" t="n">
        <v>20</v>
      </c>
      <c r="L277" s="103" t="s">
        <v>96</v>
      </c>
      <c r="M277" s="103" t="s">
        <v>65</v>
      </c>
      <c r="N277" s="103" t="s">
        <v>77</v>
      </c>
      <c r="O277" s="103" t="n">
        <v>65</v>
      </c>
      <c r="P277" s="103" t="n">
        <v>10</v>
      </c>
      <c r="Q277" s="103" t="n">
        <v>5</v>
      </c>
      <c r="R277" s="103" t="s">
        <v>142</v>
      </c>
      <c r="S277" s="103" t="n">
        <v>1581</v>
      </c>
      <c r="T277" s="103" t="n">
        <v>1561</v>
      </c>
      <c r="U277" s="103" t="s">
        <v>987</v>
      </c>
      <c r="V277" s="103" t="n">
        <v>2025</v>
      </c>
    </row>
    <row r="278" customFormat="false" ht="14.25" hidden="false" customHeight="false" outlineLevel="0" collapsed="false">
      <c r="A278" s="103" t="s">
        <v>993</v>
      </c>
      <c r="B278" s="103" t="s">
        <v>616</v>
      </c>
      <c r="C278" s="104" t="n">
        <v>45750</v>
      </c>
      <c r="D278" s="103" t="s">
        <v>101</v>
      </c>
      <c r="E278" s="103" t="n">
        <v>42</v>
      </c>
      <c r="F278" s="103" t="s">
        <v>170</v>
      </c>
      <c r="G278" s="103" t="s">
        <v>85</v>
      </c>
      <c r="H278" s="103" t="n">
        <v>2.8</v>
      </c>
      <c r="I278" s="103" t="n">
        <v>913</v>
      </c>
      <c r="J278" s="103" t="n">
        <v>30</v>
      </c>
      <c r="K278" s="103" t="n">
        <v>200</v>
      </c>
      <c r="L278" s="103" t="s">
        <v>93</v>
      </c>
      <c r="M278" s="103" t="s">
        <v>65</v>
      </c>
      <c r="N278" s="103" t="s">
        <v>77</v>
      </c>
      <c r="O278" s="103" t="n">
        <v>33</v>
      </c>
      <c r="P278" s="103" t="n">
        <v>4.6</v>
      </c>
      <c r="Q278" s="103" t="n">
        <v>5</v>
      </c>
      <c r="R278" s="103" t="s">
        <v>139</v>
      </c>
      <c r="S278" s="103" t="n">
        <v>943</v>
      </c>
      <c r="T278" s="103" t="n">
        <v>743</v>
      </c>
      <c r="U278" s="103" t="s">
        <v>987</v>
      </c>
      <c r="V278" s="103" t="n">
        <v>2025</v>
      </c>
    </row>
    <row r="279" customFormat="false" ht="14.25" hidden="false" customHeight="false" outlineLevel="0" collapsed="false">
      <c r="A279" s="103" t="s">
        <v>994</v>
      </c>
      <c r="B279" s="103" t="s">
        <v>617</v>
      </c>
      <c r="C279" s="104" t="n">
        <v>45750</v>
      </c>
      <c r="D279" s="103" t="s">
        <v>109</v>
      </c>
      <c r="E279" s="103" t="n">
        <v>29</v>
      </c>
      <c r="F279" s="103" t="s">
        <v>170</v>
      </c>
      <c r="G279" s="103" t="s">
        <v>82</v>
      </c>
      <c r="H279" s="103" t="n">
        <v>3.6</v>
      </c>
      <c r="I279" s="103" t="n">
        <v>1318</v>
      </c>
      <c r="J279" s="103" t="n">
        <v>60</v>
      </c>
      <c r="K279" s="103" t="n">
        <v>10</v>
      </c>
      <c r="L279" s="103" t="s">
        <v>93</v>
      </c>
      <c r="M279" s="103" t="s">
        <v>67</v>
      </c>
      <c r="N279" s="103" t="s">
        <v>77</v>
      </c>
      <c r="O279" s="103" t="n">
        <v>70</v>
      </c>
      <c r="P279" s="103" t="n">
        <v>8.8</v>
      </c>
      <c r="Q279" s="103" t="n">
        <v>4</v>
      </c>
      <c r="R279" s="103" t="s">
        <v>138</v>
      </c>
      <c r="S279" s="103" t="n">
        <v>1378</v>
      </c>
      <c r="T279" s="103" t="n">
        <v>1368</v>
      </c>
      <c r="U279" s="103" t="s">
        <v>987</v>
      </c>
      <c r="V279" s="103" t="n">
        <v>2025</v>
      </c>
    </row>
    <row r="280" customFormat="false" ht="14.25" hidden="false" customHeight="false" outlineLevel="0" collapsed="false">
      <c r="A280" s="103" t="s">
        <v>995</v>
      </c>
      <c r="B280" s="103" t="s">
        <v>618</v>
      </c>
      <c r="C280" s="104" t="n">
        <v>45750</v>
      </c>
      <c r="D280" s="103" t="s">
        <v>109</v>
      </c>
      <c r="E280" s="103" t="n">
        <v>32</v>
      </c>
      <c r="F280" s="103" t="s">
        <v>171</v>
      </c>
      <c r="G280" s="103" t="s">
        <v>84</v>
      </c>
      <c r="H280" s="103" t="n">
        <v>2.6</v>
      </c>
      <c r="I280" s="103" t="n">
        <v>780</v>
      </c>
      <c r="J280" s="103" t="n">
        <v>40</v>
      </c>
      <c r="K280" s="103" t="n">
        <v>30</v>
      </c>
      <c r="L280" s="103" t="s">
        <v>96</v>
      </c>
      <c r="M280" s="103" t="s">
        <v>65</v>
      </c>
      <c r="N280" s="103" t="s">
        <v>78</v>
      </c>
      <c r="O280" s="103" t="n">
        <v>18</v>
      </c>
      <c r="P280" s="103" t="n">
        <v>11.7</v>
      </c>
      <c r="Q280" s="103" t="n">
        <v>3</v>
      </c>
      <c r="R280" s="103" t="s">
        <v>135</v>
      </c>
      <c r="S280" s="103" t="n">
        <v>820</v>
      </c>
      <c r="T280" s="103" t="n">
        <v>790</v>
      </c>
      <c r="U280" s="103" t="s">
        <v>987</v>
      </c>
      <c r="V280" s="103" t="n">
        <v>2025</v>
      </c>
    </row>
    <row r="281" customFormat="false" ht="14.25" hidden="false" customHeight="false" outlineLevel="0" collapsed="false">
      <c r="A281" s="103" t="s">
        <v>996</v>
      </c>
      <c r="B281" s="103" t="s">
        <v>619</v>
      </c>
      <c r="C281" s="104" t="n">
        <v>45751</v>
      </c>
      <c r="D281" s="103" t="s">
        <v>110</v>
      </c>
      <c r="E281" s="103" t="n">
        <v>43</v>
      </c>
      <c r="F281" s="103" t="s">
        <v>171</v>
      </c>
      <c r="G281" s="103" t="s">
        <v>87</v>
      </c>
      <c r="H281" s="103" t="n">
        <v>4.2</v>
      </c>
      <c r="I281" s="103" t="n">
        <v>555</v>
      </c>
      <c r="J281" s="103" t="n">
        <v>20</v>
      </c>
      <c r="K281" s="103" t="n">
        <v>0</v>
      </c>
      <c r="L281" s="103" t="s">
        <v>96</v>
      </c>
      <c r="M281" s="103" t="s">
        <v>65</v>
      </c>
      <c r="N281" s="103" t="s">
        <v>77</v>
      </c>
      <c r="O281" s="103" t="n">
        <v>47</v>
      </c>
      <c r="P281" s="103" t="n">
        <v>14</v>
      </c>
      <c r="Q281" s="103" t="n">
        <v>5</v>
      </c>
      <c r="R281" s="103" t="s">
        <v>131</v>
      </c>
      <c r="S281" s="103" t="n">
        <v>575</v>
      </c>
      <c r="T281" s="103" t="n">
        <v>575</v>
      </c>
      <c r="U281" s="103" t="s">
        <v>987</v>
      </c>
      <c r="V281" s="103" t="n">
        <v>2025</v>
      </c>
    </row>
    <row r="282" customFormat="false" ht="14.25" hidden="false" customHeight="false" outlineLevel="0" collapsed="false">
      <c r="A282" s="103" t="s">
        <v>997</v>
      </c>
      <c r="B282" s="103" t="s">
        <v>620</v>
      </c>
      <c r="C282" s="104" t="n">
        <v>45751</v>
      </c>
      <c r="D282" s="103" t="s">
        <v>108</v>
      </c>
      <c r="E282" s="103" t="n">
        <v>58</v>
      </c>
      <c r="F282" s="103" t="s">
        <v>170</v>
      </c>
      <c r="G282" s="103" t="s">
        <v>88</v>
      </c>
      <c r="H282" s="103" t="n">
        <v>4.8</v>
      </c>
      <c r="I282" s="103" t="n">
        <v>703</v>
      </c>
      <c r="J282" s="103" t="n">
        <v>20</v>
      </c>
      <c r="K282" s="103" t="n">
        <v>10</v>
      </c>
      <c r="L282" s="103" t="s">
        <v>93</v>
      </c>
      <c r="M282" s="103" t="s">
        <v>65</v>
      </c>
      <c r="N282" s="103" t="s">
        <v>77</v>
      </c>
      <c r="O282" s="103" t="n">
        <v>16</v>
      </c>
      <c r="P282" s="103" t="n">
        <v>4.3</v>
      </c>
      <c r="Q282" s="103" t="n">
        <v>4</v>
      </c>
      <c r="R282" s="103" t="s">
        <v>135</v>
      </c>
      <c r="S282" s="103" t="n">
        <v>723</v>
      </c>
      <c r="T282" s="103" t="n">
        <v>713</v>
      </c>
      <c r="U282" s="103" t="s">
        <v>987</v>
      </c>
      <c r="V282" s="103" t="n">
        <v>2025</v>
      </c>
    </row>
    <row r="283" customFormat="false" ht="14.25" hidden="false" customHeight="false" outlineLevel="0" collapsed="false">
      <c r="A283" s="103" t="s">
        <v>998</v>
      </c>
      <c r="B283" s="103" t="s">
        <v>621</v>
      </c>
      <c r="C283" s="104" t="n">
        <v>45751</v>
      </c>
      <c r="D283" s="103" t="s">
        <v>104</v>
      </c>
      <c r="E283" s="103" t="n">
        <v>43</v>
      </c>
      <c r="F283" s="103" t="s">
        <v>171</v>
      </c>
      <c r="G283" s="103" t="s">
        <v>84</v>
      </c>
      <c r="H283" s="103" t="n">
        <v>4.6</v>
      </c>
      <c r="I283" s="103" t="n">
        <v>1454</v>
      </c>
      <c r="J283" s="103" t="n">
        <v>20</v>
      </c>
      <c r="K283" s="103" t="n">
        <v>50</v>
      </c>
      <c r="L283" s="103" t="s">
        <v>96</v>
      </c>
      <c r="M283" s="103" t="s">
        <v>67</v>
      </c>
      <c r="N283" s="103" t="s">
        <v>78</v>
      </c>
      <c r="O283" s="103" t="n">
        <v>27</v>
      </c>
      <c r="P283" s="103" t="n">
        <v>5.4</v>
      </c>
      <c r="Q283" s="103" t="n">
        <v>2</v>
      </c>
      <c r="R283" s="103" t="s">
        <v>141</v>
      </c>
      <c r="S283" s="103" t="n">
        <v>1474</v>
      </c>
      <c r="T283" s="103" t="n">
        <v>1424</v>
      </c>
      <c r="U283" s="103" t="s">
        <v>987</v>
      </c>
      <c r="V283" s="103" t="n">
        <v>2025</v>
      </c>
    </row>
    <row r="284" customFormat="false" ht="14.25" hidden="false" customHeight="false" outlineLevel="0" collapsed="false">
      <c r="A284" s="103" t="s">
        <v>999</v>
      </c>
      <c r="B284" s="103" t="s">
        <v>622</v>
      </c>
      <c r="C284" s="104" t="n">
        <v>45752</v>
      </c>
      <c r="D284" s="103" t="s">
        <v>102</v>
      </c>
      <c r="E284" s="103" t="n">
        <v>49</v>
      </c>
      <c r="F284" s="103" t="s">
        <v>170</v>
      </c>
      <c r="G284" s="103" t="s">
        <v>81</v>
      </c>
      <c r="H284" s="103" t="n">
        <v>2.8</v>
      </c>
      <c r="I284" s="103" t="n">
        <v>1170</v>
      </c>
      <c r="J284" s="103" t="n">
        <v>0</v>
      </c>
      <c r="K284" s="103" t="n">
        <v>0</v>
      </c>
      <c r="L284" s="103" t="s">
        <v>96</v>
      </c>
      <c r="M284" s="103" t="s">
        <v>65</v>
      </c>
      <c r="N284" s="103" t="s">
        <v>77</v>
      </c>
      <c r="O284" s="103" t="n">
        <v>59</v>
      </c>
      <c r="P284" s="103" t="n">
        <v>7.2</v>
      </c>
      <c r="Q284" s="103" t="n">
        <v>4</v>
      </c>
      <c r="R284" s="103" t="s">
        <v>134</v>
      </c>
      <c r="S284" s="103" t="n">
        <v>1170</v>
      </c>
      <c r="T284" s="103" t="n">
        <v>1170</v>
      </c>
      <c r="U284" s="103" t="s">
        <v>987</v>
      </c>
      <c r="V284" s="103" t="n">
        <v>2025</v>
      </c>
    </row>
    <row r="285" customFormat="false" ht="14.25" hidden="false" customHeight="false" outlineLevel="0" collapsed="false">
      <c r="A285" s="103" t="s">
        <v>1000</v>
      </c>
      <c r="B285" s="103" t="s">
        <v>623</v>
      </c>
      <c r="C285" s="104" t="n">
        <v>45752</v>
      </c>
      <c r="D285" s="103" t="s">
        <v>108</v>
      </c>
      <c r="E285" s="103" t="n">
        <v>27</v>
      </c>
      <c r="F285" s="103" t="s">
        <v>170</v>
      </c>
      <c r="G285" s="103" t="s">
        <v>81</v>
      </c>
      <c r="H285" s="103" t="n">
        <v>2.8</v>
      </c>
      <c r="I285" s="103" t="n">
        <v>1695</v>
      </c>
      <c r="J285" s="103" t="n">
        <v>60</v>
      </c>
      <c r="K285" s="103" t="n">
        <v>100</v>
      </c>
      <c r="L285" s="103" t="s">
        <v>94</v>
      </c>
      <c r="M285" s="103" t="s">
        <v>65</v>
      </c>
      <c r="N285" s="103" t="s">
        <v>77</v>
      </c>
      <c r="O285" s="103" t="n">
        <v>44</v>
      </c>
      <c r="P285" s="103" t="n">
        <v>13.9</v>
      </c>
      <c r="Q285" s="103" t="n">
        <v>5</v>
      </c>
      <c r="R285" s="103" t="s">
        <v>132</v>
      </c>
      <c r="S285" s="103" t="n">
        <v>1755</v>
      </c>
      <c r="T285" s="103" t="n">
        <v>1655</v>
      </c>
      <c r="U285" s="103" t="s">
        <v>987</v>
      </c>
      <c r="V285" s="103" t="n">
        <v>2025</v>
      </c>
    </row>
    <row r="286" customFormat="false" ht="14.25" hidden="false" customHeight="false" outlineLevel="0" collapsed="false">
      <c r="A286" s="103" t="s">
        <v>1001</v>
      </c>
      <c r="B286" s="103" t="s">
        <v>624</v>
      </c>
      <c r="C286" s="104" t="n">
        <v>45752</v>
      </c>
      <c r="D286" s="103" t="s">
        <v>101</v>
      </c>
      <c r="E286" s="103" t="n">
        <v>33</v>
      </c>
      <c r="F286" s="103" t="s">
        <v>171</v>
      </c>
      <c r="G286" s="103" t="s">
        <v>82</v>
      </c>
      <c r="H286" s="103" t="n">
        <v>4.5</v>
      </c>
      <c r="I286" s="103" t="n">
        <v>1262</v>
      </c>
      <c r="J286" s="103" t="n">
        <v>60</v>
      </c>
      <c r="K286" s="103" t="n">
        <v>30</v>
      </c>
      <c r="L286" s="103" t="s">
        <v>93</v>
      </c>
      <c r="M286" s="103" t="s">
        <v>66</v>
      </c>
      <c r="N286" s="103" t="s">
        <v>77</v>
      </c>
      <c r="O286" s="103" t="n">
        <v>48</v>
      </c>
      <c r="P286" s="103" t="n">
        <v>13.6</v>
      </c>
      <c r="Q286" s="103" t="n">
        <v>5</v>
      </c>
      <c r="R286" s="103" t="s">
        <v>138</v>
      </c>
      <c r="S286" s="103" t="n">
        <v>1322</v>
      </c>
      <c r="T286" s="103" t="n">
        <v>1292</v>
      </c>
      <c r="U286" s="103" t="s">
        <v>987</v>
      </c>
      <c r="V286" s="103" t="n">
        <v>2025</v>
      </c>
    </row>
    <row r="287" customFormat="false" ht="14.25" hidden="false" customHeight="false" outlineLevel="0" collapsed="false">
      <c r="A287" s="103" t="s">
        <v>1002</v>
      </c>
      <c r="B287" s="103" t="s">
        <v>625</v>
      </c>
      <c r="C287" s="104" t="n">
        <v>45753</v>
      </c>
      <c r="D287" s="103" t="s">
        <v>104</v>
      </c>
      <c r="E287" s="103" t="n">
        <v>24</v>
      </c>
      <c r="F287" s="103" t="s">
        <v>171</v>
      </c>
      <c r="G287" s="103" t="s">
        <v>84</v>
      </c>
      <c r="H287" s="103" t="n">
        <v>4.8</v>
      </c>
      <c r="I287" s="103" t="n">
        <v>1078</v>
      </c>
      <c r="J287" s="103" t="n">
        <v>60</v>
      </c>
      <c r="K287" s="103" t="n">
        <v>75</v>
      </c>
      <c r="L287" s="103" t="s">
        <v>93</v>
      </c>
      <c r="M287" s="103" t="s">
        <v>66</v>
      </c>
      <c r="N287" s="103" t="s">
        <v>77</v>
      </c>
      <c r="O287" s="103" t="n">
        <v>44</v>
      </c>
      <c r="P287" s="103" t="n">
        <v>1.8</v>
      </c>
      <c r="Q287" s="103" t="n">
        <v>1</v>
      </c>
      <c r="R287" s="103" t="s">
        <v>136</v>
      </c>
      <c r="S287" s="103" t="n">
        <v>1138</v>
      </c>
      <c r="T287" s="103" t="n">
        <v>1063</v>
      </c>
      <c r="U287" s="103" t="s">
        <v>987</v>
      </c>
      <c r="V287" s="103" t="n">
        <v>2025</v>
      </c>
    </row>
    <row r="288" customFormat="false" ht="14.25" hidden="false" customHeight="false" outlineLevel="0" collapsed="false">
      <c r="A288" s="103" t="s">
        <v>1003</v>
      </c>
      <c r="B288" s="103" t="s">
        <v>626</v>
      </c>
      <c r="C288" s="104" t="n">
        <v>45753</v>
      </c>
      <c r="D288" s="103" t="s">
        <v>109</v>
      </c>
      <c r="E288" s="103" t="n">
        <v>34</v>
      </c>
      <c r="F288" s="103" t="s">
        <v>171</v>
      </c>
      <c r="G288" s="103" t="s">
        <v>90</v>
      </c>
      <c r="H288" s="103" t="n">
        <v>3.7</v>
      </c>
      <c r="I288" s="103" t="n">
        <v>1145</v>
      </c>
      <c r="J288" s="103" t="n">
        <v>60</v>
      </c>
      <c r="K288" s="103" t="n">
        <v>150</v>
      </c>
      <c r="L288" s="103" t="s">
        <v>94</v>
      </c>
      <c r="M288" s="103" t="s">
        <v>65</v>
      </c>
      <c r="N288" s="103" t="s">
        <v>77</v>
      </c>
      <c r="O288" s="103" t="n">
        <v>65</v>
      </c>
      <c r="P288" s="103" t="n">
        <v>2.4</v>
      </c>
      <c r="Q288" s="103" t="n">
        <v>5</v>
      </c>
      <c r="R288" s="103" t="s">
        <v>139</v>
      </c>
      <c r="S288" s="103" t="n">
        <v>1205</v>
      </c>
      <c r="T288" s="103" t="n">
        <v>1055</v>
      </c>
      <c r="U288" s="103" t="s">
        <v>987</v>
      </c>
      <c r="V288" s="103" t="n">
        <v>2025</v>
      </c>
    </row>
    <row r="289" customFormat="false" ht="14.25" hidden="false" customHeight="false" outlineLevel="0" collapsed="false">
      <c r="A289" s="103" t="s">
        <v>1004</v>
      </c>
      <c r="B289" s="103" t="s">
        <v>627</v>
      </c>
      <c r="C289" s="104" t="n">
        <v>45753</v>
      </c>
      <c r="D289" s="103" t="s">
        <v>106</v>
      </c>
      <c r="E289" s="103" t="n">
        <v>40</v>
      </c>
      <c r="F289" s="103" t="s">
        <v>171</v>
      </c>
      <c r="G289" s="103" t="s">
        <v>81</v>
      </c>
      <c r="H289" s="103" t="n">
        <v>3.7</v>
      </c>
      <c r="I289" s="103" t="n">
        <v>1703</v>
      </c>
      <c r="J289" s="103" t="n">
        <v>0</v>
      </c>
      <c r="K289" s="103" t="n">
        <v>75</v>
      </c>
      <c r="L289" s="103" t="s">
        <v>93</v>
      </c>
      <c r="M289" s="103" t="s">
        <v>65</v>
      </c>
      <c r="N289" s="103" t="s">
        <v>77</v>
      </c>
      <c r="O289" s="103" t="n">
        <v>68</v>
      </c>
      <c r="P289" s="103" t="n">
        <v>7.7</v>
      </c>
      <c r="Q289" s="103" t="n">
        <v>4</v>
      </c>
      <c r="R289" s="103" t="s">
        <v>134</v>
      </c>
      <c r="S289" s="103" t="n">
        <v>1703</v>
      </c>
      <c r="T289" s="103" t="n">
        <v>1628</v>
      </c>
      <c r="U289" s="103" t="s">
        <v>987</v>
      </c>
      <c r="V289" s="103" t="n">
        <v>2025</v>
      </c>
    </row>
    <row r="290" customFormat="false" ht="14.25" hidden="false" customHeight="false" outlineLevel="0" collapsed="false">
      <c r="A290" s="103" t="s">
        <v>1005</v>
      </c>
      <c r="B290" s="103" t="s">
        <v>628</v>
      </c>
      <c r="C290" s="104" t="n">
        <v>45754</v>
      </c>
      <c r="D290" s="103" t="s">
        <v>101</v>
      </c>
      <c r="E290" s="103" t="n">
        <v>43</v>
      </c>
      <c r="F290" s="103" t="s">
        <v>171</v>
      </c>
      <c r="G290" s="103" t="s">
        <v>90</v>
      </c>
      <c r="H290" s="103" t="n">
        <v>3.3</v>
      </c>
      <c r="I290" s="103" t="n">
        <v>1444</v>
      </c>
      <c r="J290" s="103" t="n">
        <v>50</v>
      </c>
      <c r="K290" s="103" t="n">
        <v>10</v>
      </c>
      <c r="L290" s="103" t="s">
        <v>97</v>
      </c>
      <c r="M290" s="103" t="s">
        <v>67</v>
      </c>
      <c r="N290" s="103" t="s">
        <v>77</v>
      </c>
      <c r="O290" s="103" t="n">
        <v>38</v>
      </c>
      <c r="P290" s="103" t="n">
        <v>2</v>
      </c>
      <c r="Q290" s="103" t="n">
        <v>1</v>
      </c>
      <c r="R290" s="103" t="s">
        <v>133</v>
      </c>
      <c r="S290" s="103" t="n">
        <v>1494</v>
      </c>
      <c r="T290" s="103" t="n">
        <v>1484</v>
      </c>
      <c r="U290" s="103" t="s">
        <v>987</v>
      </c>
      <c r="V290" s="103" t="n">
        <v>2025</v>
      </c>
    </row>
    <row r="291" customFormat="false" ht="14.25" hidden="false" customHeight="false" outlineLevel="0" collapsed="false">
      <c r="A291" s="103" t="s">
        <v>1006</v>
      </c>
      <c r="B291" s="103" t="s">
        <v>629</v>
      </c>
      <c r="C291" s="104" t="n">
        <v>45754</v>
      </c>
      <c r="D291" s="103" t="s">
        <v>100</v>
      </c>
      <c r="E291" s="103" t="n">
        <v>38</v>
      </c>
      <c r="F291" s="103" t="s">
        <v>170</v>
      </c>
      <c r="G291" s="103" t="s">
        <v>85</v>
      </c>
      <c r="H291" s="103" t="n">
        <v>4.7</v>
      </c>
      <c r="I291" s="103" t="n">
        <v>160</v>
      </c>
      <c r="J291" s="103" t="n">
        <v>30</v>
      </c>
      <c r="K291" s="103" t="n">
        <v>0</v>
      </c>
      <c r="L291" s="103" t="s">
        <v>95</v>
      </c>
      <c r="M291" s="103" t="s">
        <v>65</v>
      </c>
      <c r="N291" s="103" t="s">
        <v>77</v>
      </c>
      <c r="O291" s="103" t="n">
        <v>62</v>
      </c>
      <c r="P291" s="103" t="n">
        <v>5.5</v>
      </c>
      <c r="Q291" s="103" t="n">
        <v>5</v>
      </c>
      <c r="R291" s="103" t="s">
        <v>142</v>
      </c>
      <c r="S291" s="103" t="n">
        <v>190</v>
      </c>
      <c r="T291" s="103" t="n">
        <v>190</v>
      </c>
      <c r="U291" s="103" t="s">
        <v>987</v>
      </c>
      <c r="V291" s="103" t="n">
        <v>2025</v>
      </c>
    </row>
    <row r="292" customFormat="false" ht="14.25" hidden="false" customHeight="false" outlineLevel="0" collapsed="false">
      <c r="A292" s="103" t="s">
        <v>1007</v>
      </c>
      <c r="B292" s="103" t="s">
        <v>630</v>
      </c>
      <c r="C292" s="104" t="n">
        <v>45754</v>
      </c>
      <c r="D292" s="103" t="s">
        <v>110</v>
      </c>
      <c r="E292" s="103" t="n">
        <v>39</v>
      </c>
      <c r="F292" s="103" t="s">
        <v>171</v>
      </c>
      <c r="G292" s="103" t="s">
        <v>87</v>
      </c>
      <c r="H292" s="103" t="n">
        <v>4.1</v>
      </c>
      <c r="I292" s="103" t="n">
        <v>1017</v>
      </c>
      <c r="J292" s="103" t="n">
        <v>30</v>
      </c>
      <c r="K292" s="103" t="n">
        <v>150</v>
      </c>
      <c r="L292" s="103" t="s">
        <v>95</v>
      </c>
      <c r="M292" s="103" t="s">
        <v>65</v>
      </c>
      <c r="N292" s="103" t="s">
        <v>78</v>
      </c>
      <c r="O292" s="103" t="n">
        <v>58</v>
      </c>
      <c r="P292" s="103" t="n">
        <v>2.7</v>
      </c>
      <c r="Q292" s="103" t="n">
        <v>5</v>
      </c>
      <c r="R292" s="103" t="s">
        <v>131</v>
      </c>
      <c r="S292" s="103" t="n">
        <v>1047</v>
      </c>
      <c r="T292" s="103" t="n">
        <v>897</v>
      </c>
      <c r="U292" s="103" t="s">
        <v>987</v>
      </c>
      <c r="V292" s="103" t="n">
        <v>2025</v>
      </c>
    </row>
    <row r="293" customFormat="false" ht="14.25" hidden="false" customHeight="false" outlineLevel="0" collapsed="false">
      <c r="A293" s="103" t="s">
        <v>1008</v>
      </c>
      <c r="B293" s="103" t="s">
        <v>631</v>
      </c>
      <c r="C293" s="104" t="n">
        <v>45755</v>
      </c>
      <c r="D293" s="103" t="s">
        <v>100</v>
      </c>
      <c r="E293" s="103" t="n">
        <v>24</v>
      </c>
      <c r="F293" s="103" t="s">
        <v>170</v>
      </c>
      <c r="G293" s="103" t="s">
        <v>89</v>
      </c>
      <c r="H293" s="103" t="n">
        <v>3.2</v>
      </c>
      <c r="I293" s="103" t="n">
        <v>1276</v>
      </c>
      <c r="J293" s="103" t="n">
        <v>60</v>
      </c>
      <c r="K293" s="103" t="n">
        <v>150</v>
      </c>
      <c r="L293" s="103" t="s">
        <v>97</v>
      </c>
      <c r="M293" s="103" t="s">
        <v>66</v>
      </c>
      <c r="N293" s="103" t="s">
        <v>77</v>
      </c>
      <c r="O293" s="103" t="n">
        <v>47</v>
      </c>
      <c r="P293" s="103" t="n">
        <v>9.7</v>
      </c>
      <c r="Q293" s="103" t="n">
        <v>5</v>
      </c>
      <c r="R293" s="103" t="s">
        <v>141</v>
      </c>
      <c r="S293" s="103" t="n">
        <v>1336</v>
      </c>
      <c r="T293" s="103" t="n">
        <v>1186</v>
      </c>
      <c r="U293" s="103" t="s">
        <v>987</v>
      </c>
      <c r="V293" s="103" t="n">
        <v>2025</v>
      </c>
    </row>
    <row r="294" customFormat="false" ht="14.25" hidden="false" customHeight="false" outlineLevel="0" collapsed="false">
      <c r="A294" s="103" t="s">
        <v>1009</v>
      </c>
      <c r="B294" s="103" t="s">
        <v>632</v>
      </c>
      <c r="C294" s="104" t="n">
        <v>45755</v>
      </c>
      <c r="D294" s="103" t="s">
        <v>101</v>
      </c>
      <c r="E294" s="103" t="n">
        <v>31</v>
      </c>
      <c r="F294" s="103" t="s">
        <v>171</v>
      </c>
      <c r="G294" s="103" t="s">
        <v>88</v>
      </c>
      <c r="H294" s="103" t="n">
        <v>3.2</v>
      </c>
      <c r="I294" s="103" t="n">
        <v>1378</v>
      </c>
      <c r="J294" s="103" t="n">
        <v>40</v>
      </c>
      <c r="K294" s="103" t="n">
        <v>200</v>
      </c>
      <c r="L294" s="103" t="s">
        <v>96</v>
      </c>
      <c r="M294" s="103" t="s">
        <v>67</v>
      </c>
      <c r="N294" s="103" t="s">
        <v>77</v>
      </c>
      <c r="O294" s="103" t="n">
        <v>55</v>
      </c>
      <c r="P294" s="103" t="n">
        <v>14.3</v>
      </c>
      <c r="Q294" s="103" t="n">
        <v>5</v>
      </c>
      <c r="R294" s="103" t="s">
        <v>137</v>
      </c>
      <c r="S294" s="103" t="n">
        <v>1418</v>
      </c>
      <c r="T294" s="103" t="n">
        <v>1218</v>
      </c>
      <c r="U294" s="103" t="s">
        <v>987</v>
      </c>
      <c r="V294" s="103" t="n">
        <v>2025</v>
      </c>
    </row>
    <row r="295" customFormat="false" ht="14.25" hidden="false" customHeight="false" outlineLevel="0" collapsed="false">
      <c r="A295" s="103" t="s">
        <v>1010</v>
      </c>
      <c r="B295" s="103" t="s">
        <v>633</v>
      </c>
      <c r="C295" s="104" t="n">
        <v>45755</v>
      </c>
      <c r="D295" s="103" t="s">
        <v>103</v>
      </c>
      <c r="E295" s="103" t="n">
        <v>32</v>
      </c>
      <c r="F295" s="103" t="s">
        <v>170</v>
      </c>
      <c r="G295" s="103" t="s">
        <v>87</v>
      </c>
      <c r="H295" s="103" t="n">
        <v>4.7</v>
      </c>
      <c r="I295" s="103" t="n">
        <v>478</v>
      </c>
      <c r="J295" s="103" t="n">
        <v>20</v>
      </c>
      <c r="K295" s="103" t="n">
        <v>75</v>
      </c>
      <c r="L295" s="103" t="s">
        <v>93</v>
      </c>
      <c r="M295" s="103" t="s">
        <v>65</v>
      </c>
      <c r="N295" s="103" t="s">
        <v>78</v>
      </c>
      <c r="O295" s="103" t="n">
        <v>63</v>
      </c>
      <c r="P295" s="103" t="n">
        <v>15</v>
      </c>
      <c r="Q295" s="103" t="n">
        <v>5</v>
      </c>
      <c r="R295" s="103" t="s">
        <v>138</v>
      </c>
      <c r="S295" s="103" t="n">
        <v>498</v>
      </c>
      <c r="T295" s="103" t="n">
        <v>423</v>
      </c>
      <c r="U295" s="103" t="s">
        <v>987</v>
      </c>
      <c r="V295" s="103" t="n">
        <v>2025</v>
      </c>
    </row>
    <row r="296" customFormat="false" ht="14.25" hidden="false" customHeight="false" outlineLevel="0" collapsed="false">
      <c r="A296" s="103" t="s">
        <v>1011</v>
      </c>
      <c r="B296" s="103" t="s">
        <v>634</v>
      </c>
      <c r="C296" s="104" t="n">
        <v>45756</v>
      </c>
      <c r="D296" s="103" t="s">
        <v>103</v>
      </c>
      <c r="E296" s="103" t="n">
        <v>24</v>
      </c>
      <c r="F296" s="103" t="s">
        <v>171</v>
      </c>
      <c r="G296" s="103" t="s">
        <v>88</v>
      </c>
      <c r="H296" s="103" t="n">
        <v>2.5</v>
      </c>
      <c r="I296" s="103" t="n">
        <v>1577</v>
      </c>
      <c r="J296" s="103" t="n">
        <v>0</v>
      </c>
      <c r="K296" s="103" t="n">
        <v>0</v>
      </c>
      <c r="L296" s="103" t="s">
        <v>93</v>
      </c>
      <c r="M296" s="103" t="s">
        <v>65</v>
      </c>
      <c r="N296" s="103" t="s">
        <v>77</v>
      </c>
      <c r="O296" s="103" t="n">
        <v>24</v>
      </c>
      <c r="P296" s="103" t="n">
        <v>5.9</v>
      </c>
      <c r="Q296" s="103" t="n">
        <v>5</v>
      </c>
      <c r="R296" s="103" t="s">
        <v>136</v>
      </c>
      <c r="S296" s="103" t="n">
        <v>1577</v>
      </c>
      <c r="T296" s="103" t="n">
        <v>1577</v>
      </c>
      <c r="U296" s="103" t="s">
        <v>987</v>
      </c>
      <c r="V296" s="103" t="n">
        <v>2025</v>
      </c>
    </row>
    <row r="297" customFormat="false" ht="14.25" hidden="false" customHeight="false" outlineLevel="0" collapsed="false">
      <c r="A297" s="103" t="s">
        <v>1012</v>
      </c>
      <c r="B297" s="103" t="s">
        <v>635</v>
      </c>
      <c r="C297" s="104" t="n">
        <v>45756</v>
      </c>
      <c r="D297" s="103" t="s">
        <v>111</v>
      </c>
      <c r="E297" s="103" t="n">
        <v>26</v>
      </c>
      <c r="F297" s="103" t="s">
        <v>171</v>
      </c>
      <c r="G297" s="103" t="s">
        <v>84</v>
      </c>
      <c r="H297" s="103" t="n">
        <v>3.3</v>
      </c>
      <c r="I297" s="103" t="n">
        <v>1726</v>
      </c>
      <c r="J297" s="103" t="n">
        <v>40</v>
      </c>
      <c r="K297" s="103" t="n">
        <v>200</v>
      </c>
      <c r="L297" s="103" t="s">
        <v>95</v>
      </c>
      <c r="M297" s="103" t="s">
        <v>67</v>
      </c>
      <c r="N297" s="103" t="s">
        <v>77</v>
      </c>
      <c r="O297" s="103" t="n">
        <v>32</v>
      </c>
      <c r="P297" s="103" t="n">
        <v>9.2</v>
      </c>
      <c r="Q297" s="103" t="n">
        <v>5</v>
      </c>
      <c r="R297" s="103" t="s">
        <v>139</v>
      </c>
      <c r="S297" s="103" t="n">
        <v>1766</v>
      </c>
      <c r="T297" s="103" t="n">
        <v>1566</v>
      </c>
      <c r="U297" s="103" t="s">
        <v>987</v>
      </c>
      <c r="V297" s="103" t="n">
        <v>2025</v>
      </c>
    </row>
    <row r="298" customFormat="false" ht="14.25" hidden="false" customHeight="false" outlineLevel="0" collapsed="false">
      <c r="A298" s="103" t="s">
        <v>1013</v>
      </c>
      <c r="B298" s="103" t="s">
        <v>636</v>
      </c>
      <c r="C298" s="104" t="n">
        <v>45756</v>
      </c>
      <c r="D298" s="103" t="s">
        <v>108</v>
      </c>
      <c r="E298" s="103" t="n">
        <v>25</v>
      </c>
      <c r="F298" s="103" t="s">
        <v>170</v>
      </c>
      <c r="G298" s="103" t="s">
        <v>85</v>
      </c>
      <c r="H298" s="103" t="n">
        <v>3.9</v>
      </c>
      <c r="I298" s="103" t="n">
        <v>518</v>
      </c>
      <c r="J298" s="103" t="n">
        <v>40</v>
      </c>
      <c r="K298" s="103" t="n">
        <v>20</v>
      </c>
      <c r="L298" s="103" t="s">
        <v>93</v>
      </c>
      <c r="M298" s="103" t="s">
        <v>65</v>
      </c>
      <c r="N298" s="103" t="s">
        <v>77</v>
      </c>
      <c r="O298" s="103" t="n">
        <v>33</v>
      </c>
      <c r="P298" s="103" t="n">
        <v>12.9</v>
      </c>
      <c r="Q298" s="103" t="n">
        <v>5</v>
      </c>
      <c r="R298" s="103" t="s">
        <v>133</v>
      </c>
      <c r="S298" s="103" t="n">
        <v>558</v>
      </c>
      <c r="T298" s="103" t="n">
        <v>538</v>
      </c>
      <c r="U298" s="103" t="s">
        <v>987</v>
      </c>
      <c r="V298" s="103" t="n">
        <v>2025</v>
      </c>
    </row>
    <row r="299" customFormat="false" ht="14.25" hidden="false" customHeight="false" outlineLevel="0" collapsed="false">
      <c r="A299" s="103" t="s">
        <v>1014</v>
      </c>
      <c r="B299" s="103" t="s">
        <v>637</v>
      </c>
      <c r="C299" s="104" t="n">
        <v>45757</v>
      </c>
      <c r="D299" s="103" t="s">
        <v>109</v>
      </c>
      <c r="E299" s="103" t="n">
        <v>40</v>
      </c>
      <c r="F299" s="103" t="s">
        <v>170</v>
      </c>
      <c r="G299" s="103" t="s">
        <v>83</v>
      </c>
      <c r="H299" s="103" t="n">
        <v>2.9</v>
      </c>
      <c r="I299" s="103" t="n">
        <v>1603</v>
      </c>
      <c r="J299" s="103" t="n">
        <v>60</v>
      </c>
      <c r="K299" s="103" t="n">
        <v>75</v>
      </c>
      <c r="L299" s="103" t="s">
        <v>94</v>
      </c>
      <c r="M299" s="103" t="s">
        <v>65</v>
      </c>
      <c r="N299" s="103" t="s">
        <v>77</v>
      </c>
      <c r="O299" s="103" t="n">
        <v>21</v>
      </c>
      <c r="P299" s="103" t="n">
        <v>2.2</v>
      </c>
      <c r="Q299" s="103" t="n">
        <v>5</v>
      </c>
      <c r="R299" s="103" t="s">
        <v>138</v>
      </c>
      <c r="S299" s="103" t="n">
        <v>1663</v>
      </c>
      <c r="T299" s="103" t="n">
        <v>1588</v>
      </c>
      <c r="U299" s="103" t="s">
        <v>987</v>
      </c>
      <c r="V299" s="103" t="n">
        <v>2025</v>
      </c>
    </row>
    <row r="300" customFormat="false" ht="14.25" hidden="false" customHeight="false" outlineLevel="0" collapsed="false">
      <c r="A300" s="103" t="s">
        <v>1015</v>
      </c>
      <c r="B300" s="103" t="s">
        <v>638</v>
      </c>
      <c r="C300" s="104" t="n">
        <v>45757</v>
      </c>
      <c r="D300" s="103" t="s">
        <v>109</v>
      </c>
      <c r="E300" s="103" t="n">
        <v>46</v>
      </c>
      <c r="F300" s="103" t="s">
        <v>171</v>
      </c>
      <c r="G300" s="103" t="s">
        <v>82</v>
      </c>
      <c r="H300" s="103" t="n">
        <v>2.7</v>
      </c>
      <c r="I300" s="103" t="n">
        <v>283</v>
      </c>
      <c r="J300" s="103" t="n">
        <v>0</v>
      </c>
      <c r="K300" s="103" t="n">
        <v>200</v>
      </c>
      <c r="L300" s="103" t="s">
        <v>95</v>
      </c>
      <c r="M300" s="103" t="s">
        <v>65</v>
      </c>
      <c r="N300" s="103" t="s">
        <v>77</v>
      </c>
      <c r="O300" s="103" t="n">
        <v>33</v>
      </c>
      <c r="P300" s="103" t="n">
        <v>10.5</v>
      </c>
      <c r="Q300" s="103" t="n">
        <v>5</v>
      </c>
      <c r="R300" s="103" t="s">
        <v>133</v>
      </c>
      <c r="S300" s="103" t="n">
        <v>283</v>
      </c>
      <c r="T300" s="103" t="n">
        <v>83</v>
      </c>
      <c r="U300" s="103" t="s">
        <v>987</v>
      </c>
      <c r="V300" s="103" t="n">
        <v>2025</v>
      </c>
    </row>
    <row r="301" customFormat="false" ht="14.25" hidden="false" customHeight="false" outlineLevel="0" collapsed="false">
      <c r="A301" s="103" t="s">
        <v>1016</v>
      </c>
      <c r="B301" s="103" t="s">
        <v>639</v>
      </c>
      <c r="C301" s="104" t="n">
        <v>45757</v>
      </c>
      <c r="D301" s="103" t="s">
        <v>102</v>
      </c>
      <c r="E301" s="103" t="n">
        <v>35</v>
      </c>
      <c r="F301" s="103" t="s">
        <v>170</v>
      </c>
      <c r="G301" s="103" t="s">
        <v>88</v>
      </c>
      <c r="H301" s="103" t="n">
        <v>4.5</v>
      </c>
      <c r="I301" s="103" t="n">
        <v>214</v>
      </c>
      <c r="J301" s="103" t="n">
        <v>30</v>
      </c>
      <c r="K301" s="103" t="n">
        <v>20</v>
      </c>
      <c r="L301" s="103" t="s">
        <v>96</v>
      </c>
      <c r="M301" s="103" t="s">
        <v>65</v>
      </c>
      <c r="N301" s="103" t="s">
        <v>78</v>
      </c>
      <c r="O301" s="103" t="n">
        <v>38</v>
      </c>
      <c r="P301" s="103" t="n">
        <v>6.4</v>
      </c>
      <c r="Q301" s="103" t="n">
        <v>3</v>
      </c>
      <c r="R301" s="103" t="s">
        <v>134</v>
      </c>
      <c r="S301" s="103" t="n">
        <v>244</v>
      </c>
      <c r="T301" s="103" t="n">
        <v>224</v>
      </c>
      <c r="U301" s="103" t="s">
        <v>987</v>
      </c>
      <c r="V301" s="103" t="n">
        <v>2025</v>
      </c>
    </row>
    <row r="302" customFormat="false" ht="14.25" hidden="false" customHeight="false" outlineLevel="0" collapsed="false">
      <c r="A302" s="103" t="s">
        <v>1017</v>
      </c>
      <c r="B302" s="103" t="s">
        <v>640</v>
      </c>
      <c r="C302" s="104" t="n">
        <v>45758</v>
      </c>
      <c r="D302" s="103" t="s">
        <v>102</v>
      </c>
      <c r="E302" s="103" t="n">
        <v>48</v>
      </c>
      <c r="F302" s="103" t="s">
        <v>171</v>
      </c>
      <c r="G302" s="103" t="s">
        <v>88</v>
      </c>
      <c r="H302" s="103" t="n">
        <v>4.7</v>
      </c>
      <c r="I302" s="103" t="n">
        <v>337</v>
      </c>
      <c r="J302" s="103" t="n">
        <v>20</v>
      </c>
      <c r="K302" s="103" t="n">
        <v>50</v>
      </c>
      <c r="L302" s="103" t="s">
        <v>93</v>
      </c>
      <c r="M302" s="103" t="s">
        <v>67</v>
      </c>
      <c r="N302" s="103" t="s">
        <v>78</v>
      </c>
      <c r="O302" s="103" t="n">
        <v>29</v>
      </c>
      <c r="P302" s="103" t="n">
        <v>3.5</v>
      </c>
      <c r="Q302" s="103" t="n">
        <v>5</v>
      </c>
      <c r="R302" s="103" t="s">
        <v>135</v>
      </c>
      <c r="S302" s="103" t="n">
        <v>357</v>
      </c>
      <c r="T302" s="103" t="n">
        <v>307</v>
      </c>
      <c r="U302" s="103" t="s">
        <v>987</v>
      </c>
      <c r="V302" s="103" t="n">
        <v>2025</v>
      </c>
    </row>
    <row r="303" customFormat="false" ht="14.25" hidden="false" customHeight="false" outlineLevel="0" collapsed="false">
      <c r="A303" s="103" t="s">
        <v>1018</v>
      </c>
      <c r="B303" s="103" t="s">
        <v>641</v>
      </c>
      <c r="C303" s="104" t="n">
        <v>45758</v>
      </c>
      <c r="D303" s="103" t="s">
        <v>102</v>
      </c>
      <c r="E303" s="103" t="n">
        <v>47</v>
      </c>
      <c r="F303" s="103" t="s">
        <v>170</v>
      </c>
      <c r="G303" s="103" t="s">
        <v>84</v>
      </c>
      <c r="H303" s="103" t="n">
        <v>4.6</v>
      </c>
      <c r="I303" s="103" t="n">
        <v>217</v>
      </c>
      <c r="J303" s="103" t="n">
        <v>30</v>
      </c>
      <c r="K303" s="103" t="n">
        <v>50</v>
      </c>
      <c r="L303" s="103" t="s">
        <v>95</v>
      </c>
      <c r="M303" s="103" t="s">
        <v>65</v>
      </c>
      <c r="N303" s="103" t="s">
        <v>77</v>
      </c>
      <c r="O303" s="103" t="n">
        <v>55</v>
      </c>
      <c r="P303" s="103" t="n">
        <v>6.3</v>
      </c>
      <c r="Q303" s="103" t="n">
        <v>4</v>
      </c>
      <c r="R303" s="103" t="s">
        <v>134</v>
      </c>
      <c r="S303" s="103" t="n">
        <v>247</v>
      </c>
      <c r="T303" s="103" t="n">
        <v>197</v>
      </c>
      <c r="U303" s="103" t="s">
        <v>987</v>
      </c>
      <c r="V303" s="103" t="n">
        <v>2025</v>
      </c>
    </row>
    <row r="304" customFormat="false" ht="14.25" hidden="false" customHeight="false" outlineLevel="0" collapsed="false">
      <c r="A304" s="103" t="s">
        <v>1019</v>
      </c>
      <c r="B304" s="103" t="s">
        <v>642</v>
      </c>
      <c r="C304" s="104" t="n">
        <v>45758</v>
      </c>
      <c r="D304" s="103" t="s">
        <v>106</v>
      </c>
      <c r="E304" s="103" t="n">
        <v>56</v>
      </c>
      <c r="F304" s="103" t="s">
        <v>171</v>
      </c>
      <c r="G304" s="103" t="s">
        <v>90</v>
      </c>
      <c r="H304" s="103" t="n">
        <v>4.7</v>
      </c>
      <c r="I304" s="103" t="n">
        <v>1540</v>
      </c>
      <c r="J304" s="103" t="n">
        <v>40</v>
      </c>
      <c r="K304" s="103" t="n">
        <v>100</v>
      </c>
      <c r="L304" s="103" t="s">
        <v>93</v>
      </c>
      <c r="M304" s="103" t="s">
        <v>65</v>
      </c>
      <c r="N304" s="103" t="s">
        <v>77</v>
      </c>
      <c r="O304" s="103" t="n">
        <v>56</v>
      </c>
      <c r="P304" s="103" t="n">
        <v>1.6</v>
      </c>
      <c r="Q304" s="103" t="n">
        <v>4</v>
      </c>
      <c r="R304" s="103" t="s">
        <v>132</v>
      </c>
      <c r="S304" s="103" t="n">
        <v>1580</v>
      </c>
      <c r="T304" s="103" t="n">
        <v>1480</v>
      </c>
      <c r="U304" s="103" t="s">
        <v>987</v>
      </c>
      <c r="V304" s="103" t="n">
        <v>2025</v>
      </c>
    </row>
    <row r="305" customFormat="false" ht="14.25" hidden="false" customHeight="false" outlineLevel="0" collapsed="false">
      <c r="A305" s="103" t="s">
        <v>1020</v>
      </c>
      <c r="B305" s="103" t="s">
        <v>643</v>
      </c>
      <c r="C305" s="104" t="n">
        <v>45759</v>
      </c>
      <c r="D305" s="103" t="s">
        <v>105</v>
      </c>
      <c r="E305" s="103" t="n">
        <v>52</v>
      </c>
      <c r="F305" s="103" t="s">
        <v>171</v>
      </c>
      <c r="G305" s="103" t="s">
        <v>87</v>
      </c>
      <c r="H305" s="103" t="n">
        <v>3.9</v>
      </c>
      <c r="I305" s="103" t="n">
        <v>219</v>
      </c>
      <c r="J305" s="103" t="n">
        <v>20</v>
      </c>
      <c r="K305" s="103" t="n">
        <v>30</v>
      </c>
      <c r="L305" s="103" t="s">
        <v>95</v>
      </c>
      <c r="M305" s="103" t="s">
        <v>65</v>
      </c>
      <c r="N305" s="103" t="s">
        <v>77</v>
      </c>
      <c r="O305" s="103" t="n">
        <v>37</v>
      </c>
      <c r="P305" s="103" t="n">
        <v>10.6</v>
      </c>
      <c r="Q305" s="103" t="n">
        <v>5</v>
      </c>
      <c r="R305" s="103" t="s">
        <v>138</v>
      </c>
      <c r="S305" s="103" t="n">
        <v>239</v>
      </c>
      <c r="T305" s="103" t="n">
        <v>209</v>
      </c>
      <c r="U305" s="103" t="s">
        <v>987</v>
      </c>
      <c r="V305" s="103" t="n">
        <v>2025</v>
      </c>
    </row>
    <row r="306" customFormat="false" ht="14.25" hidden="false" customHeight="false" outlineLevel="0" collapsed="false">
      <c r="A306" s="103" t="s">
        <v>1021</v>
      </c>
      <c r="B306" s="103" t="s">
        <v>644</v>
      </c>
      <c r="C306" s="104" t="n">
        <v>45759</v>
      </c>
      <c r="D306" s="103" t="s">
        <v>107</v>
      </c>
      <c r="E306" s="103" t="n">
        <v>35</v>
      </c>
      <c r="F306" s="103" t="s">
        <v>170</v>
      </c>
      <c r="G306" s="103" t="s">
        <v>83</v>
      </c>
      <c r="H306" s="103" t="n">
        <v>4.5</v>
      </c>
      <c r="I306" s="103" t="n">
        <v>576</v>
      </c>
      <c r="J306" s="103" t="n">
        <v>50</v>
      </c>
      <c r="K306" s="103" t="n">
        <v>30</v>
      </c>
      <c r="L306" s="103" t="s">
        <v>93</v>
      </c>
      <c r="M306" s="103" t="s">
        <v>65</v>
      </c>
      <c r="N306" s="103" t="s">
        <v>77</v>
      </c>
      <c r="O306" s="103" t="n">
        <v>66</v>
      </c>
      <c r="P306" s="103" t="n">
        <v>4.2</v>
      </c>
      <c r="Q306" s="103" t="n">
        <v>2</v>
      </c>
      <c r="R306" s="103" t="s">
        <v>141</v>
      </c>
      <c r="S306" s="103" t="n">
        <v>626</v>
      </c>
      <c r="T306" s="103" t="n">
        <v>596</v>
      </c>
      <c r="U306" s="103" t="s">
        <v>987</v>
      </c>
      <c r="V306" s="103" t="n">
        <v>2025</v>
      </c>
    </row>
    <row r="307" customFormat="false" ht="14.25" hidden="false" customHeight="false" outlineLevel="0" collapsed="false">
      <c r="A307" s="103" t="s">
        <v>1022</v>
      </c>
      <c r="B307" s="103" t="s">
        <v>645</v>
      </c>
      <c r="C307" s="104" t="n">
        <v>45759</v>
      </c>
      <c r="D307" s="103" t="s">
        <v>105</v>
      </c>
      <c r="E307" s="103" t="n">
        <v>59</v>
      </c>
      <c r="F307" s="103" t="s">
        <v>170</v>
      </c>
      <c r="G307" s="103" t="s">
        <v>86</v>
      </c>
      <c r="H307" s="103" t="n">
        <v>3.5</v>
      </c>
      <c r="I307" s="103" t="n">
        <v>294</v>
      </c>
      <c r="J307" s="103" t="n">
        <v>40</v>
      </c>
      <c r="K307" s="103" t="n">
        <v>100</v>
      </c>
      <c r="L307" s="103" t="s">
        <v>96</v>
      </c>
      <c r="M307" s="103" t="s">
        <v>66</v>
      </c>
      <c r="N307" s="103" t="s">
        <v>77</v>
      </c>
      <c r="O307" s="103" t="n">
        <v>66</v>
      </c>
      <c r="P307" s="103" t="n">
        <v>5</v>
      </c>
      <c r="Q307" s="103" t="n">
        <v>4</v>
      </c>
      <c r="R307" s="103" t="s">
        <v>139</v>
      </c>
      <c r="S307" s="103" t="n">
        <v>334</v>
      </c>
      <c r="T307" s="103" t="n">
        <v>234</v>
      </c>
      <c r="U307" s="103" t="s">
        <v>987</v>
      </c>
      <c r="V307" s="103" t="n">
        <v>2025</v>
      </c>
    </row>
    <row r="308" customFormat="false" ht="14.25" hidden="false" customHeight="false" outlineLevel="0" collapsed="false">
      <c r="A308" s="103" t="s">
        <v>1023</v>
      </c>
      <c r="B308" s="103" t="s">
        <v>646</v>
      </c>
      <c r="C308" s="104" t="n">
        <v>45760</v>
      </c>
      <c r="D308" s="103" t="s">
        <v>100</v>
      </c>
      <c r="E308" s="103" t="n">
        <v>56</v>
      </c>
      <c r="F308" s="103" t="s">
        <v>171</v>
      </c>
      <c r="G308" s="103" t="s">
        <v>82</v>
      </c>
      <c r="H308" s="103" t="n">
        <v>4.2</v>
      </c>
      <c r="I308" s="103" t="n">
        <v>616</v>
      </c>
      <c r="J308" s="103" t="n">
        <v>30</v>
      </c>
      <c r="K308" s="103" t="n">
        <v>200</v>
      </c>
      <c r="L308" s="103" t="s">
        <v>93</v>
      </c>
      <c r="M308" s="103" t="s">
        <v>65</v>
      </c>
      <c r="N308" s="103" t="s">
        <v>77</v>
      </c>
      <c r="O308" s="103" t="n">
        <v>18</v>
      </c>
      <c r="P308" s="103" t="n">
        <v>2.3</v>
      </c>
      <c r="Q308" s="103" t="n">
        <v>5</v>
      </c>
      <c r="R308" s="103" t="s">
        <v>137</v>
      </c>
      <c r="S308" s="103" t="n">
        <v>646</v>
      </c>
      <c r="T308" s="103" t="n">
        <v>446</v>
      </c>
      <c r="U308" s="103" t="s">
        <v>987</v>
      </c>
      <c r="V308" s="103" t="n">
        <v>2025</v>
      </c>
    </row>
    <row r="309" customFormat="false" ht="14.25" hidden="false" customHeight="false" outlineLevel="0" collapsed="false">
      <c r="A309" s="103" t="s">
        <v>1024</v>
      </c>
      <c r="B309" s="103" t="s">
        <v>647</v>
      </c>
      <c r="C309" s="104" t="n">
        <v>45760</v>
      </c>
      <c r="D309" s="103" t="s">
        <v>105</v>
      </c>
      <c r="E309" s="103" t="n">
        <v>34</v>
      </c>
      <c r="F309" s="103" t="s">
        <v>170</v>
      </c>
      <c r="G309" s="103" t="s">
        <v>89</v>
      </c>
      <c r="H309" s="103" t="n">
        <v>5</v>
      </c>
      <c r="I309" s="103" t="n">
        <v>272</v>
      </c>
      <c r="J309" s="103" t="n">
        <v>30</v>
      </c>
      <c r="K309" s="103" t="n">
        <v>30</v>
      </c>
      <c r="L309" s="103" t="s">
        <v>95</v>
      </c>
      <c r="M309" s="103" t="s">
        <v>67</v>
      </c>
      <c r="N309" s="103" t="s">
        <v>78</v>
      </c>
      <c r="O309" s="103" t="n">
        <v>52</v>
      </c>
      <c r="P309" s="103" t="n">
        <v>13</v>
      </c>
      <c r="Q309" s="103" t="n">
        <v>3</v>
      </c>
      <c r="R309" s="103" t="s">
        <v>137</v>
      </c>
      <c r="S309" s="103" t="n">
        <v>302</v>
      </c>
      <c r="T309" s="103" t="n">
        <v>272</v>
      </c>
      <c r="U309" s="103" t="s">
        <v>987</v>
      </c>
      <c r="V309" s="103" t="n">
        <v>2025</v>
      </c>
    </row>
    <row r="310" customFormat="false" ht="14.25" hidden="false" customHeight="false" outlineLevel="0" collapsed="false">
      <c r="A310" s="103" t="s">
        <v>1025</v>
      </c>
      <c r="B310" s="103" t="s">
        <v>648</v>
      </c>
      <c r="C310" s="104" t="n">
        <v>45760</v>
      </c>
      <c r="D310" s="103" t="s">
        <v>106</v>
      </c>
      <c r="E310" s="103" t="n">
        <v>31</v>
      </c>
      <c r="F310" s="103" t="s">
        <v>170</v>
      </c>
      <c r="G310" s="103" t="s">
        <v>86</v>
      </c>
      <c r="H310" s="103" t="n">
        <v>3.1</v>
      </c>
      <c r="I310" s="103" t="n">
        <v>1242</v>
      </c>
      <c r="J310" s="103" t="n">
        <v>60</v>
      </c>
      <c r="K310" s="103" t="n">
        <v>30</v>
      </c>
      <c r="L310" s="103" t="s">
        <v>93</v>
      </c>
      <c r="M310" s="103" t="s">
        <v>67</v>
      </c>
      <c r="N310" s="103" t="s">
        <v>77</v>
      </c>
      <c r="O310" s="103" t="n">
        <v>18</v>
      </c>
      <c r="P310" s="103" t="n">
        <v>7.7</v>
      </c>
      <c r="Q310" s="103" t="n">
        <v>4</v>
      </c>
      <c r="R310" s="103" t="s">
        <v>131</v>
      </c>
      <c r="S310" s="103" t="n">
        <v>1302</v>
      </c>
      <c r="T310" s="103" t="n">
        <v>1272</v>
      </c>
      <c r="U310" s="103" t="s">
        <v>987</v>
      </c>
      <c r="V310" s="103" t="n">
        <v>2025</v>
      </c>
    </row>
    <row r="311" customFormat="false" ht="14.25" hidden="false" customHeight="false" outlineLevel="0" collapsed="false">
      <c r="A311" s="103" t="s">
        <v>1026</v>
      </c>
      <c r="B311" s="103" t="s">
        <v>649</v>
      </c>
      <c r="C311" s="104" t="n">
        <v>45761</v>
      </c>
      <c r="D311" s="103" t="s">
        <v>111</v>
      </c>
      <c r="E311" s="103" t="n">
        <v>48</v>
      </c>
      <c r="F311" s="103" t="s">
        <v>171</v>
      </c>
      <c r="G311" s="103" t="s">
        <v>87</v>
      </c>
      <c r="H311" s="103" t="n">
        <v>3.5</v>
      </c>
      <c r="I311" s="103" t="n">
        <v>344</v>
      </c>
      <c r="J311" s="103" t="n">
        <v>30</v>
      </c>
      <c r="K311" s="103" t="n">
        <v>75</v>
      </c>
      <c r="L311" s="103" t="s">
        <v>93</v>
      </c>
      <c r="M311" s="103" t="s">
        <v>65</v>
      </c>
      <c r="N311" s="103" t="s">
        <v>77</v>
      </c>
      <c r="O311" s="103" t="n">
        <v>19</v>
      </c>
      <c r="P311" s="103" t="n">
        <v>8.8</v>
      </c>
      <c r="Q311" s="103" t="n">
        <v>5</v>
      </c>
      <c r="R311" s="103" t="s">
        <v>131</v>
      </c>
      <c r="S311" s="103" t="n">
        <v>374</v>
      </c>
      <c r="T311" s="103" t="n">
        <v>299</v>
      </c>
      <c r="U311" s="103" t="s">
        <v>987</v>
      </c>
      <c r="V311" s="103" t="n">
        <v>2025</v>
      </c>
    </row>
    <row r="312" customFormat="false" ht="14.25" hidden="false" customHeight="false" outlineLevel="0" collapsed="false">
      <c r="A312" s="103" t="s">
        <v>1027</v>
      </c>
      <c r="B312" s="103" t="s">
        <v>650</v>
      </c>
      <c r="C312" s="104" t="n">
        <v>45761</v>
      </c>
      <c r="D312" s="103" t="s">
        <v>100</v>
      </c>
      <c r="E312" s="103" t="n">
        <v>41</v>
      </c>
      <c r="F312" s="103" t="s">
        <v>170</v>
      </c>
      <c r="G312" s="103" t="s">
        <v>82</v>
      </c>
      <c r="H312" s="103" t="n">
        <v>3.7</v>
      </c>
      <c r="I312" s="103" t="n">
        <v>1551</v>
      </c>
      <c r="J312" s="103" t="n">
        <v>0</v>
      </c>
      <c r="K312" s="103" t="n">
        <v>75</v>
      </c>
      <c r="L312" s="103" t="s">
        <v>94</v>
      </c>
      <c r="M312" s="103" t="s">
        <v>65</v>
      </c>
      <c r="N312" s="103" t="s">
        <v>77</v>
      </c>
      <c r="O312" s="103" t="n">
        <v>55</v>
      </c>
      <c r="P312" s="103" t="n">
        <v>8.8</v>
      </c>
      <c r="Q312" s="103" t="n">
        <v>4</v>
      </c>
      <c r="R312" s="103" t="s">
        <v>139</v>
      </c>
      <c r="S312" s="103" t="n">
        <v>1551</v>
      </c>
      <c r="T312" s="103" t="n">
        <v>1476</v>
      </c>
      <c r="U312" s="103" t="s">
        <v>987</v>
      </c>
      <c r="V312" s="103" t="n">
        <v>2025</v>
      </c>
    </row>
    <row r="313" customFormat="false" ht="14.25" hidden="false" customHeight="false" outlineLevel="0" collapsed="false">
      <c r="A313" s="103" t="s">
        <v>1028</v>
      </c>
      <c r="B313" s="103" t="s">
        <v>651</v>
      </c>
      <c r="C313" s="104" t="n">
        <v>45761</v>
      </c>
      <c r="D313" s="103" t="s">
        <v>105</v>
      </c>
      <c r="E313" s="103" t="n">
        <v>52</v>
      </c>
      <c r="F313" s="103" t="s">
        <v>171</v>
      </c>
      <c r="G313" s="103" t="s">
        <v>88</v>
      </c>
      <c r="H313" s="103" t="n">
        <v>2.8</v>
      </c>
      <c r="I313" s="103" t="n">
        <v>1493</v>
      </c>
      <c r="J313" s="103" t="n">
        <v>40</v>
      </c>
      <c r="K313" s="103" t="n">
        <v>100</v>
      </c>
      <c r="L313" s="103" t="s">
        <v>93</v>
      </c>
      <c r="M313" s="103" t="s">
        <v>65</v>
      </c>
      <c r="N313" s="103" t="s">
        <v>77</v>
      </c>
      <c r="O313" s="103" t="n">
        <v>58</v>
      </c>
      <c r="P313" s="103" t="n">
        <v>6.5</v>
      </c>
      <c r="Q313" s="103" t="n">
        <v>4</v>
      </c>
      <c r="R313" s="103" t="s">
        <v>142</v>
      </c>
      <c r="S313" s="103" t="n">
        <v>1533</v>
      </c>
      <c r="T313" s="103" t="n">
        <v>1433</v>
      </c>
      <c r="U313" s="103" t="s">
        <v>987</v>
      </c>
      <c r="V313" s="103" t="n">
        <v>2025</v>
      </c>
    </row>
    <row r="314" customFormat="false" ht="14.25" hidden="false" customHeight="false" outlineLevel="0" collapsed="false">
      <c r="A314" s="103" t="s">
        <v>1029</v>
      </c>
      <c r="B314" s="103" t="s">
        <v>652</v>
      </c>
      <c r="C314" s="104" t="n">
        <v>45762</v>
      </c>
      <c r="D314" s="103" t="s">
        <v>106</v>
      </c>
      <c r="E314" s="103" t="n">
        <v>51</v>
      </c>
      <c r="F314" s="103" t="s">
        <v>170</v>
      </c>
      <c r="G314" s="103" t="s">
        <v>89</v>
      </c>
      <c r="H314" s="103" t="n">
        <v>2.7</v>
      </c>
      <c r="I314" s="103" t="n">
        <v>143</v>
      </c>
      <c r="J314" s="103" t="n">
        <v>20</v>
      </c>
      <c r="K314" s="103" t="n">
        <v>0</v>
      </c>
      <c r="L314" s="103" t="s">
        <v>93</v>
      </c>
      <c r="M314" s="103" t="s">
        <v>65</v>
      </c>
      <c r="N314" s="103" t="s">
        <v>78</v>
      </c>
      <c r="O314" s="103" t="n">
        <v>37</v>
      </c>
      <c r="P314" s="103" t="n">
        <v>3.3</v>
      </c>
      <c r="Q314" s="103" t="n">
        <v>4</v>
      </c>
      <c r="R314" s="103" t="s">
        <v>138</v>
      </c>
      <c r="S314" s="103" t="n">
        <v>163</v>
      </c>
      <c r="T314" s="103" t="n">
        <v>163</v>
      </c>
      <c r="U314" s="103" t="s">
        <v>987</v>
      </c>
      <c r="V314" s="103" t="n">
        <v>2025</v>
      </c>
    </row>
    <row r="315" customFormat="false" ht="14.25" hidden="false" customHeight="false" outlineLevel="0" collapsed="false">
      <c r="A315" s="103" t="s">
        <v>1030</v>
      </c>
      <c r="B315" s="103" t="s">
        <v>653</v>
      </c>
      <c r="C315" s="104" t="n">
        <v>45762</v>
      </c>
      <c r="D315" s="103" t="s">
        <v>107</v>
      </c>
      <c r="E315" s="103" t="n">
        <v>20</v>
      </c>
      <c r="F315" s="103" t="s">
        <v>170</v>
      </c>
      <c r="G315" s="103" t="s">
        <v>90</v>
      </c>
      <c r="H315" s="103" t="n">
        <v>4.6</v>
      </c>
      <c r="I315" s="103" t="n">
        <v>1625</v>
      </c>
      <c r="J315" s="103" t="n">
        <v>30</v>
      </c>
      <c r="K315" s="103" t="n">
        <v>20</v>
      </c>
      <c r="L315" s="103" t="s">
        <v>93</v>
      </c>
      <c r="M315" s="103" t="s">
        <v>65</v>
      </c>
      <c r="N315" s="103" t="s">
        <v>77</v>
      </c>
      <c r="O315" s="103" t="n">
        <v>54</v>
      </c>
      <c r="P315" s="103" t="n">
        <v>11.3</v>
      </c>
      <c r="Q315" s="103" t="n">
        <v>4</v>
      </c>
      <c r="R315" s="103" t="s">
        <v>138</v>
      </c>
      <c r="S315" s="103" t="n">
        <v>1655</v>
      </c>
      <c r="T315" s="103" t="n">
        <v>1635</v>
      </c>
      <c r="U315" s="103" t="s">
        <v>987</v>
      </c>
      <c r="V315" s="103" t="n">
        <v>2025</v>
      </c>
    </row>
    <row r="316" customFormat="false" ht="14.25" hidden="false" customHeight="false" outlineLevel="0" collapsed="false">
      <c r="A316" s="103" t="s">
        <v>1031</v>
      </c>
      <c r="B316" s="103" t="s">
        <v>654</v>
      </c>
      <c r="C316" s="104" t="n">
        <v>45762</v>
      </c>
      <c r="D316" s="103" t="s">
        <v>105</v>
      </c>
      <c r="E316" s="103" t="n">
        <v>54</v>
      </c>
      <c r="F316" s="103" t="s">
        <v>170</v>
      </c>
      <c r="G316" s="103" t="s">
        <v>83</v>
      </c>
      <c r="H316" s="103" t="n">
        <v>4.9</v>
      </c>
      <c r="I316" s="103" t="n">
        <v>169</v>
      </c>
      <c r="J316" s="103" t="n">
        <v>60</v>
      </c>
      <c r="K316" s="103" t="n">
        <v>200</v>
      </c>
      <c r="L316" s="103" t="s">
        <v>95</v>
      </c>
      <c r="M316" s="103" t="s">
        <v>65</v>
      </c>
      <c r="N316" s="103" t="s">
        <v>77</v>
      </c>
      <c r="O316" s="103" t="n">
        <v>67</v>
      </c>
      <c r="P316" s="103" t="n">
        <v>2.3</v>
      </c>
      <c r="Q316" s="103" t="n">
        <v>5</v>
      </c>
      <c r="R316" s="103" t="s">
        <v>134</v>
      </c>
      <c r="S316" s="103" t="n">
        <v>229</v>
      </c>
      <c r="T316" s="103" t="n">
        <v>29</v>
      </c>
      <c r="U316" s="103" t="s">
        <v>987</v>
      </c>
      <c r="V316" s="103" t="n">
        <v>2025</v>
      </c>
    </row>
    <row r="317" customFormat="false" ht="14.25" hidden="false" customHeight="false" outlineLevel="0" collapsed="false">
      <c r="A317" s="103" t="s">
        <v>1032</v>
      </c>
      <c r="B317" s="103" t="s">
        <v>655</v>
      </c>
      <c r="C317" s="104" t="n">
        <v>45763</v>
      </c>
      <c r="D317" s="103" t="s">
        <v>106</v>
      </c>
      <c r="E317" s="103" t="n">
        <v>60</v>
      </c>
      <c r="F317" s="103" t="s">
        <v>171</v>
      </c>
      <c r="G317" s="103" t="s">
        <v>90</v>
      </c>
      <c r="H317" s="103" t="n">
        <v>3.5</v>
      </c>
      <c r="I317" s="103" t="n">
        <v>523</v>
      </c>
      <c r="J317" s="103" t="n">
        <v>60</v>
      </c>
      <c r="K317" s="103" t="n">
        <v>75</v>
      </c>
      <c r="L317" s="103" t="s">
        <v>95</v>
      </c>
      <c r="M317" s="103" t="s">
        <v>66</v>
      </c>
      <c r="N317" s="103" t="s">
        <v>77</v>
      </c>
      <c r="O317" s="103" t="n">
        <v>51</v>
      </c>
      <c r="P317" s="103" t="n">
        <v>2</v>
      </c>
      <c r="Q317" s="103" t="n">
        <v>5</v>
      </c>
      <c r="R317" s="103" t="s">
        <v>136</v>
      </c>
      <c r="S317" s="103" t="n">
        <v>583</v>
      </c>
      <c r="T317" s="103" t="n">
        <v>508</v>
      </c>
      <c r="U317" s="103" t="s">
        <v>987</v>
      </c>
      <c r="V317" s="103" t="n">
        <v>2025</v>
      </c>
    </row>
    <row r="318" customFormat="false" ht="14.25" hidden="false" customHeight="false" outlineLevel="0" collapsed="false">
      <c r="A318" s="103" t="s">
        <v>1033</v>
      </c>
      <c r="B318" s="103" t="s">
        <v>656</v>
      </c>
      <c r="C318" s="104" t="n">
        <v>45763</v>
      </c>
      <c r="D318" s="103" t="s">
        <v>102</v>
      </c>
      <c r="E318" s="103" t="n">
        <v>57</v>
      </c>
      <c r="F318" s="103" t="s">
        <v>171</v>
      </c>
      <c r="G318" s="103" t="s">
        <v>85</v>
      </c>
      <c r="H318" s="103" t="n">
        <v>2.7</v>
      </c>
      <c r="I318" s="103" t="n">
        <v>174</v>
      </c>
      <c r="J318" s="103" t="n">
        <v>30</v>
      </c>
      <c r="K318" s="103" t="n">
        <v>75</v>
      </c>
      <c r="L318" s="103" t="s">
        <v>93</v>
      </c>
      <c r="M318" s="103" t="s">
        <v>65</v>
      </c>
      <c r="N318" s="103" t="s">
        <v>78</v>
      </c>
      <c r="O318" s="103" t="n">
        <v>25</v>
      </c>
      <c r="P318" s="103" t="n">
        <v>10.8</v>
      </c>
      <c r="Q318" s="103" t="n">
        <v>4</v>
      </c>
      <c r="R318" s="103" t="s">
        <v>131</v>
      </c>
      <c r="S318" s="103" t="n">
        <v>204</v>
      </c>
      <c r="T318" s="103" t="n">
        <v>129</v>
      </c>
      <c r="U318" s="103" t="s">
        <v>987</v>
      </c>
      <c r="V318" s="103" t="n">
        <v>2025</v>
      </c>
    </row>
    <row r="319" customFormat="false" ht="14.25" hidden="false" customHeight="false" outlineLevel="0" collapsed="false">
      <c r="A319" s="103" t="s">
        <v>1034</v>
      </c>
      <c r="B319" s="103" t="s">
        <v>657</v>
      </c>
      <c r="C319" s="104" t="n">
        <v>45763</v>
      </c>
      <c r="D319" s="103" t="s">
        <v>109</v>
      </c>
      <c r="E319" s="103" t="n">
        <v>43</v>
      </c>
      <c r="F319" s="103" t="s">
        <v>171</v>
      </c>
      <c r="G319" s="103" t="s">
        <v>84</v>
      </c>
      <c r="H319" s="103" t="n">
        <v>2.7</v>
      </c>
      <c r="I319" s="103" t="n">
        <v>684</v>
      </c>
      <c r="J319" s="103" t="n">
        <v>0</v>
      </c>
      <c r="K319" s="103" t="n">
        <v>50</v>
      </c>
      <c r="L319" s="103" t="s">
        <v>95</v>
      </c>
      <c r="M319" s="103" t="s">
        <v>65</v>
      </c>
      <c r="N319" s="103" t="s">
        <v>77</v>
      </c>
      <c r="O319" s="103" t="n">
        <v>69</v>
      </c>
      <c r="P319" s="103" t="n">
        <v>3.5</v>
      </c>
      <c r="Q319" s="103" t="n">
        <v>5</v>
      </c>
      <c r="R319" s="103" t="s">
        <v>142</v>
      </c>
      <c r="S319" s="103" t="n">
        <v>684</v>
      </c>
      <c r="T319" s="103" t="n">
        <v>634</v>
      </c>
      <c r="U319" s="103" t="s">
        <v>987</v>
      </c>
      <c r="V319" s="103" t="n">
        <v>2025</v>
      </c>
    </row>
    <row r="320" customFormat="false" ht="14.25" hidden="false" customHeight="false" outlineLevel="0" collapsed="false">
      <c r="A320" s="103" t="s">
        <v>1035</v>
      </c>
      <c r="B320" s="103" t="s">
        <v>658</v>
      </c>
      <c r="C320" s="104" t="n">
        <v>45764</v>
      </c>
      <c r="D320" s="103" t="s">
        <v>102</v>
      </c>
      <c r="E320" s="103" t="n">
        <v>40</v>
      </c>
      <c r="F320" s="103" t="s">
        <v>171</v>
      </c>
      <c r="G320" s="103" t="s">
        <v>82</v>
      </c>
      <c r="H320" s="103" t="n">
        <v>4.7</v>
      </c>
      <c r="I320" s="103" t="n">
        <v>983</v>
      </c>
      <c r="J320" s="103" t="n">
        <v>60</v>
      </c>
      <c r="K320" s="103" t="n">
        <v>20</v>
      </c>
      <c r="L320" s="103" t="s">
        <v>93</v>
      </c>
      <c r="M320" s="103" t="s">
        <v>67</v>
      </c>
      <c r="N320" s="103" t="s">
        <v>77</v>
      </c>
      <c r="O320" s="103" t="n">
        <v>25</v>
      </c>
      <c r="P320" s="103" t="n">
        <v>4.9</v>
      </c>
      <c r="Q320" s="103" t="n">
        <v>4</v>
      </c>
      <c r="R320" s="103" t="s">
        <v>136</v>
      </c>
      <c r="S320" s="103" t="n">
        <v>1043</v>
      </c>
      <c r="T320" s="103" t="n">
        <v>1023</v>
      </c>
      <c r="U320" s="103" t="s">
        <v>987</v>
      </c>
      <c r="V320" s="103" t="n">
        <v>2025</v>
      </c>
    </row>
    <row r="321" customFormat="false" ht="14.25" hidden="false" customHeight="false" outlineLevel="0" collapsed="false">
      <c r="A321" s="103" t="s">
        <v>1036</v>
      </c>
      <c r="B321" s="103" t="s">
        <v>659</v>
      </c>
      <c r="C321" s="104" t="n">
        <v>45764</v>
      </c>
      <c r="D321" s="103" t="s">
        <v>109</v>
      </c>
      <c r="E321" s="103" t="n">
        <v>56</v>
      </c>
      <c r="F321" s="103" t="s">
        <v>171</v>
      </c>
      <c r="G321" s="103" t="s">
        <v>90</v>
      </c>
      <c r="H321" s="103" t="n">
        <v>3.7</v>
      </c>
      <c r="I321" s="103" t="n">
        <v>1458</v>
      </c>
      <c r="J321" s="103" t="n">
        <v>20</v>
      </c>
      <c r="K321" s="103" t="n">
        <v>50</v>
      </c>
      <c r="L321" s="103" t="s">
        <v>94</v>
      </c>
      <c r="M321" s="103" t="s">
        <v>65</v>
      </c>
      <c r="N321" s="103" t="s">
        <v>77</v>
      </c>
      <c r="O321" s="103" t="n">
        <v>27</v>
      </c>
      <c r="P321" s="103" t="n">
        <v>7.4</v>
      </c>
      <c r="Q321" s="103" t="n">
        <v>4</v>
      </c>
      <c r="R321" s="103" t="s">
        <v>138</v>
      </c>
      <c r="S321" s="103" t="n">
        <v>1478</v>
      </c>
      <c r="T321" s="103" t="n">
        <v>1428</v>
      </c>
      <c r="U321" s="103" t="s">
        <v>987</v>
      </c>
      <c r="V321" s="103" t="n">
        <v>2025</v>
      </c>
    </row>
    <row r="322" customFormat="false" ht="14.25" hidden="false" customHeight="false" outlineLevel="0" collapsed="false">
      <c r="A322" s="103" t="s">
        <v>1037</v>
      </c>
      <c r="B322" s="103" t="s">
        <v>660</v>
      </c>
      <c r="C322" s="104" t="n">
        <v>45764</v>
      </c>
      <c r="D322" s="103" t="s">
        <v>110</v>
      </c>
      <c r="E322" s="103" t="n">
        <v>32</v>
      </c>
      <c r="F322" s="103" t="s">
        <v>170</v>
      </c>
      <c r="G322" s="103" t="s">
        <v>86</v>
      </c>
      <c r="H322" s="103" t="n">
        <v>3.3</v>
      </c>
      <c r="I322" s="103" t="n">
        <v>688</v>
      </c>
      <c r="J322" s="103" t="n">
        <v>40</v>
      </c>
      <c r="K322" s="103" t="n">
        <v>0</v>
      </c>
      <c r="L322" s="103" t="s">
        <v>93</v>
      </c>
      <c r="M322" s="103" t="s">
        <v>65</v>
      </c>
      <c r="N322" s="103" t="s">
        <v>77</v>
      </c>
      <c r="O322" s="103" t="n">
        <v>28</v>
      </c>
      <c r="P322" s="103" t="n">
        <v>7</v>
      </c>
      <c r="Q322" s="103" t="n">
        <v>5</v>
      </c>
      <c r="R322" s="103" t="s">
        <v>131</v>
      </c>
      <c r="S322" s="103" t="n">
        <v>728</v>
      </c>
      <c r="T322" s="103" t="n">
        <v>728</v>
      </c>
      <c r="U322" s="103" t="s">
        <v>987</v>
      </c>
      <c r="V322" s="103" t="n">
        <v>2025</v>
      </c>
    </row>
    <row r="323" customFormat="false" ht="14.25" hidden="false" customHeight="false" outlineLevel="0" collapsed="false">
      <c r="A323" s="103" t="s">
        <v>1038</v>
      </c>
      <c r="B323" s="103" t="s">
        <v>661</v>
      </c>
      <c r="C323" s="104" t="n">
        <v>45765</v>
      </c>
      <c r="D323" s="103" t="s">
        <v>110</v>
      </c>
      <c r="E323" s="103" t="n">
        <v>21</v>
      </c>
      <c r="F323" s="103" t="s">
        <v>171</v>
      </c>
      <c r="G323" s="103" t="s">
        <v>84</v>
      </c>
      <c r="H323" s="103" t="n">
        <v>3.7</v>
      </c>
      <c r="I323" s="103" t="n">
        <v>1305</v>
      </c>
      <c r="J323" s="103" t="n">
        <v>50</v>
      </c>
      <c r="K323" s="103" t="n">
        <v>20</v>
      </c>
      <c r="L323" s="103" t="s">
        <v>94</v>
      </c>
      <c r="M323" s="103" t="s">
        <v>65</v>
      </c>
      <c r="N323" s="103" t="s">
        <v>77</v>
      </c>
      <c r="O323" s="103" t="n">
        <v>22</v>
      </c>
      <c r="P323" s="103" t="n">
        <v>10.8</v>
      </c>
      <c r="Q323" s="103" t="n">
        <v>5</v>
      </c>
      <c r="R323" s="103" t="s">
        <v>137</v>
      </c>
      <c r="S323" s="103" t="n">
        <v>1355</v>
      </c>
      <c r="T323" s="103" t="n">
        <v>1335</v>
      </c>
      <c r="U323" s="103" t="s">
        <v>987</v>
      </c>
      <c r="V323" s="103" t="n">
        <v>2025</v>
      </c>
    </row>
    <row r="324" customFormat="false" ht="14.25" hidden="false" customHeight="false" outlineLevel="0" collapsed="false">
      <c r="A324" s="103" t="s">
        <v>1039</v>
      </c>
      <c r="B324" s="103" t="s">
        <v>662</v>
      </c>
      <c r="C324" s="104" t="n">
        <v>45765</v>
      </c>
      <c r="D324" s="103" t="s">
        <v>110</v>
      </c>
      <c r="E324" s="103" t="n">
        <v>46</v>
      </c>
      <c r="F324" s="103" t="s">
        <v>171</v>
      </c>
      <c r="G324" s="103" t="s">
        <v>90</v>
      </c>
      <c r="H324" s="103" t="n">
        <v>3.3</v>
      </c>
      <c r="I324" s="103" t="n">
        <v>435</v>
      </c>
      <c r="J324" s="103" t="n">
        <v>0</v>
      </c>
      <c r="K324" s="103" t="n">
        <v>30</v>
      </c>
      <c r="L324" s="103" t="s">
        <v>93</v>
      </c>
      <c r="M324" s="103" t="s">
        <v>65</v>
      </c>
      <c r="N324" s="103" t="s">
        <v>77</v>
      </c>
      <c r="O324" s="103" t="n">
        <v>39</v>
      </c>
      <c r="P324" s="103" t="n">
        <v>9.5</v>
      </c>
      <c r="Q324" s="103" t="n">
        <v>5</v>
      </c>
      <c r="R324" s="103" t="s">
        <v>133</v>
      </c>
      <c r="S324" s="103" t="n">
        <v>435</v>
      </c>
      <c r="T324" s="103" t="n">
        <v>405</v>
      </c>
      <c r="U324" s="103" t="s">
        <v>987</v>
      </c>
      <c r="V324" s="103" t="n">
        <v>2025</v>
      </c>
    </row>
    <row r="325" customFormat="false" ht="14.25" hidden="false" customHeight="false" outlineLevel="0" collapsed="false">
      <c r="A325" s="103" t="s">
        <v>1040</v>
      </c>
      <c r="B325" s="103" t="s">
        <v>663</v>
      </c>
      <c r="C325" s="104" t="n">
        <v>45765</v>
      </c>
      <c r="D325" s="103" t="s">
        <v>107</v>
      </c>
      <c r="E325" s="103" t="n">
        <v>39</v>
      </c>
      <c r="F325" s="103" t="s">
        <v>170</v>
      </c>
      <c r="G325" s="103" t="s">
        <v>81</v>
      </c>
      <c r="H325" s="103" t="n">
        <v>3.7</v>
      </c>
      <c r="I325" s="103" t="n">
        <v>1381</v>
      </c>
      <c r="J325" s="103" t="n">
        <v>60</v>
      </c>
      <c r="K325" s="103" t="n">
        <v>50</v>
      </c>
      <c r="L325" s="103" t="s">
        <v>97</v>
      </c>
      <c r="M325" s="103" t="s">
        <v>66</v>
      </c>
      <c r="N325" s="103" t="s">
        <v>77</v>
      </c>
      <c r="O325" s="103" t="n">
        <v>32</v>
      </c>
      <c r="P325" s="103" t="n">
        <v>9.8</v>
      </c>
      <c r="Q325" s="103" t="n">
        <v>2</v>
      </c>
      <c r="R325" s="103" t="s">
        <v>131</v>
      </c>
      <c r="S325" s="103" t="n">
        <v>1441</v>
      </c>
      <c r="T325" s="103" t="n">
        <v>1391</v>
      </c>
      <c r="U325" s="103" t="s">
        <v>987</v>
      </c>
      <c r="V325" s="103" t="n">
        <v>2025</v>
      </c>
    </row>
    <row r="326" customFormat="false" ht="14.25" hidden="false" customHeight="false" outlineLevel="0" collapsed="false">
      <c r="A326" s="103" t="s">
        <v>1041</v>
      </c>
      <c r="B326" s="103" t="s">
        <v>664</v>
      </c>
      <c r="C326" s="104" t="n">
        <v>45766</v>
      </c>
      <c r="D326" s="103" t="s">
        <v>102</v>
      </c>
      <c r="E326" s="103" t="n">
        <v>42</v>
      </c>
      <c r="F326" s="103" t="s">
        <v>171</v>
      </c>
      <c r="G326" s="103" t="s">
        <v>85</v>
      </c>
      <c r="H326" s="103" t="n">
        <v>4.6</v>
      </c>
      <c r="I326" s="103" t="n">
        <v>516</v>
      </c>
      <c r="J326" s="103" t="n">
        <v>40</v>
      </c>
      <c r="K326" s="103" t="n">
        <v>200</v>
      </c>
      <c r="L326" s="103" t="s">
        <v>93</v>
      </c>
      <c r="M326" s="103" t="s">
        <v>65</v>
      </c>
      <c r="N326" s="103" t="s">
        <v>77</v>
      </c>
      <c r="O326" s="103" t="n">
        <v>65</v>
      </c>
      <c r="P326" s="103" t="n">
        <v>10.9</v>
      </c>
      <c r="Q326" s="103" t="n">
        <v>3</v>
      </c>
      <c r="R326" s="103" t="s">
        <v>138</v>
      </c>
      <c r="S326" s="103" t="n">
        <v>556</v>
      </c>
      <c r="T326" s="103" t="n">
        <v>356</v>
      </c>
      <c r="U326" s="103" t="s">
        <v>987</v>
      </c>
      <c r="V326" s="103" t="n">
        <v>2025</v>
      </c>
    </row>
    <row r="327" customFormat="false" ht="14.25" hidden="false" customHeight="false" outlineLevel="0" collapsed="false">
      <c r="A327" s="103" t="s">
        <v>1042</v>
      </c>
      <c r="B327" s="103" t="s">
        <v>665</v>
      </c>
      <c r="C327" s="104" t="n">
        <v>45766</v>
      </c>
      <c r="D327" s="103" t="s">
        <v>109</v>
      </c>
      <c r="E327" s="103" t="n">
        <v>30</v>
      </c>
      <c r="F327" s="103" t="s">
        <v>170</v>
      </c>
      <c r="G327" s="103" t="s">
        <v>87</v>
      </c>
      <c r="H327" s="103" t="n">
        <v>4</v>
      </c>
      <c r="I327" s="103" t="n">
        <v>361</v>
      </c>
      <c r="J327" s="103" t="n">
        <v>50</v>
      </c>
      <c r="K327" s="103" t="n">
        <v>30</v>
      </c>
      <c r="L327" s="103" t="s">
        <v>93</v>
      </c>
      <c r="M327" s="103" t="s">
        <v>65</v>
      </c>
      <c r="N327" s="103" t="s">
        <v>77</v>
      </c>
      <c r="O327" s="103" t="n">
        <v>58</v>
      </c>
      <c r="P327" s="103" t="n">
        <v>4.7</v>
      </c>
      <c r="Q327" s="103" t="n">
        <v>4</v>
      </c>
      <c r="R327" s="103" t="s">
        <v>138</v>
      </c>
      <c r="S327" s="103" t="n">
        <v>411</v>
      </c>
      <c r="T327" s="103" t="n">
        <v>381</v>
      </c>
      <c r="U327" s="103" t="s">
        <v>987</v>
      </c>
      <c r="V327" s="103" t="n">
        <v>2025</v>
      </c>
    </row>
    <row r="328" customFormat="false" ht="14.25" hidden="false" customHeight="false" outlineLevel="0" collapsed="false">
      <c r="A328" s="103" t="s">
        <v>1043</v>
      </c>
      <c r="B328" s="103" t="s">
        <v>666</v>
      </c>
      <c r="C328" s="104" t="n">
        <v>45766</v>
      </c>
      <c r="D328" s="103" t="s">
        <v>106</v>
      </c>
      <c r="E328" s="103" t="n">
        <v>35</v>
      </c>
      <c r="F328" s="103" t="s">
        <v>171</v>
      </c>
      <c r="G328" s="103" t="s">
        <v>83</v>
      </c>
      <c r="H328" s="103" t="n">
        <v>4.2</v>
      </c>
      <c r="I328" s="103" t="n">
        <v>431</v>
      </c>
      <c r="J328" s="103" t="n">
        <v>30</v>
      </c>
      <c r="K328" s="103" t="n">
        <v>20</v>
      </c>
      <c r="L328" s="103" t="s">
        <v>93</v>
      </c>
      <c r="M328" s="103" t="s">
        <v>67</v>
      </c>
      <c r="N328" s="103" t="s">
        <v>77</v>
      </c>
      <c r="O328" s="103" t="n">
        <v>58</v>
      </c>
      <c r="P328" s="103" t="n">
        <v>5.2</v>
      </c>
      <c r="Q328" s="103" t="n">
        <v>4</v>
      </c>
      <c r="R328" s="103" t="s">
        <v>133</v>
      </c>
      <c r="S328" s="103" t="n">
        <v>461</v>
      </c>
      <c r="T328" s="103" t="n">
        <v>441</v>
      </c>
      <c r="U328" s="103" t="s">
        <v>987</v>
      </c>
      <c r="V328" s="103" t="n">
        <v>2025</v>
      </c>
    </row>
    <row r="329" customFormat="false" ht="14.25" hidden="false" customHeight="false" outlineLevel="0" collapsed="false">
      <c r="A329" s="103" t="s">
        <v>1044</v>
      </c>
      <c r="B329" s="103" t="s">
        <v>667</v>
      </c>
      <c r="C329" s="104" t="n">
        <v>45767</v>
      </c>
      <c r="D329" s="103" t="s">
        <v>100</v>
      </c>
      <c r="E329" s="103" t="n">
        <v>50</v>
      </c>
      <c r="F329" s="103" t="s">
        <v>170</v>
      </c>
      <c r="G329" s="103" t="s">
        <v>85</v>
      </c>
      <c r="H329" s="103" t="n">
        <v>3.4</v>
      </c>
      <c r="I329" s="103" t="n">
        <v>426</v>
      </c>
      <c r="J329" s="103" t="n">
        <v>30</v>
      </c>
      <c r="K329" s="103" t="n">
        <v>0</v>
      </c>
      <c r="L329" s="103" t="s">
        <v>96</v>
      </c>
      <c r="M329" s="103" t="s">
        <v>66</v>
      </c>
      <c r="N329" s="103" t="s">
        <v>78</v>
      </c>
      <c r="O329" s="103" t="n">
        <v>32</v>
      </c>
      <c r="P329" s="103" t="n">
        <v>6.9</v>
      </c>
      <c r="Q329" s="103" t="n">
        <v>5</v>
      </c>
      <c r="R329" s="103" t="s">
        <v>136</v>
      </c>
      <c r="S329" s="103" t="n">
        <v>456</v>
      </c>
      <c r="T329" s="103" t="n">
        <v>456</v>
      </c>
      <c r="U329" s="103" t="s">
        <v>987</v>
      </c>
      <c r="V329" s="103" t="n">
        <v>2025</v>
      </c>
    </row>
    <row r="330" customFormat="false" ht="14.25" hidden="false" customHeight="false" outlineLevel="0" collapsed="false">
      <c r="A330" s="103" t="s">
        <v>1045</v>
      </c>
      <c r="B330" s="103" t="s">
        <v>668</v>
      </c>
      <c r="C330" s="104" t="n">
        <v>45767</v>
      </c>
      <c r="D330" s="103" t="s">
        <v>106</v>
      </c>
      <c r="E330" s="103" t="n">
        <v>33</v>
      </c>
      <c r="F330" s="103" t="s">
        <v>171</v>
      </c>
      <c r="G330" s="103" t="s">
        <v>84</v>
      </c>
      <c r="H330" s="103" t="n">
        <v>4.3</v>
      </c>
      <c r="I330" s="103" t="n">
        <v>982</v>
      </c>
      <c r="J330" s="103" t="n">
        <v>20</v>
      </c>
      <c r="K330" s="103" t="n">
        <v>75</v>
      </c>
      <c r="L330" s="103" t="s">
        <v>95</v>
      </c>
      <c r="M330" s="103" t="s">
        <v>65</v>
      </c>
      <c r="N330" s="103" t="s">
        <v>77</v>
      </c>
      <c r="O330" s="103" t="n">
        <v>24</v>
      </c>
      <c r="P330" s="103" t="n">
        <v>5</v>
      </c>
      <c r="Q330" s="103" t="n">
        <v>1</v>
      </c>
      <c r="R330" s="103" t="s">
        <v>139</v>
      </c>
      <c r="S330" s="103" t="n">
        <v>1002</v>
      </c>
      <c r="T330" s="103" t="n">
        <v>927</v>
      </c>
      <c r="U330" s="103" t="s">
        <v>987</v>
      </c>
      <c r="V330" s="103" t="n">
        <v>2025</v>
      </c>
    </row>
    <row r="331" customFormat="false" ht="14.25" hidden="false" customHeight="false" outlineLevel="0" collapsed="false">
      <c r="A331" s="103" t="s">
        <v>1046</v>
      </c>
      <c r="B331" s="103" t="s">
        <v>669</v>
      </c>
      <c r="C331" s="104" t="n">
        <v>45767</v>
      </c>
      <c r="D331" s="103" t="s">
        <v>100</v>
      </c>
      <c r="E331" s="103" t="n">
        <v>59</v>
      </c>
      <c r="F331" s="103" t="s">
        <v>171</v>
      </c>
      <c r="G331" s="103" t="s">
        <v>81</v>
      </c>
      <c r="H331" s="103" t="n">
        <v>4.2</v>
      </c>
      <c r="I331" s="103" t="n">
        <v>1539</v>
      </c>
      <c r="J331" s="103" t="n">
        <v>50</v>
      </c>
      <c r="K331" s="103" t="n">
        <v>100</v>
      </c>
      <c r="L331" s="103" t="s">
        <v>95</v>
      </c>
      <c r="M331" s="103" t="s">
        <v>65</v>
      </c>
      <c r="N331" s="103" t="s">
        <v>77</v>
      </c>
      <c r="O331" s="103" t="n">
        <v>21</v>
      </c>
      <c r="P331" s="103" t="n">
        <v>14.8</v>
      </c>
      <c r="Q331" s="103" t="n">
        <v>5</v>
      </c>
      <c r="R331" s="103" t="s">
        <v>133</v>
      </c>
      <c r="S331" s="103" t="n">
        <v>1589</v>
      </c>
      <c r="T331" s="103" t="n">
        <v>1489</v>
      </c>
      <c r="U331" s="103" t="s">
        <v>987</v>
      </c>
      <c r="V331" s="103" t="n">
        <v>2025</v>
      </c>
    </row>
    <row r="332" customFormat="false" ht="14.25" hidden="false" customHeight="false" outlineLevel="0" collapsed="false">
      <c r="A332" s="103" t="s">
        <v>1047</v>
      </c>
      <c r="B332" s="103" t="s">
        <v>670</v>
      </c>
      <c r="C332" s="104" t="n">
        <v>45768</v>
      </c>
      <c r="D332" s="103" t="s">
        <v>103</v>
      </c>
      <c r="E332" s="103" t="n">
        <v>19</v>
      </c>
      <c r="F332" s="103" t="s">
        <v>170</v>
      </c>
      <c r="G332" s="103" t="s">
        <v>82</v>
      </c>
      <c r="H332" s="103" t="n">
        <v>2.8</v>
      </c>
      <c r="I332" s="103" t="n">
        <v>254</v>
      </c>
      <c r="J332" s="103" t="n">
        <v>30</v>
      </c>
      <c r="K332" s="103" t="n">
        <v>150</v>
      </c>
      <c r="L332" s="103" t="s">
        <v>96</v>
      </c>
      <c r="M332" s="103" t="s">
        <v>65</v>
      </c>
      <c r="N332" s="103" t="s">
        <v>77</v>
      </c>
      <c r="O332" s="103" t="n">
        <v>64</v>
      </c>
      <c r="P332" s="103" t="n">
        <v>12.3</v>
      </c>
      <c r="Q332" s="103" t="n">
        <v>4</v>
      </c>
      <c r="R332" s="103" t="s">
        <v>142</v>
      </c>
      <c r="S332" s="103" t="n">
        <v>284</v>
      </c>
      <c r="T332" s="103" t="n">
        <v>134</v>
      </c>
      <c r="U332" s="103" t="s">
        <v>987</v>
      </c>
      <c r="V332" s="103" t="n">
        <v>2025</v>
      </c>
    </row>
    <row r="333" customFormat="false" ht="14.25" hidden="false" customHeight="false" outlineLevel="0" collapsed="false">
      <c r="A333" s="103" t="s">
        <v>1048</v>
      </c>
      <c r="B333" s="103" t="s">
        <v>671</v>
      </c>
      <c r="C333" s="104" t="n">
        <v>45768</v>
      </c>
      <c r="D333" s="103" t="s">
        <v>106</v>
      </c>
      <c r="E333" s="103" t="n">
        <v>52</v>
      </c>
      <c r="F333" s="103" t="s">
        <v>171</v>
      </c>
      <c r="G333" s="103" t="s">
        <v>86</v>
      </c>
      <c r="H333" s="103" t="n">
        <v>3.9</v>
      </c>
      <c r="I333" s="103" t="n">
        <v>1308</v>
      </c>
      <c r="J333" s="103" t="n">
        <v>30</v>
      </c>
      <c r="K333" s="103" t="n">
        <v>0</v>
      </c>
      <c r="L333" s="103" t="s">
        <v>96</v>
      </c>
      <c r="M333" s="103" t="s">
        <v>65</v>
      </c>
      <c r="N333" s="103" t="s">
        <v>77</v>
      </c>
      <c r="O333" s="103" t="n">
        <v>58</v>
      </c>
      <c r="P333" s="103" t="n">
        <v>2.9</v>
      </c>
      <c r="Q333" s="103" t="n">
        <v>4</v>
      </c>
      <c r="R333" s="103" t="s">
        <v>137</v>
      </c>
      <c r="S333" s="103" t="n">
        <v>1338</v>
      </c>
      <c r="T333" s="103" t="n">
        <v>1338</v>
      </c>
      <c r="U333" s="103" t="s">
        <v>987</v>
      </c>
      <c r="V333" s="103" t="n">
        <v>2025</v>
      </c>
    </row>
    <row r="334" customFormat="false" ht="14.25" hidden="false" customHeight="false" outlineLevel="0" collapsed="false">
      <c r="A334" s="103" t="s">
        <v>1049</v>
      </c>
      <c r="B334" s="103" t="s">
        <v>672</v>
      </c>
      <c r="C334" s="104" t="n">
        <v>45768</v>
      </c>
      <c r="D334" s="103" t="s">
        <v>105</v>
      </c>
      <c r="E334" s="103" t="n">
        <v>59</v>
      </c>
      <c r="F334" s="103" t="s">
        <v>170</v>
      </c>
      <c r="G334" s="103" t="s">
        <v>83</v>
      </c>
      <c r="H334" s="103" t="n">
        <v>3.1</v>
      </c>
      <c r="I334" s="103" t="n">
        <v>1219</v>
      </c>
      <c r="J334" s="103" t="n">
        <v>60</v>
      </c>
      <c r="K334" s="103" t="n">
        <v>30</v>
      </c>
      <c r="L334" s="103" t="s">
        <v>95</v>
      </c>
      <c r="M334" s="103" t="s">
        <v>65</v>
      </c>
      <c r="N334" s="103" t="s">
        <v>77</v>
      </c>
      <c r="O334" s="103" t="n">
        <v>28</v>
      </c>
      <c r="P334" s="103" t="n">
        <v>0.6</v>
      </c>
      <c r="Q334" s="103" t="n">
        <v>4</v>
      </c>
      <c r="R334" s="103" t="s">
        <v>135</v>
      </c>
      <c r="S334" s="103" t="n">
        <v>1279</v>
      </c>
      <c r="T334" s="103" t="n">
        <v>1249</v>
      </c>
      <c r="U334" s="103" t="s">
        <v>987</v>
      </c>
      <c r="V334" s="103" t="n">
        <v>2025</v>
      </c>
    </row>
    <row r="335" customFormat="false" ht="14.25" hidden="false" customHeight="false" outlineLevel="0" collapsed="false">
      <c r="A335" s="103" t="s">
        <v>1050</v>
      </c>
      <c r="B335" s="103" t="s">
        <v>673</v>
      </c>
      <c r="C335" s="104" t="n">
        <v>45769</v>
      </c>
      <c r="D335" s="103" t="s">
        <v>105</v>
      </c>
      <c r="E335" s="103" t="n">
        <v>51</v>
      </c>
      <c r="F335" s="103" t="s">
        <v>171</v>
      </c>
      <c r="G335" s="103" t="s">
        <v>83</v>
      </c>
      <c r="H335" s="103" t="n">
        <v>4.5</v>
      </c>
      <c r="I335" s="103" t="n">
        <v>1586</v>
      </c>
      <c r="J335" s="103" t="n">
        <v>20</v>
      </c>
      <c r="K335" s="103" t="n">
        <v>50</v>
      </c>
      <c r="L335" s="103" t="s">
        <v>93</v>
      </c>
      <c r="M335" s="103" t="s">
        <v>65</v>
      </c>
      <c r="N335" s="103" t="s">
        <v>78</v>
      </c>
      <c r="O335" s="103" t="n">
        <v>29</v>
      </c>
      <c r="P335" s="103" t="n">
        <v>1.1</v>
      </c>
      <c r="Q335" s="103" t="n">
        <v>3</v>
      </c>
      <c r="R335" s="103" t="s">
        <v>138</v>
      </c>
      <c r="S335" s="103" t="n">
        <v>1606</v>
      </c>
      <c r="T335" s="103" t="n">
        <v>1556</v>
      </c>
      <c r="U335" s="103" t="s">
        <v>987</v>
      </c>
      <c r="V335" s="103" t="n">
        <v>2025</v>
      </c>
    </row>
    <row r="336" customFormat="false" ht="14.25" hidden="false" customHeight="false" outlineLevel="0" collapsed="false">
      <c r="A336" s="103" t="s">
        <v>1051</v>
      </c>
      <c r="B336" s="103" t="s">
        <v>674</v>
      </c>
      <c r="C336" s="104" t="n">
        <v>45769</v>
      </c>
      <c r="D336" s="103" t="s">
        <v>108</v>
      </c>
      <c r="E336" s="103" t="n">
        <v>47</v>
      </c>
      <c r="F336" s="103" t="s">
        <v>171</v>
      </c>
      <c r="G336" s="103" t="s">
        <v>85</v>
      </c>
      <c r="H336" s="103" t="n">
        <v>3.6</v>
      </c>
      <c r="I336" s="103" t="n">
        <v>530</v>
      </c>
      <c r="J336" s="103" t="n">
        <v>40</v>
      </c>
      <c r="K336" s="103" t="n">
        <v>10</v>
      </c>
      <c r="L336" s="103" t="s">
        <v>96</v>
      </c>
      <c r="M336" s="103" t="s">
        <v>65</v>
      </c>
      <c r="N336" s="103" t="s">
        <v>77</v>
      </c>
      <c r="O336" s="103" t="n">
        <v>30</v>
      </c>
      <c r="P336" s="103" t="n">
        <v>4</v>
      </c>
      <c r="Q336" s="103" t="n">
        <v>5</v>
      </c>
      <c r="R336" s="103" t="s">
        <v>141</v>
      </c>
      <c r="S336" s="103" t="n">
        <v>570</v>
      </c>
      <c r="T336" s="103" t="n">
        <v>560</v>
      </c>
      <c r="U336" s="103" t="s">
        <v>987</v>
      </c>
      <c r="V336" s="103" t="n">
        <v>2025</v>
      </c>
    </row>
    <row r="337" customFormat="false" ht="14.25" hidden="false" customHeight="false" outlineLevel="0" collapsed="false">
      <c r="A337" s="103" t="s">
        <v>1052</v>
      </c>
      <c r="B337" s="103" t="s">
        <v>675</v>
      </c>
      <c r="C337" s="104" t="n">
        <v>45769</v>
      </c>
      <c r="D337" s="103" t="s">
        <v>102</v>
      </c>
      <c r="E337" s="103" t="n">
        <v>30</v>
      </c>
      <c r="F337" s="103" t="s">
        <v>170</v>
      </c>
      <c r="G337" s="103" t="s">
        <v>84</v>
      </c>
      <c r="H337" s="103" t="n">
        <v>5</v>
      </c>
      <c r="I337" s="103" t="n">
        <v>876</v>
      </c>
      <c r="J337" s="103" t="n">
        <v>30</v>
      </c>
      <c r="K337" s="103" t="n">
        <v>0</v>
      </c>
      <c r="L337" s="103" t="s">
        <v>93</v>
      </c>
      <c r="M337" s="103" t="s">
        <v>65</v>
      </c>
      <c r="N337" s="103" t="s">
        <v>78</v>
      </c>
      <c r="O337" s="103" t="n">
        <v>16</v>
      </c>
      <c r="P337" s="103" t="n">
        <v>2.2</v>
      </c>
      <c r="Q337" s="103" t="n">
        <v>2</v>
      </c>
      <c r="R337" s="103" t="s">
        <v>137</v>
      </c>
      <c r="S337" s="103" t="n">
        <v>906</v>
      </c>
      <c r="T337" s="103" t="n">
        <v>906</v>
      </c>
      <c r="U337" s="103" t="s">
        <v>987</v>
      </c>
      <c r="V337" s="103" t="n">
        <v>2025</v>
      </c>
    </row>
    <row r="338" customFormat="false" ht="14.25" hidden="false" customHeight="false" outlineLevel="0" collapsed="false">
      <c r="A338" s="103" t="s">
        <v>1053</v>
      </c>
      <c r="B338" s="103" t="s">
        <v>676</v>
      </c>
      <c r="C338" s="104" t="n">
        <v>45770</v>
      </c>
      <c r="D338" s="103" t="s">
        <v>100</v>
      </c>
      <c r="E338" s="103" t="n">
        <v>30</v>
      </c>
      <c r="F338" s="103" t="s">
        <v>171</v>
      </c>
      <c r="G338" s="103" t="s">
        <v>82</v>
      </c>
      <c r="H338" s="103" t="n">
        <v>2.7</v>
      </c>
      <c r="I338" s="103" t="n">
        <v>1675</v>
      </c>
      <c r="J338" s="103" t="n">
        <v>0</v>
      </c>
      <c r="K338" s="103" t="n">
        <v>150</v>
      </c>
      <c r="L338" s="103" t="s">
        <v>95</v>
      </c>
      <c r="M338" s="103" t="s">
        <v>65</v>
      </c>
      <c r="N338" s="103" t="s">
        <v>78</v>
      </c>
      <c r="O338" s="103" t="n">
        <v>44</v>
      </c>
      <c r="P338" s="103" t="n">
        <v>8.2</v>
      </c>
      <c r="Q338" s="103" t="n">
        <v>4</v>
      </c>
      <c r="R338" s="103" t="s">
        <v>136</v>
      </c>
      <c r="S338" s="103" t="n">
        <v>1675</v>
      </c>
      <c r="T338" s="103" t="n">
        <v>1525</v>
      </c>
      <c r="U338" s="103" t="s">
        <v>987</v>
      </c>
      <c r="V338" s="103" t="n">
        <v>2025</v>
      </c>
    </row>
    <row r="339" customFormat="false" ht="14.25" hidden="false" customHeight="false" outlineLevel="0" collapsed="false">
      <c r="A339" s="103" t="s">
        <v>1054</v>
      </c>
      <c r="B339" s="103" t="s">
        <v>677</v>
      </c>
      <c r="C339" s="104" t="n">
        <v>45770</v>
      </c>
      <c r="D339" s="103" t="s">
        <v>100</v>
      </c>
      <c r="E339" s="103" t="n">
        <v>35</v>
      </c>
      <c r="F339" s="103" t="s">
        <v>170</v>
      </c>
      <c r="G339" s="103" t="s">
        <v>88</v>
      </c>
      <c r="H339" s="103" t="n">
        <v>4.5</v>
      </c>
      <c r="I339" s="103" t="n">
        <v>1229</v>
      </c>
      <c r="J339" s="103" t="n">
        <v>0</v>
      </c>
      <c r="K339" s="103" t="n">
        <v>75</v>
      </c>
      <c r="L339" s="103" t="s">
        <v>95</v>
      </c>
      <c r="M339" s="103" t="s">
        <v>66</v>
      </c>
      <c r="N339" s="103" t="s">
        <v>77</v>
      </c>
      <c r="O339" s="103" t="n">
        <v>44</v>
      </c>
      <c r="P339" s="103" t="n">
        <v>12.9</v>
      </c>
      <c r="Q339" s="103" t="n">
        <v>5</v>
      </c>
      <c r="R339" s="103" t="s">
        <v>133</v>
      </c>
      <c r="S339" s="103" t="n">
        <v>1229</v>
      </c>
      <c r="T339" s="103" t="n">
        <v>1154</v>
      </c>
      <c r="U339" s="103" t="s">
        <v>987</v>
      </c>
      <c r="V339" s="103" t="n">
        <v>2025</v>
      </c>
    </row>
    <row r="340" customFormat="false" ht="14.25" hidden="false" customHeight="false" outlineLevel="0" collapsed="false">
      <c r="A340" s="103" t="s">
        <v>1055</v>
      </c>
      <c r="B340" s="103" t="s">
        <v>678</v>
      </c>
      <c r="C340" s="104" t="n">
        <v>45770</v>
      </c>
      <c r="D340" s="103" t="s">
        <v>101</v>
      </c>
      <c r="E340" s="103" t="n">
        <v>49</v>
      </c>
      <c r="F340" s="103" t="s">
        <v>170</v>
      </c>
      <c r="G340" s="103" t="s">
        <v>81</v>
      </c>
      <c r="H340" s="103" t="n">
        <v>4.2</v>
      </c>
      <c r="I340" s="103" t="n">
        <v>773</v>
      </c>
      <c r="J340" s="103" t="n">
        <v>40</v>
      </c>
      <c r="K340" s="103" t="n">
        <v>50</v>
      </c>
      <c r="L340" s="103" t="s">
        <v>95</v>
      </c>
      <c r="M340" s="103" t="s">
        <v>66</v>
      </c>
      <c r="N340" s="103" t="s">
        <v>77</v>
      </c>
      <c r="O340" s="103" t="n">
        <v>32</v>
      </c>
      <c r="P340" s="103" t="n">
        <v>11.2</v>
      </c>
      <c r="Q340" s="103" t="n">
        <v>5</v>
      </c>
      <c r="R340" s="103" t="s">
        <v>138</v>
      </c>
      <c r="S340" s="103" t="n">
        <v>813</v>
      </c>
      <c r="T340" s="103" t="n">
        <v>763</v>
      </c>
      <c r="U340" s="103" t="s">
        <v>987</v>
      </c>
      <c r="V340" s="103" t="n">
        <v>2025</v>
      </c>
    </row>
    <row r="341" customFormat="false" ht="14.25" hidden="false" customHeight="false" outlineLevel="0" collapsed="false">
      <c r="A341" s="103" t="s">
        <v>1056</v>
      </c>
      <c r="B341" s="103" t="s">
        <v>679</v>
      </c>
      <c r="C341" s="104" t="n">
        <v>45771</v>
      </c>
      <c r="D341" s="103" t="s">
        <v>111</v>
      </c>
      <c r="E341" s="103" t="n">
        <v>49</v>
      </c>
      <c r="F341" s="103" t="s">
        <v>170</v>
      </c>
      <c r="G341" s="103" t="s">
        <v>88</v>
      </c>
      <c r="H341" s="103" t="n">
        <v>4.4</v>
      </c>
      <c r="I341" s="103" t="n">
        <v>341</v>
      </c>
      <c r="J341" s="103" t="n">
        <v>50</v>
      </c>
      <c r="K341" s="103" t="n">
        <v>200</v>
      </c>
      <c r="L341" s="103" t="s">
        <v>94</v>
      </c>
      <c r="M341" s="103" t="s">
        <v>65</v>
      </c>
      <c r="N341" s="103" t="s">
        <v>77</v>
      </c>
      <c r="O341" s="103" t="n">
        <v>45</v>
      </c>
      <c r="P341" s="103" t="n">
        <v>3.6</v>
      </c>
      <c r="Q341" s="103" t="n">
        <v>4</v>
      </c>
      <c r="R341" s="103" t="s">
        <v>138</v>
      </c>
      <c r="S341" s="103" t="n">
        <v>391</v>
      </c>
      <c r="T341" s="103" t="n">
        <v>191</v>
      </c>
      <c r="U341" s="103" t="s">
        <v>987</v>
      </c>
      <c r="V341" s="103" t="n">
        <v>2025</v>
      </c>
    </row>
    <row r="342" customFormat="false" ht="14.25" hidden="false" customHeight="false" outlineLevel="0" collapsed="false">
      <c r="A342" s="103" t="s">
        <v>1057</v>
      </c>
      <c r="B342" s="103" t="s">
        <v>680</v>
      </c>
      <c r="C342" s="104" t="n">
        <v>45771</v>
      </c>
      <c r="D342" s="103" t="s">
        <v>102</v>
      </c>
      <c r="E342" s="103" t="n">
        <v>52</v>
      </c>
      <c r="F342" s="103" t="s">
        <v>170</v>
      </c>
      <c r="G342" s="103" t="s">
        <v>86</v>
      </c>
      <c r="H342" s="103" t="n">
        <v>3.3</v>
      </c>
      <c r="I342" s="103" t="n">
        <v>561</v>
      </c>
      <c r="J342" s="103" t="n">
        <v>20</v>
      </c>
      <c r="K342" s="103" t="n">
        <v>10</v>
      </c>
      <c r="L342" s="103" t="s">
        <v>95</v>
      </c>
      <c r="M342" s="103" t="s">
        <v>67</v>
      </c>
      <c r="N342" s="103" t="s">
        <v>77</v>
      </c>
      <c r="O342" s="103" t="n">
        <v>58</v>
      </c>
      <c r="P342" s="103" t="n">
        <v>6.3</v>
      </c>
      <c r="Q342" s="103" t="n">
        <v>4</v>
      </c>
      <c r="R342" s="103" t="s">
        <v>133</v>
      </c>
      <c r="S342" s="103" t="n">
        <v>581</v>
      </c>
      <c r="T342" s="103" t="n">
        <v>571</v>
      </c>
      <c r="U342" s="103" t="s">
        <v>987</v>
      </c>
      <c r="V342" s="103" t="n">
        <v>2025</v>
      </c>
    </row>
    <row r="343" customFormat="false" ht="14.25" hidden="false" customHeight="false" outlineLevel="0" collapsed="false">
      <c r="A343" s="103" t="s">
        <v>1058</v>
      </c>
      <c r="B343" s="103" t="s">
        <v>681</v>
      </c>
      <c r="C343" s="104" t="n">
        <v>45771</v>
      </c>
      <c r="D343" s="103" t="s">
        <v>107</v>
      </c>
      <c r="E343" s="103" t="n">
        <v>56</v>
      </c>
      <c r="F343" s="103" t="s">
        <v>171</v>
      </c>
      <c r="G343" s="103" t="s">
        <v>82</v>
      </c>
      <c r="H343" s="103" t="n">
        <v>3.7</v>
      </c>
      <c r="I343" s="103" t="n">
        <v>1096</v>
      </c>
      <c r="J343" s="103" t="n">
        <v>60</v>
      </c>
      <c r="K343" s="103" t="n">
        <v>150</v>
      </c>
      <c r="L343" s="103" t="s">
        <v>97</v>
      </c>
      <c r="M343" s="103" t="s">
        <v>67</v>
      </c>
      <c r="N343" s="103" t="s">
        <v>78</v>
      </c>
      <c r="O343" s="103" t="n">
        <v>62</v>
      </c>
      <c r="P343" s="103" t="n">
        <v>7.9</v>
      </c>
      <c r="Q343" s="103" t="n">
        <v>5</v>
      </c>
      <c r="R343" s="103" t="s">
        <v>139</v>
      </c>
      <c r="S343" s="103" t="n">
        <v>1156</v>
      </c>
      <c r="T343" s="103" t="n">
        <v>1006</v>
      </c>
      <c r="U343" s="103" t="s">
        <v>987</v>
      </c>
      <c r="V343" s="103" t="n">
        <v>2025</v>
      </c>
    </row>
    <row r="344" customFormat="false" ht="14.25" hidden="false" customHeight="false" outlineLevel="0" collapsed="false">
      <c r="A344" s="103" t="s">
        <v>1059</v>
      </c>
      <c r="B344" s="103" t="s">
        <v>682</v>
      </c>
      <c r="C344" s="104" t="n">
        <v>45772</v>
      </c>
      <c r="D344" s="103" t="s">
        <v>108</v>
      </c>
      <c r="E344" s="103" t="n">
        <v>46</v>
      </c>
      <c r="F344" s="103" t="s">
        <v>171</v>
      </c>
      <c r="G344" s="103" t="s">
        <v>82</v>
      </c>
      <c r="H344" s="103" t="n">
        <v>4.5</v>
      </c>
      <c r="I344" s="103" t="n">
        <v>1327</v>
      </c>
      <c r="J344" s="103" t="n">
        <v>0</v>
      </c>
      <c r="K344" s="103" t="n">
        <v>200</v>
      </c>
      <c r="L344" s="103" t="s">
        <v>93</v>
      </c>
      <c r="M344" s="103" t="s">
        <v>65</v>
      </c>
      <c r="N344" s="103" t="s">
        <v>77</v>
      </c>
      <c r="O344" s="103" t="n">
        <v>27</v>
      </c>
      <c r="P344" s="103" t="n">
        <v>12.2</v>
      </c>
      <c r="Q344" s="103" t="n">
        <v>5</v>
      </c>
      <c r="R344" s="103" t="s">
        <v>135</v>
      </c>
      <c r="S344" s="103" t="n">
        <v>1327</v>
      </c>
      <c r="T344" s="103" t="n">
        <v>1127</v>
      </c>
      <c r="U344" s="103" t="s">
        <v>987</v>
      </c>
      <c r="V344" s="103" t="n">
        <v>2025</v>
      </c>
    </row>
    <row r="345" customFormat="false" ht="14.25" hidden="false" customHeight="false" outlineLevel="0" collapsed="false">
      <c r="A345" s="103" t="s">
        <v>1060</v>
      </c>
      <c r="B345" s="103" t="s">
        <v>683</v>
      </c>
      <c r="C345" s="104" t="n">
        <v>45772</v>
      </c>
      <c r="D345" s="103" t="s">
        <v>107</v>
      </c>
      <c r="E345" s="103" t="n">
        <v>46</v>
      </c>
      <c r="F345" s="103" t="s">
        <v>171</v>
      </c>
      <c r="G345" s="103" t="s">
        <v>81</v>
      </c>
      <c r="H345" s="103" t="n">
        <v>3.1</v>
      </c>
      <c r="I345" s="103" t="n">
        <v>329</v>
      </c>
      <c r="J345" s="103" t="n">
        <v>0</v>
      </c>
      <c r="K345" s="103" t="n">
        <v>0</v>
      </c>
      <c r="L345" s="103" t="s">
        <v>93</v>
      </c>
      <c r="M345" s="103" t="s">
        <v>65</v>
      </c>
      <c r="N345" s="103" t="s">
        <v>78</v>
      </c>
      <c r="O345" s="103" t="n">
        <v>34</v>
      </c>
      <c r="P345" s="103" t="n">
        <v>12.7</v>
      </c>
      <c r="Q345" s="103" t="n">
        <v>5</v>
      </c>
      <c r="R345" s="103" t="s">
        <v>133</v>
      </c>
      <c r="S345" s="103" t="n">
        <v>329</v>
      </c>
      <c r="T345" s="103" t="n">
        <v>329</v>
      </c>
      <c r="U345" s="103" t="s">
        <v>987</v>
      </c>
      <c r="V345" s="103" t="n">
        <v>2025</v>
      </c>
    </row>
    <row r="346" customFormat="false" ht="14.25" hidden="false" customHeight="false" outlineLevel="0" collapsed="false">
      <c r="A346" s="103" t="s">
        <v>1061</v>
      </c>
      <c r="B346" s="103" t="s">
        <v>684</v>
      </c>
      <c r="C346" s="104" t="n">
        <v>45772</v>
      </c>
      <c r="D346" s="103" t="s">
        <v>107</v>
      </c>
      <c r="E346" s="103" t="n">
        <v>33</v>
      </c>
      <c r="F346" s="103" t="s">
        <v>170</v>
      </c>
      <c r="G346" s="103" t="s">
        <v>89</v>
      </c>
      <c r="H346" s="103" t="n">
        <v>3.1</v>
      </c>
      <c r="I346" s="103" t="n">
        <v>1127</v>
      </c>
      <c r="J346" s="103" t="n">
        <v>40</v>
      </c>
      <c r="K346" s="103" t="n">
        <v>100</v>
      </c>
      <c r="L346" s="103" t="s">
        <v>94</v>
      </c>
      <c r="M346" s="103" t="s">
        <v>65</v>
      </c>
      <c r="N346" s="103" t="s">
        <v>77</v>
      </c>
      <c r="O346" s="103" t="n">
        <v>63</v>
      </c>
      <c r="P346" s="103" t="n">
        <v>13.7</v>
      </c>
      <c r="Q346" s="103" t="n">
        <v>4</v>
      </c>
      <c r="R346" s="103" t="s">
        <v>131</v>
      </c>
      <c r="S346" s="103" t="n">
        <v>1167</v>
      </c>
      <c r="T346" s="103" t="n">
        <v>1067</v>
      </c>
      <c r="U346" s="103" t="s">
        <v>987</v>
      </c>
      <c r="V346" s="103" t="n">
        <v>2025</v>
      </c>
    </row>
    <row r="347" customFormat="false" ht="14.25" hidden="false" customHeight="false" outlineLevel="0" collapsed="false">
      <c r="A347" s="103" t="s">
        <v>1062</v>
      </c>
      <c r="B347" s="103" t="s">
        <v>685</v>
      </c>
      <c r="C347" s="104" t="n">
        <v>45773</v>
      </c>
      <c r="D347" s="103" t="s">
        <v>107</v>
      </c>
      <c r="E347" s="103" t="n">
        <v>27</v>
      </c>
      <c r="F347" s="103" t="s">
        <v>172</v>
      </c>
      <c r="G347" s="103" t="s">
        <v>88</v>
      </c>
      <c r="H347" s="103" t="n">
        <v>3.9</v>
      </c>
      <c r="I347" s="103" t="n">
        <v>1045</v>
      </c>
      <c r="J347" s="103" t="n">
        <v>50</v>
      </c>
      <c r="K347" s="103" t="n">
        <v>150</v>
      </c>
      <c r="L347" s="103" t="s">
        <v>97</v>
      </c>
      <c r="M347" s="103" t="s">
        <v>66</v>
      </c>
      <c r="N347" s="103" t="s">
        <v>77</v>
      </c>
      <c r="O347" s="103" t="n">
        <v>64</v>
      </c>
      <c r="P347" s="103" t="n">
        <v>7.9</v>
      </c>
      <c r="Q347" s="103" t="n">
        <v>5</v>
      </c>
      <c r="R347" s="103" t="s">
        <v>140</v>
      </c>
      <c r="S347" s="103" t="n">
        <v>1095</v>
      </c>
      <c r="T347" s="103" t="n">
        <v>945</v>
      </c>
      <c r="U347" s="103" t="s">
        <v>987</v>
      </c>
      <c r="V347" s="103" t="n">
        <v>2025</v>
      </c>
    </row>
    <row r="348" customFormat="false" ht="14.25" hidden="false" customHeight="false" outlineLevel="0" collapsed="false">
      <c r="A348" s="103" t="s">
        <v>1063</v>
      </c>
      <c r="B348" s="103" t="s">
        <v>686</v>
      </c>
      <c r="C348" s="104" t="n">
        <v>45773</v>
      </c>
      <c r="D348" s="103" t="s">
        <v>102</v>
      </c>
      <c r="E348" s="103" t="n">
        <v>47</v>
      </c>
      <c r="F348" s="103" t="s">
        <v>171</v>
      </c>
      <c r="G348" s="103" t="s">
        <v>90</v>
      </c>
      <c r="H348" s="103" t="n">
        <v>3.8</v>
      </c>
      <c r="I348" s="103" t="n">
        <v>983</v>
      </c>
      <c r="J348" s="103" t="n">
        <v>50</v>
      </c>
      <c r="K348" s="103" t="n">
        <v>20</v>
      </c>
      <c r="L348" s="103" t="s">
        <v>93</v>
      </c>
      <c r="M348" s="103" t="s">
        <v>65</v>
      </c>
      <c r="N348" s="103" t="s">
        <v>77</v>
      </c>
      <c r="O348" s="103" t="n">
        <v>49</v>
      </c>
      <c r="P348" s="103" t="n">
        <v>10.6</v>
      </c>
      <c r="Q348" s="103" t="n">
        <v>1</v>
      </c>
      <c r="R348" s="103" t="s">
        <v>139</v>
      </c>
      <c r="S348" s="103" t="n">
        <v>1033</v>
      </c>
      <c r="T348" s="103" t="n">
        <v>1013</v>
      </c>
      <c r="U348" s="103" t="s">
        <v>987</v>
      </c>
      <c r="V348" s="103" t="n">
        <v>2025</v>
      </c>
    </row>
    <row r="349" customFormat="false" ht="14.25" hidden="false" customHeight="false" outlineLevel="0" collapsed="false">
      <c r="A349" s="103" t="s">
        <v>1064</v>
      </c>
      <c r="B349" s="103" t="s">
        <v>687</v>
      </c>
      <c r="C349" s="104" t="n">
        <v>45773</v>
      </c>
      <c r="D349" s="103" t="s">
        <v>107</v>
      </c>
      <c r="E349" s="103" t="n">
        <v>42</v>
      </c>
      <c r="F349" s="103" t="s">
        <v>170</v>
      </c>
      <c r="G349" s="103" t="s">
        <v>83</v>
      </c>
      <c r="H349" s="103" t="n">
        <v>3.2</v>
      </c>
      <c r="I349" s="103" t="n">
        <v>1279</v>
      </c>
      <c r="J349" s="103" t="n">
        <v>40</v>
      </c>
      <c r="K349" s="103" t="n">
        <v>30</v>
      </c>
      <c r="L349" s="103" t="s">
        <v>93</v>
      </c>
      <c r="M349" s="103" t="s">
        <v>67</v>
      </c>
      <c r="N349" s="103" t="s">
        <v>77</v>
      </c>
      <c r="O349" s="103" t="n">
        <v>37</v>
      </c>
      <c r="P349" s="103" t="n">
        <v>2.1</v>
      </c>
      <c r="Q349" s="103" t="n">
        <v>1</v>
      </c>
      <c r="R349" s="103" t="s">
        <v>140</v>
      </c>
      <c r="S349" s="103" t="n">
        <v>1319</v>
      </c>
      <c r="T349" s="103" t="n">
        <v>1289</v>
      </c>
      <c r="U349" s="103" t="s">
        <v>987</v>
      </c>
      <c r="V349" s="103" t="n">
        <v>2025</v>
      </c>
    </row>
    <row r="350" customFormat="false" ht="14.25" hidden="false" customHeight="false" outlineLevel="0" collapsed="false">
      <c r="A350" s="103" t="s">
        <v>1065</v>
      </c>
      <c r="B350" s="103" t="s">
        <v>688</v>
      </c>
      <c r="C350" s="104" t="n">
        <v>45774</v>
      </c>
      <c r="D350" s="103" t="s">
        <v>105</v>
      </c>
      <c r="E350" s="103" t="n">
        <v>56</v>
      </c>
      <c r="F350" s="103" t="s">
        <v>171</v>
      </c>
      <c r="G350" s="103" t="s">
        <v>89</v>
      </c>
      <c r="H350" s="103" t="n">
        <v>3.2</v>
      </c>
      <c r="I350" s="103" t="n">
        <v>1527</v>
      </c>
      <c r="J350" s="103" t="n">
        <v>0</v>
      </c>
      <c r="K350" s="103" t="n">
        <v>20</v>
      </c>
      <c r="L350" s="103" t="s">
        <v>93</v>
      </c>
      <c r="M350" s="103" t="s">
        <v>65</v>
      </c>
      <c r="N350" s="103" t="s">
        <v>77</v>
      </c>
      <c r="O350" s="103" t="n">
        <v>56</v>
      </c>
      <c r="P350" s="103" t="n">
        <v>8.7</v>
      </c>
      <c r="Q350" s="103" t="n">
        <v>5</v>
      </c>
      <c r="R350" s="103" t="s">
        <v>136</v>
      </c>
      <c r="S350" s="103" t="n">
        <v>1527</v>
      </c>
      <c r="T350" s="103" t="n">
        <v>1507</v>
      </c>
      <c r="U350" s="103" t="s">
        <v>987</v>
      </c>
      <c r="V350" s="103" t="n">
        <v>2025</v>
      </c>
    </row>
    <row r="351" customFormat="false" ht="14.25" hidden="false" customHeight="false" outlineLevel="0" collapsed="false">
      <c r="A351" s="103" t="s">
        <v>1066</v>
      </c>
      <c r="B351" s="103" t="s">
        <v>689</v>
      </c>
      <c r="C351" s="104" t="n">
        <v>45774</v>
      </c>
      <c r="D351" s="103" t="s">
        <v>111</v>
      </c>
      <c r="E351" s="103" t="n">
        <v>37</v>
      </c>
      <c r="F351" s="103" t="s">
        <v>170</v>
      </c>
      <c r="G351" s="103" t="s">
        <v>90</v>
      </c>
      <c r="H351" s="103" t="n">
        <v>3.2</v>
      </c>
      <c r="I351" s="103" t="n">
        <v>663</v>
      </c>
      <c r="J351" s="103" t="n">
        <v>20</v>
      </c>
      <c r="K351" s="103" t="n">
        <v>100</v>
      </c>
      <c r="L351" s="103" t="s">
        <v>93</v>
      </c>
      <c r="M351" s="103" t="s">
        <v>67</v>
      </c>
      <c r="N351" s="103" t="s">
        <v>77</v>
      </c>
      <c r="O351" s="103" t="n">
        <v>47</v>
      </c>
      <c r="P351" s="103" t="n">
        <v>4.1</v>
      </c>
      <c r="Q351" s="103" t="n">
        <v>3</v>
      </c>
      <c r="R351" s="103" t="s">
        <v>134</v>
      </c>
      <c r="S351" s="103" t="n">
        <v>683</v>
      </c>
      <c r="T351" s="103" t="n">
        <v>583</v>
      </c>
      <c r="U351" s="103" t="s">
        <v>987</v>
      </c>
      <c r="V351" s="103" t="n">
        <v>2025</v>
      </c>
    </row>
    <row r="352" customFormat="false" ht="14.25" hidden="false" customHeight="false" outlineLevel="0" collapsed="false">
      <c r="A352" s="103" t="s">
        <v>1067</v>
      </c>
      <c r="B352" s="103" t="s">
        <v>340</v>
      </c>
      <c r="C352" s="104" t="n">
        <v>45774</v>
      </c>
      <c r="D352" s="103" t="s">
        <v>111</v>
      </c>
      <c r="E352" s="103" t="n">
        <v>22</v>
      </c>
      <c r="F352" s="103" t="s">
        <v>171</v>
      </c>
      <c r="G352" s="103" t="s">
        <v>84</v>
      </c>
      <c r="H352" s="103" t="n">
        <v>4.4</v>
      </c>
      <c r="I352" s="103" t="n">
        <v>1614</v>
      </c>
      <c r="J352" s="103" t="n">
        <v>0</v>
      </c>
      <c r="K352" s="103" t="n">
        <v>200</v>
      </c>
      <c r="L352" s="103" t="s">
        <v>96</v>
      </c>
      <c r="M352" s="103" t="s">
        <v>65</v>
      </c>
      <c r="N352" s="103" t="s">
        <v>77</v>
      </c>
      <c r="O352" s="103" t="n">
        <v>52</v>
      </c>
      <c r="P352" s="103" t="n">
        <v>6.8</v>
      </c>
      <c r="Q352" s="103" t="n">
        <v>2</v>
      </c>
      <c r="R352" s="103" t="s">
        <v>137</v>
      </c>
      <c r="S352" s="103" t="n">
        <v>1614</v>
      </c>
      <c r="T352" s="103" t="n">
        <v>1414</v>
      </c>
      <c r="U352" s="103" t="s">
        <v>987</v>
      </c>
      <c r="V352" s="103" t="n">
        <v>2025</v>
      </c>
    </row>
    <row r="353" customFormat="false" ht="14.25" hidden="false" customHeight="false" outlineLevel="0" collapsed="false">
      <c r="A353" s="103" t="s">
        <v>1068</v>
      </c>
      <c r="B353" s="103" t="s">
        <v>341</v>
      </c>
      <c r="C353" s="104" t="n">
        <v>45775</v>
      </c>
      <c r="D353" s="103" t="s">
        <v>110</v>
      </c>
      <c r="E353" s="103" t="n">
        <v>18</v>
      </c>
      <c r="F353" s="103" t="s">
        <v>172</v>
      </c>
      <c r="G353" s="103" t="s">
        <v>81</v>
      </c>
      <c r="H353" s="103" t="n">
        <v>4.1</v>
      </c>
      <c r="I353" s="103" t="n">
        <v>390</v>
      </c>
      <c r="J353" s="103" t="n">
        <v>50</v>
      </c>
      <c r="K353" s="103" t="n">
        <v>20</v>
      </c>
      <c r="L353" s="103" t="s">
        <v>95</v>
      </c>
      <c r="M353" s="103" t="s">
        <v>65</v>
      </c>
      <c r="N353" s="103" t="s">
        <v>77</v>
      </c>
      <c r="O353" s="103" t="n">
        <v>49</v>
      </c>
      <c r="P353" s="103" t="n">
        <v>9.7</v>
      </c>
      <c r="Q353" s="103" t="n">
        <v>3</v>
      </c>
      <c r="R353" s="103" t="s">
        <v>132</v>
      </c>
      <c r="S353" s="103" t="n">
        <v>440</v>
      </c>
      <c r="T353" s="103" t="n">
        <v>420</v>
      </c>
      <c r="U353" s="103" t="s">
        <v>987</v>
      </c>
      <c r="V353" s="103" t="n">
        <v>2025</v>
      </c>
    </row>
    <row r="354" customFormat="false" ht="14.25" hidden="false" customHeight="false" outlineLevel="0" collapsed="false">
      <c r="A354" s="103" t="s">
        <v>1069</v>
      </c>
      <c r="B354" s="103" t="s">
        <v>342</v>
      </c>
      <c r="C354" s="104" t="n">
        <v>45775</v>
      </c>
      <c r="D354" s="103" t="s">
        <v>103</v>
      </c>
      <c r="E354" s="103" t="n">
        <v>47</v>
      </c>
      <c r="F354" s="103" t="s">
        <v>170</v>
      </c>
      <c r="G354" s="103" t="s">
        <v>84</v>
      </c>
      <c r="H354" s="103" t="n">
        <v>4.6</v>
      </c>
      <c r="I354" s="103" t="n">
        <v>411</v>
      </c>
      <c r="J354" s="103" t="n">
        <v>60</v>
      </c>
      <c r="K354" s="103" t="n">
        <v>75</v>
      </c>
      <c r="L354" s="103" t="s">
        <v>95</v>
      </c>
      <c r="M354" s="103" t="s">
        <v>65</v>
      </c>
      <c r="N354" s="103" t="s">
        <v>77</v>
      </c>
      <c r="O354" s="103" t="n">
        <v>65</v>
      </c>
      <c r="P354" s="103" t="n">
        <v>4.2</v>
      </c>
      <c r="Q354" s="103" t="n">
        <v>4</v>
      </c>
      <c r="R354" s="103" t="s">
        <v>133</v>
      </c>
      <c r="S354" s="103" t="n">
        <v>471</v>
      </c>
      <c r="T354" s="103" t="n">
        <v>396</v>
      </c>
      <c r="U354" s="103" t="s">
        <v>987</v>
      </c>
      <c r="V354" s="103" t="n">
        <v>2025</v>
      </c>
    </row>
    <row r="355" customFormat="false" ht="14.25" hidden="false" customHeight="false" outlineLevel="0" collapsed="false">
      <c r="A355" s="103" t="s">
        <v>1070</v>
      </c>
      <c r="B355" s="103" t="s">
        <v>343</v>
      </c>
      <c r="C355" s="104" t="n">
        <v>45775</v>
      </c>
      <c r="D355" s="103" t="s">
        <v>100</v>
      </c>
      <c r="E355" s="103" t="n">
        <v>20</v>
      </c>
      <c r="F355" s="103" t="s">
        <v>171</v>
      </c>
      <c r="G355" s="103" t="s">
        <v>83</v>
      </c>
      <c r="H355" s="103" t="n">
        <v>4.9</v>
      </c>
      <c r="I355" s="103" t="n">
        <v>568</v>
      </c>
      <c r="J355" s="103" t="n">
        <v>0</v>
      </c>
      <c r="K355" s="103" t="n">
        <v>150</v>
      </c>
      <c r="L355" s="103" t="s">
        <v>94</v>
      </c>
      <c r="M355" s="103" t="s">
        <v>65</v>
      </c>
      <c r="N355" s="103" t="s">
        <v>77</v>
      </c>
      <c r="O355" s="103" t="n">
        <v>50</v>
      </c>
      <c r="P355" s="103" t="n">
        <v>1.3</v>
      </c>
      <c r="Q355" s="103" t="n">
        <v>5</v>
      </c>
      <c r="R355" s="103" t="s">
        <v>137</v>
      </c>
      <c r="S355" s="103" t="n">
        <v>568</v>
      </c>
      <c r="T355" s="103" t="n">
        <v>418</v>
      </c>
      <c r="U355" s="103" t="s">
        <v>987</v>
      </c>
      <c r="V355" s="103" t="n">
        <v>2025</v>
      </c>
    </row>
    <row r="356" customFormat="false" ht="14.25" hidden="false" customHeight="false" outlineLevel="0" collapsed="false">
      <c r="A356" s="103" t="s">
        <v>1071</v>
      </c>
      <c r="B356" s="103" t="s">
        <v>344</v>
      </c>
      <c r="C356" s="104" t="n">
        <v>45776</v>
      </c>
      <c r="D356" s="103" t="s">
        <v>101</v>
      </c>
      <c r="E356" s="103" t="n">
        <v>31</v>
      </c>
      <c r="F356" s="103" t="s">
        <v>171</v>
      </c>
      <c r="G356" s="103" t="s">
        <v>87</v>
      </c>
      <c r="H356" s="103" t="n">
        <v>3.7</v>
      </c>
      <c r="I356" s="103" t="n">
        <v>321</v>
      </c>
      <c r="J356" s="103" t="n">
        <v>20</v>
      </c>
      <c r="K356" s="103" t="n">
        <v>75</v>
      </c>
      <c r="L356" s="103" t="s">
        <v>95</v>
      </c>
      <c r="M356" s="103" t="s">
        <v>67</v>
      </c>
      <c r="N356" s="103" t="s">
        <v>77</v>
      </c>
      <c r="O356" s="103" t="n">
        <v>34</v>
      </c>
      <c r="P356" s="103" t="n">
        <v>0.6</v>
      </c>
      <c r="Q356" s="103" t="n">
        <v>5</v>
      </c>
      <c r="R356" s="103" t="s">
        <v>132</v>
      </c>
      <c r="S356" s="103" t="n">
        <v>341</v>
      </c>
      <c r="T356" s="103" t="n">
        <v>266</v>
      </c>
      <c r="U356" s="103" t="s">
        <v>987</v>
      </c>
      <c r="V356" s="103" t="n">
        <v>2025</v>
      </c>
    </row>
    <row r="357" customFormat="false" ht="14.25" hidden="false" customHeight="false" outlineLevel="0" collapsed="false">
      <c r="A357" s="103" t="s">
        <v>1072</v>
      </c>
      <c r="B357" s="103" t="s">
        <v>345</v>
      </c>
      <c r="C357" s="104" t="n">
        <v>45776</v>
      </c>
      <c r="D357" s="103" t="s">
        <v>100</v>
      </c>
      <c r="E357" s="103" t="n">
        <v>47</v>
      </c>
      <c r="F357" s="103" t="s">
        <v>171</v>
      </c>
      <c r="G357" s="103" t="s">
        <v>90</v>
      </c>
      <c r="H357" s="103" t="n">
        <v>2.7</v>
      </c>
      <c r="I357" s="103" t="n">
        <v>507</v>
      </c>
      <c r="J357" s="103" t="n">
        <v>30</v>
      </c>
      <c r="K357" s="103" t="n">
        <v>10</v>
      </c>
      <c r="L357" s="103" t="s">
        <v>93</v>
      </c>
      <c r="M357" s="103" t="s">
        <v>66</v>
      </c>
      <c r="N357" s="103" t="s">
        <v>78</v>
      </c>
      <c r="O357" s="103" t="n">
        <v>69</v>
      </c>
      <c r="P357" s="103" t="n">
        <v>0.8</v>
      </c>
      <c r="Q357" s="103" t="n">
        <v>3</v>
      </c>
      <c r="R357" s="103" t="s">
        <v>136</v>
      </c>
      <c r="S357" s="103" t="n">
        <v>537</v>
      </c>
      <c r="T357" s="103" t="n">
        <v>527</v>
      </c>
      <c r="U357" s="103" t="s">
        <v>987</v>
      </c>
      <c r="V357" s="103" t="n">
        <v>2025</v>
      </c>
    </row>
    <row r="358" customFormat="false" ht="14.25" hidden="false" customHeight="false" outlineLevel="0" collapsed="false">
      <c r="A358" s="103" t="s">
        <v>1073</v>
      </c>
      <c r="B358" s="103" t="s">
        <v>346</v>
      </c>
      <c r="C358" s="104" t="n">
        <v>45776</v>
      </c>
      <c r="D358" s="103" t="s">
        <v>103</v>
      </c>
      <c r="E358" s="103" t="n">
        <v>21</v>
      </c>
      <c r="F358" s="103" t="s">
        <v>171</v>
      </c>
      <c r="G358" s="103" t="s">
        <v>89</v>
      </c>
      <c r="H358" s="103" t="n">
        <v>2.6</v>
      </c>
      <c r="I358" s="103" t="n">
        <v>299</v>
      </c>
      <c r="J358" s="103" t="n">
        <v>0</v>
      </c>
      <c r="K358" s="103" t="n">
        <v>100</v>
      </c>
      <c r="L358" s="103" t="s">
        <v>93</v>
      </c>
      <c r="M358" s="103" t="s">
        <v>66</v>
      </c>
      <c r="N358" s="103" t="s">
        <v>77</v>
      </c>
      <c r="O358" s="103" t="n">
        <v>17</v>
      </c>
      <c r="P358" s="103" t="n">
        <v>0.6</v>
      </c>
      <c r="Q358" s="103" t="n">
        <v>4</v>
      </c>
      <c r="R358" s="103" t="s">
        <v>136</v>
      </c>
      <c r="S358" s="103" t="n">
        <v>299</v>
      </c>
      <c r="T358" s="103" t="n">
        <v>199</v>
      </c>
      <c r="U358" s="103" t="s">
        <v>987</v>
      </c>
      <c r="V358" s="103" t="n">
        <v>2025</v>
      </c>
    </row>
    <row r="359" customFormat="false" ht="14.25" hidden="false" customHeight="false" outlineLevel="0" collapsed="false">
      <c r="A359" s="103" t="s">
        <v>1074</v>
      </c>
      <c r="B359" s="103" t="s">
        <v>347</v>
      </c>
      <c r="C359" s="104" t="n">
        <v>45777</v>
      </c>
      <c r="D359" s="103" t="s">
        <v>101</v>
      </c>
      <c r="E359" s="103" t="n">
        <v>35</v>
      </c>
      <c r="F359" s="103" t="s">
        <v>171</v>
      </c>
      <c r="G359" s="103" t="s">
        <v>90</v>
      </c>
      <c r="H359" s="103" t="n">
        <v>3.2</v>
      </c>
      <c r="I359" s="103" t="n">
        <v>1501</v>
      </c>
      <c r="J359" s="103" t="n">
        <v>40</v>
      </c>
      <c r="K359" s="103" t="n">
        <v>10</v>
      </c>
      <c r="L359" s="103" t="s">
        <v>94</v>
      </c>
      <c r="M359" s="103" t="s">
        <v>65</v>
      </c>
      <c r="N359" s="103" t="s">
        <v>77</v>
      </c>
      <c r="O359" s="103" t="n">
        <v>22</v>
      </c>
      <c r="P359" s="103" t="n">
        <v>2.1</v>
      </c>
      <c r="Q359" s="103" t="n">
        <v>5</v>
      </c>
      <c r="R359" s="103" t="s">
        <v>134</v>
      </c>
      <c r="S359" s="103" t="n">
        <v>1541</v>
      </c>
      <c r="T359" s="103" t="n">
        <v>1531</v>
      </c>
      <c r="U359" s="103" t="s">
        <v>987</v>
      </c>
      <c r="V359" s="103" t="n">
        <v>2025</v>
      </c>
    </row>
    <row r="360" customFormat="false" ht="14.25" hidden="false" customHeight="false" outlineLevel="0" collapsed="false">
      <c r="A360" s="103" t="s">
        <v>1075</v>
      </c>
      <c r="B360" s="103" t="s">
        <v>348</v>
      </c>
      <c r="C360" s="104" t="n">
        <v>45777</v>
      </c>
      <c r="D360" s="103" t="s">
        <v>102</v>
      </c>
      <c r="E360" s="103" t="n">
        <v>54</v>
      </c>
      <c r="F360" s="103" t="s">
        <v>170</v>
      </c>
      <c r="G360" s="103" t="s">
        <v>90</v>
      </c>
      <c r="H360" s="103" t="n">
        <v>4.8</v>
      </c>
      <c r="I360" s="103" t="n">
        <v>353</v>
      </c>
      <c r="J360" s="103" t="n">
        <v>30</v>
      </c>
      <c r="K360" s="103" t="n">
        <v>10</v>
      </c>
      <c r="L360" s="103" t="s">
        <v>93</v>
      </c>
      <c r="M360" s="103" t="s">
        <v>65</v>
      </c>
      <c r="N360" s="103" t="s">
        <v>77</v>
      </c>
      <c r="O360" s="103" t="n">
        <v>54</v>
      </c>
      <c r="P360" s="103" t="n">
        <v>4</v>
      </c>
      <c r="Q360" s="103" t="n">
        <v>5</v>
      </c>
      <c r="R360" s="103" t="s">
        <v>139</v>
      </c>
      <c r="S360" s="103" t="n">
        <v>383</v>
      </c>
      <c r="T360" s="103" t="n">
        <v>373</v>
      </c>
      <c r="U360" s="103" t="s">
        <v>987</v>
      </c>
      <c r="V360" s="103" t="n">
        <v>2025</v>
      </c>
    </row>
    <row r="361" customFormat="false" ht="14.25" hidden="false" customHeight="false" outlineLevel="0" collapsed="false">
      <c r="A361" s="103" t="s">
        <v>1076</v>
      </c>
      <c r="B361" s="103" t="s">
        <v>349</v>
      </c>
      <c r="C361" s="104" t="n">
        <v>45777</v>
      </c>
      <c r="D361" s="103" t="s">
        <v>106</v>
      </c>
      <c r="E361" s="103" t="n">
        <v>42</v>
      </c>
      <c r="F361" s="103" t="s">
        <v>170</v>
      </c>
      <c r="G361" s="103" t="s">
        <v>81</v>
      </c>
      <c r="H361" s="103" t="n">
        <v>3.8</v>
      </c>
      <c r="I361" s="103" t="n">
        <v>1375</v>
      </c>
      <c r="J361" s="103" t="n">
        <v>40</v>
      </c>
      <c r="K361" s="103" t="n">
        <v>10</v>
      </c>
      <c r="L361" s="103" t="s">
        <v>93</v>
      </c>
      <c r="M361" s="103" t="s">
        <v>65</v>
      </c>
      <c r="N361" s="103" t="s">
        <v>77</v>
      </c>
      <c r="O361" s="103" t="n">
        <v>46</v>
      </c>
      <c r="P361" s="103" t="n">
        <v>3.7</v>
      </c>
      <c r="Q361" s="103" t="n">
        <v>4</v>
      </c>
      <c r="R361" s="103" t="s">
        <v>137</v>
      </c>
      <c r="S361" s="103" t="n">
        <v>1415</v>
      </c>
      <c r="T361" s="103" t="n">
        <v>1405</v>
      </c>
      <c r="U361" s="103" t="s">
        <v>987</v>
      </c>
      <c r="V361" s="103" t="n">
        <v>2025</v>
      </c>
    </row>
    <row r="362" customFormat="false" ht="14.25" hidden="false" customHeight="false" outlineLevel="0" collapsed="false">
      <c r="A362" s="103" t="s">
        <v>1077</v>
      </c>
      <c r="B362" s="103" t="s">
        <v>350</v>
      </c>
      <c r="C362" s="104" t="n">
        <v>45778</v>
      </c>
      <c r="D362" s="103" t="s">
        <v>102</v>
      </c>
      <c r="E362" s="103" t="n">
        <v>18</v>
      </c>
      <c r="F362" s="103" t="s">
        <v>170</v>
      </c>
      <c r="G362" s="103" t="s">
        <v>84</v>
      </c>
      <c r="H362" s="103" t="n">
        <v>3.2</v>
      </c>
      <c r="I362" s="103" t="n">
        <v>200</v>
      </c>
      <c r="J362" s="103" t="n">
        <v>40</v>
      </c>
      <c r="K362" s="103" t="n">
        <v>0</v>
      </c>
      <c r="L362" s="103" t="s">
        <v>93</v>
      </c>
      <c r="M362" s="103" t="s">
        <v>65</v>
      </c>
      <c r="N362" s="103" t="s">
        <v>78</v>
      </c>
      <c r="O362" s="103" t="n">
        <v>43</v>
      </c>
      <c r="P362" s="103" t="n">
        <v>14.8</v>
      </c>
      <c r="Q362" s="103" t="n">
        <v>5</v>
      </c>
      <c r="R362" s="103" t="s">
        <v>137</v>
      </c>
      <c r="S362" s="103" t="n">
        <v>240</v>
      </c>
      <c r="T362" s="103" t="n">
        <v>240</v>
      </c>
      <c r="U362" s="103" t="s">
        <v>1078</v>
      </c>
      <c r="V362" s="103" t="n">
        <v>2025</v>
      </c>
    </row>
    <row r="363" customFormat="false" ht="14.25" hidden="false" customHeight="false" outlineLevel="0" collapsed="false">
      <c r="A363" s="103" t="s">
        <v>1079</v>
      </c>
      <c r="B363" s="103" t="s">
        <v>351</v>
      </c>
      <c r="C363" s="104" t="n">
        <v>45778</v>
      </c>
      <c r="D363" s="103" t="s">
        <v>100</v>
      </c>
      <c r="E363" s="103" t="n">
        <v>32</v>
      </c>
      <c r="F363" s="103" t="s">
        <v>171</v>
      </c>
      <c r="G363" s="103" t="s">
        <v>88</v>
      </c>
      <c r="H363" s="103" t="n">
        <v>3.5</v>
      </c>
      <c r="I363" s="103" t="n">
        <v>1714</v>
      </c>
      <c r="J363" s="103" t="n">
        <v>40</v>
      </c>
      <c r="K363" s="103" t="n">
        <v>0</v>
      </c>
      <c r="L363" s="103" t="s">
        <v>93</v>
      </c>
      <c r="M363" s="103" t="s">
        <v>65</v>
      </c>
      <c r="N363" s="103" t="s">
        <v>78</v>
      </c>
      <c r="O363" s="103" t="n">
        <v>21</v>
      </c>
      <c r="P363" s="103" t="n">
        <v>4.9</v>
      </c>
      <c r="Q363" s="103" t="n">
        <v>5</v>
      </c>
      <c r="R363" s="103" t="s">
        <v>133</v>
      </c>
      <c r="S363" s="103" t="n">
        <v>1754</v>
      </c>
      <c r="T363" s="103" t="n">
        <v>1754</v>
      </c>
      <c r="U363" s="103" t="s">
        <v>1078</v>
      </c>
      <c r="V363" s="103" t="n">
        <v>2025</v>
      </c>
    </row>
    <row r="364" customFormat="false" ht="14.25" hidden="false" customHeight="false" outlineLevel="0" collapsed="false">
      <c r="A364" s="103" t="s">
        <v>1080</v>
      </c>
      <c r="B364" s="103" t="s">
        <v>352</v>
      </c>
      <c r="C364" s="104" t="n">
        <v>45778</v>
      </c>
      <c r="D364" s="103" t="s">
        <v>100</v>
      </c>
      <c r="E364" s="103" t="n">
        <v>26</v>
      </c>
      <c r="F364" s="103" t="s">
        <v>170</v>
      </c>
      <c r="G364" s="103" t="s">
        <v>87</v>
      </c>
      <c r="H364" s="103" t="n">
        <v>4</v>
      </c>
      <c r="I364" s="103" t="n">
        <v>1315</v>
      </c>
      <c r="J364" s="103" t="n">
        <v>0</v>
      </c>
      <c r="K364" s="103" t="n">
        <v>100</v>
      </c>
      <c r="L364" s="103" t="s">
        <v>93</v>
      </c>
      <c r="M364" s="103" t="s">
        <v>65</v>
      </c>
      <c r="N364" s="103" t="s">
        <v>77</v>
      </c>
      <c r="O364" s="103" t="n">
        <v>16</v>
      </c>
      <c r="P364" s="103" t="n">
        <v>2.3</v>
      </c>
      <c r="Q364" s="103" t="n">
        <v>2</v>
      </c>
      <c r="R364" s="103" t="s">
        <v>136</v>
      </c>
      <c r="S364" s="103" t="n">
        <v>1315</v>
      </c>
      <c r="T364" s="103" t="n">
        <v>1215</v>
      </c>
      <c r="U364" s="103" t="s">
        <v>1078</v>
      </c>
      <c r="V364" s="103" t="n">
        <v>2025</v>
      </c>
    </row>
    <row r="365" customFormat="false" ht="14.25" hidden="false" customHeight="false" outlineLevel="0" collapsed="false">
      <c r="A365" s="103" t="s">
        <v>1081</v>
      </c>
      <c r="B365" s="103" t="s">
        <v>353</v>
      </c>
      <c r="C365" s="104" t="n">
        <v>45779</v>
      </c>
      <c r="D365" s="103" t="s">
        <v>101</v>
      </c>
      <c r="E365" s="103" t="n">
        <v>32</v>
      </c>
      <c r="F365" s="103" t="s">
        <v>170</v>
      </c>
      <c r="G365" s="103" t="s">
        <v>81</v>
      </c>
      <c r="H365" s="103" t="n">
        <v>4.1</v>
      </c>
      <c r="I365" s="103" t="n">
        <v>131</v>
      </c>
      <c r="J365" s="103" t="n">
        <v>50</v>
      </c>
      <c r="K365" s="103" t="n">
        <v>50</v>
      </c>
      <c r="L365" s="103" t="s">
        <v>95</v>
      </c>
      <c r="M365" s="103" t="s">
        <v>65</v>
      </c>
      <c r="N365" s="103" t="s">
        <v>77</v>
      </c>
      <c r="O365" s="103" t="n">
        <v>35</v>
      </c>
      <c r="P365" s="103" t="n">
        <v>8.4</v>
      </c>
      <c r="Q365" s="103" t="n">
        <v>1</v>
      </c>
      <c r="R365" s="103" t="s">
        <v>132</v>
      </c>
      <c r="S365" s="103" t="n">
        <v>181</v>
      </c>
      <c r="T365" s="103" t="n">
        <v>131</v>
      </c>
      <c r="U365" s="103" t="s">
        <v>1078</v>
      </c>
      <c r="V365" s="103" t="n">
        <v>2025</v>
      </c>
    </row>
    <row r="366" customFormat="false" ht="14.25" hidden="false" customHeight="false" outlineLevel="0" collapsed="false">
      <c r="A366" s="103" t="s">
        <v>1082</v>
      </c>
      <c r="B366" s="103" t="s">
        <v>354</v>
      </c>
      <c r="C366" s="104" t="n">
        <v>45779</v>
      </c>
      <c r="D366" s="103" t="s">
        <v>101</v>
      </c>
      <c r="E366" s="103" t="n">
        <v>41</v>
      </c>
      <c r="F366" s="103" t="s">
        <v>171</v>
      </c>
      <c r="G366" s="103" t="s">
        <v>86</v>
      </c>
      <c r="H366" s="103" t="n">
        <v>2.9</v>
      </c>
      <c r="I366" s="103" t="n">
        <v>1403</v>
      </c>
      <c r="J366" s="103" t="n">
        <v>30</v>
      </c>
      <c r="K366" s="103" t="n">
        <v>20</v>
      </c>
      <c r="L366" s="103" t="s">
        <v>93</v>
      </c>
      <c r="M366" s="103" t="s">
        <v>65</v>
      </c>
      <c r="N366" s="103" t="s">
        <v>77</v>
      </c>
      <c r="O366" s="103" t="n">
        <v>20</v>
      </c>
      <c r="P366" s="103" t="n">
        <v>12.9</v>
      </c>
      <c r="Q366" s="103" t="n">
        <v>3</v>
      </c>
      <c r="R366" s="103" t="s">
        <v>141</v>
      </c>
      <c r="S366" s="103" t="n">
        <v>1433</v>
      </c>
      <c r="T366" s="103" t="n">
        <v>1413</v>
      </c>
      <c r="U366" s="103" t="s">
        <v>1078</v>
      </c>
      <c r="V366" s="103" t="n">
        <v>2025</v>
      </c>
    </row>
    <row r="367" customFormat="false" ht="14.25" hidden="false" customHeight="false" outlineLevel="0" collapsed="false">
      <c r="A367" s="103" t="s">
        <v>1083</v>
      </c>
      <c r="B367" s="103" t="s">
        <v>355</v>
      </c>
      <c r="C367" s="104" t="n">
        <v>45779</v>
      </c>
      <c r="D367" s="103" t="s">
        <v>103</v>
      </c>
      <c r="E367" s="103" t="n">
        <v>21</v>
      </c>
      <c r="F367" s="103" t="s">
        <v>170</v>
      </c>
      <c r="G367" s="103" t="s">
        <v>81</v>
      </c>
      <c r="H367" s="103" t="n">
        <v>4.9</v>
      </c>
      <c r="I367" s="103" t="n">
        <v>984</v>
      </c>
      <c r="J367" s="103" t="n">
        <v>20</v>
      </c>
      <c r="K367" s="103" t="n">
        <v>0</v>
      </c>
      <c r="L367" s="103" t="s">
        <v>97</v>
      </c>
      <c r="M367" s="103" t="s">
        <v>65</v>
      </c>
      <c r="N367" s="103" t="s">
        <v>77</v>
      </c>
      <c r="O367" s="103" t="n">
        <v>42</v>
      </c>
      <c r="P367" s="103" t="n">
        <v>10.3</v>
      </c>
      <c r="Q367" s="103" t="n">
        <v>5</v>
      </c>
      <c r="R367" s="103" t="s">
        <v>134</v>
      </c>
      <c r="S367" s="103" t="n">
        <v>1004</v>
      </c>
      <c r="T367" s="103" t="n">
        <v>1004</v>
      </c>
      <c r="U367" s="103" t="s">
        <v>1078</v>
      </c>
      <c r="V367" s="103" t="n">
        <v>2025</v>
      </c>
    </row>
    <row r="368" customFormat="false" ht="14.25" hidden="false" customHeight="false" outlineLevel="0" collapsed="false">
      <c r="A368" s="103" t="s">
        <v>1084</v>
      </c>
      <c r="B368" s="103" t="s">
        <v>356</v>
      </c>
      <c r="C368" s="104" t="n">
        <v>45780</v>
      </c>
      <c r="D368" s="103" t="s">
        <v>107</v>
      </c>
      <c r="E368" s="103" t="n">
        <v>29</v>
      </c>
      <c r="F368" s="103" t="s">
        <v>170</v>
      </c>
      <c r="G368" s="103" t="s">
        <v>83</v>
      </c>
      <c r="H368" s="103" t="n">
        <v>3.9</v>
      </c>
      <c r="I368" s="103" t="n">
        <v>1429</v>
      </c>
      <c r="J368" s="103" t="n">
        <v>50</v>
      </c>
      <c r="K368" s="103" t="n">
        <v>75</v>
      </c>
      <c r="L368" s="103" t="s">
        <v>93</v>
      </c>
      <c r="M368" s="103" t="s">
        <v>65</v>
      </c>
      <c r="N368" s="103" t="s">
        <v>78</v>
      </c>
      <c r="O368" s="103" t="n">
        <v>62</v>
      </c>
      <c r="P368" s="103" t="n">
        <v>4.8</v>
      </c>
      <c r="Q368" s="103" t="n">
        <v>3</v>
      </c>
      <c r="R368" s="103" t="s">
        <v>139</v>
      </c>
      <c r="S368" s="103" t="n">
        <v>1479</v>
      </c>
      <c r="T368" s="103" t="n">
        <v>1404</v>
      </c>
      <c r="U368" s="103" t="s">
        <v>1078</v>
      </c>
      <c r="V368" s="103" t="n">
        <v>2025</v>
      </c>
    </row>
    <row r="369" customFormat="false" ht="14.25" hidden="false" customHeight="false" outlineLevel="0" collapsed="false">
      <c r="A369" s="103" t="s">
        <v>1085</v>
      </c>
      <c r="B369" s="103" t="s">
        <v>357</v>
      </c>
      <c r="C369" s="104" t="n">
        <v>45780</v>
      </c>
      <c r="D369" s="103" t="s">
        <v>102</v>
      </c>
      <c r="E369" s="103" t="n">
        <v>54</v>
      </c>
      <c r="F369" s="103" t="s">
        <v>171</v>
      </c>
      <c r="G369" s="103" t="s">
        <v>87</v>
      </c>
      <c r="H369" s="103" t="n">
        <v>2.8</v>
      </c>
      <c r="I369" s="103" t="n">
        <v>998</v>
      </c>
      <c r="J369" s="103" t="n">
        <v>0</v>
      </c>
      <c r="K369" s="103" t="n">
        <v>0</v>
      </c>
      <c r="L369" s="103" t="s">
        <v>95</v>
      </c>
      <c r="M369" s="103" t="s">
        <v>65</v>
      </c>
      <c r="N369" s="103" t="s">
        <v>77</v>
      </c>
      <c r="O369" s="103" t="n">
        <v>56</v>
      </c>
      <c r="P369" s="103" t="n">
        <v>8.6</v>
      </c>
      <c r="Q369" s="103" t="n">
        <v>4</v>
      </c>
      <c r="R369" s="103" t="s">
        <v>138</v>
      </c>
      <c r="S369" s="103" t="n">
        <v>998</v>
      </c>
      <c r="T369" s="103" t="n">
        <v>998</v>
      </c>
      <c r="U369" s="103" t="s">
        <v>1078</v>
      </c>
      <c r="V369" s="103" t="n">
        <v>2025</v>
      </c>
    </row>
    <row r="370" customFormat="false" ht="14.25" hidden="false" customHeight="false" outlineLevel="0" collapsed="false">
      <c r="A370" s="103" t="s">
        <v>1086</v>
      </c>
      <c r="B370" s="103" t="s">
        <v>358</v>
      </c>
      <c r="C370" s="104" t="n">
        <v>45780</v>
      </c>
      <c r="D370" s="103" t="s">
        <v>101</v>
      </c>
      <c r="E370" s="103" t="n">
        <v>54</v>
      </c>
      <c r="F370" s="103" t="s">
        <v>171</v>
      </c>
      <c r="G370" s="103" t="s">
        <v>82</v>
      </c>
      <c r="H370" s="103" t="n">
        <v>4.7</v>
      </c>
      <c r="I370" s="103" t="n">
        <v>1197</v>
      </c>
      <c r="J370" s="103" t="n">
        <v>40</v>
      </c>
      <c r="K370" s="103" t="n">
        <v>200</v>
      </c>
      <c r="L370" s="103" t="s">
        <v>96</v>
      </c>
      <c r="M370" s="103" t="s">
        <v>65</v>
      </c>
      <c r="N370" s="103" t="s">
        <v>77</v>
      </c>
      <c r="O370" s="103" t="n">
        <v>50</v>
      </c>
      <c r="P370" s="103" t="n">
        <v>10.9</v>
      </c>
      <c r="Q370" s="103" t="n">
        <v>2</v>
      </c>
      <c r="R370" s="103" t="s">
        <v>141</v>
      </c>
      <c r="S370" s="103" t="n">
        <v>1237</v>
      </c>
      <c r="T370" s="103" t="n">
        <v>1037</v>
      </c>
      <c r="U370" s="103" t="s">
        <v>1078</v>
      </c>
      <c r="V370" s="103" t="n">
        <v>2025</v>
      </c>
    </row>
    <row r="371" customFormat="false" ht="14.25" hidden="false" customHeight="false" outlineLevel="0" collapsed="false">
      <c r="A371" s="103" t="s">
        <v>1087</v>
      </c>
      <c r="B371" s="103" t="s">
        <v>359</v>
      </c>
      <c r="C371" s="104" t="n">
        <v>45781</v>
      </c>
      <c r="D371" s="103" t="s">
        <v>109</v>
      </c>
      <c r="E371" s="103" t="n">
        <v>60</v>
      </c>
      <c r="F371" s="103" t="s">
        <v>170</v>
      </c>
      <c r="G371" s="103" t="s">
        <v>86</v>
      </c>
      <c r="H371" s="103" t="n">
        <v>2.7</v>
      </c>
      <c r="I371" s="103" t="n">
        <v>1441</v>
      </c>
      <c r="J371" s="103" t="n">
        <v>20</v>
      </c>
      <c r="K371" s="103" t="n">
        <v>10</v>
      </c>
      <c r="L371" s="103" t="s">
        <v>97</v>
      </c>
      <c r="M371" s="103" t="s">
        <v>65</v>
      </c>
      <c r="N371" s="103" t="s">
        <v>78</v>
      </c>
      <c r="O371" s="103" t="n">
        <v>46</v>
      </c>
      <c r="P371" s="103" t="n">
        <v>11.1</v>
      </c>
      <c r="Q371" s="103" t="n">
        <v>5</v>
      </c>
      <c r="R371" s="103" t="s">
        <v>142</v>
      </c>
      <c r="S371" s="103" t="n">
        <v>1461</v>
      </c>
      <c r="T371" s="103" t="n">
        <v>1451</v>
      </c>
      <c r="U371" s="103" t="s">
        <v>1078</v>
      </c>
      <c r="V371" s="103" t="n">
        <v>2025</v>
      </c>
    </row>
    <row r="372" customFormat="false" ht="14.25" hidden="false" customHeight="false" outlineLevel="0" collapsed="false">
      <c r="A372" s="103" t="s">
        <v>1088</v>
      </c>
      <c r="B372" s="103" t="s">
        <v>360</v>
      </c>
      <c r="C372" s="104" t="n">
        <v>45781</v>
      </c>
      <c r="D372" s="103" t="s">
        <v>103</v>
      </c>
      <c r="E372" s="103" t="n">
        <v>23</v>
      </c>
      <c r="F372" s="103" t="s">
        <v>171</v>
      </c>
      <c r="G372" s="103" t="s">
        <v>85</v>
      </c>
      <c r="H372" s="103" t="n">
        <v>4.8</v>
      </c>
      <c r="I372" s="103" t="n">
        <v>801</v>
      </c>
      <c r="J372" s="103" t="n">
        <v>30</v>
      </c>
      <c r="K372" s="103" t="n">
        <v>0</v>
      </c>
      <c r="L372" s="103" t="s">
        <v>96</v>
      </c>
      <c r="M372" s="103" t="s">
        <v>65</v>
      </c>
      <c r="N372" s="103" t="s">
        <v>78</v>
      </c>
      <c r="O372" s="103" t="n">
        <v>59</v>
      </c>
      <c r="P372" s="103" t="n">
        <v>10.2</v>
      </c>
      <c r="Q372" s="103" t="n">
        <v>4</v>
      </c>
      <c r="R372" s="103" t="s">
        <v>131</v>
      </c>
      <c r="S372" s="103" t="n">
        <v>831</v>
      </c>
      <c r="T372" s="103" t="n">
        <v>831</v>
      </c>
      <c r="U372" s="103" t="s">
        <v>1078</v>
      </c>
      <c r="V372" s="103" t="n">
        <v>2025</v>
      </c>
    </row>
    <row r="373" customFormat="false" ht="14.25" hidden="false" customHeight="false" outlineLevel="0" collapsed="false">
      <c r="A373" s="103" t="s">
        <v>1089</v>
      </c>
      <c r="B373" s="103" t="s">
        <v>361</v>
      </c>
      <c r="C373" s="104" t="n">
        <v>45781</v>
      </c>
      <c r="D373" s="103" t="s">
        <v>105</v>
      </c>
      <c r="E373" s="103" t="n">
        <v>56</v>
      </c>
      <c r="F373" s="103" t="s">
        <v>170</v>
      </c>
      <c r="G373" s="103" t="s">
        <v>81</v>
      </c>
      <c r="H373" s="103" t="n">
        <v>5</v>
      </c>
      <c r="I373" s="103" t="n">
        <v>125</v>
      </c>
      <c r="J373" s="103" t="n">
        <v>50</v>
      </c>
      <c r="K373" s="103" t="n">
        <v>100</v>
      </c>
      <c r="L373" s="103" t="s">
        <v>93</v>
      </c>
      <c r="M373" s="103" t="s">
        <v>65</v>
      </c>
      <c r="N373" s="103" t="s">
        <v>77</v>
      </c>
      <c r="O373" s="103" t="n">
        <v>56</v>
      </c>
      <c r="P373" s="103" t="n">
        <v>13.1</v>
      </c>
      <c r="Q373" s="103" t="n">
        <v>5</v>
      </c>
      <c r="R373" s="103" t="s">
        <v>140</v>
      </c>
      <c r="S373" s="103" t="n">
        <v>175</v>
      </c>
      <c r="T373" s="103" t="n">
        <v>75</v>
      </c>
      <c r="U373" s="103" t="s">
        <v>1078</v>
      </c>
      <c r="V373" s="103" t="n">
        <v>2025</v>
      </c>
    </row>
    <row r="374" customFormat="false" ht="14.25" hidden="false" customHeight="false" outlineLevel="0" collapsed="false">
      <c r="A374" s="103" t="s">
        <v>1090</v>
      </c>
      <c r="B374" s="103" t="s">
        <v>362</v>
      </c>
      <c r="C374" s="104" t="n">
        <v>45782</v>
      </c>
      <c r="D374" s="103" t="s">
        <v>100</v>
      </c>
      <c r="E374" s="103" t="n">
        <v>41</v>
      </c>
      <c r="F374" s="103" t="s">
        <v>170</v>
      </c>
      <c r="G374" s="103" t="s">
        <v>90</v>
      </c>
      <c r="H374" s="103" t="n">
        <v>4.3</v>
      </c>
      <c r="I374" s="103" t="n">
        <v>1548</v>
      </c>
      <c r="J374" s="103" t="n">
        <v>60</v>
      </c>
      <c r="K374" s="103" t="n">
        <v>75</v>
      </c>
      <c r="L374" s="103" t="s">
        <v>93</v>
      </c>
      <c r="M374" s="103" t="s">
        <v>66</v>
      </c>
      <c r="N374" s="103" t="s">
        <v>78</v>
      </c>
      <c r="O374" s="103" t="n">
        <v>67</v>
      </c>
      <c r="P374" s="103" t="n">
        <v>13.1</v>
      </c>
      <c r="Q374" s="103" t="n">
        <v>5</v>
      </c>
      <c r="R374" s="103" t="s">
        <v>134</v>
      </c>
      <c r="S374" s="103" t="n">
        <v>1608</v>
      </c>
      <c r="T374" s="103" t="n">
        <v>1533</v>
      </c>
      <c r="U374" s="103" t="s">
        <v>1078</v>
      </c>
      <c r="V374" s="103" t="n">
        <v>2025</v>
      </c>
    </row>
    <row r="375" customFormat="false" ht="14.25" hidden="false" customHeight="false" outlineLevel="0" collapsed="false">
      <c r="A375" s="103" t="s">
        <v>1091</v>
      </c>
      <c r="B375" s="103" t="s">
        <v>363</v>
      </c>
      <c r="C375" s="104" t="n">
        <v>45782</v>
      </c>
      <c r="D375" s="103" t="s">
        <v>103</v>
      </c>
      <c r="E375" s="103" t="n">
        <v>28</v>
      </c>
      <c r="F375" s="103" t="s">
        <v>170</v>
      </c>
      <c r="G375" s="103" t="s">
        <v>88</v>
      </c>
      <c r="H375" s="103" t="n">
        <v>4.4</v>
      </c>
      <c r="I375" s="103" t="n">
        <v>760</v>
      </c>
      <c r="J375" s="103" t="n">
        <v>50</v>
      </c>
      <c r="K375" s="103" t="n">
        <v>75</v>
      </c>
      <c r="L375" s="103" t="s">
        <v>94</v>
      </c>
      <c r="M375" s="103" t="s">
        <v>66</v>
      </c>
      <c r="N375" s="103" t="s">
        <v>77</v>
      </c>
      <c r="O375" s="103" t="n">
        <v>60</v>
      </c>
      <c r="P375" s="103" t="n">
        <v>8.9</v>
      </c>
      <c r="Q375" s="103" t="n">
        <v>1</v>
      </c>
      <c r="R375" s="103" t="s">
        <v>132</v>
      </c>
      <c r="S375" s="103" t="n">
        <v>810</v>
      </c>
      <c r="T375" s="103" t="n">
        <v>735</v>
      </c>
      <c r="U375" s="103" t="s">
        <v>1078</v>
      </c>
      <c r="V375" s="103" t="n">
        <v>2025</v>
      </c>
    </row>
    <row r="376" customFormat="false" ht="14.25" hidden="false" customHeight="false" outlineLevel="0" collapsed="false">
      <c r="A376" s="103" t="s">
        <v>1092</v>
      </c>
      <c r="B376" s="103" t="s">
        <v>364</v>
      </c>
      <c r="C376" s="104" t="n">
        <v>45782</v>
      </c>
      <c r="D376" s="103" t="s">
        <v>102</v>
      </c>
      <c r="E376" s="103" t="n">
        <v>30</v>
      </c>
      <c r="F376" s="103" t="s">
        <v>171</v>
      </c>
      <c r="G376" s="103" t="s">
        <v>82</v>
      </c>
      <c r="H376" s="103" t="n">
        <v>3.3</v>
      </c>
      <c r="I376" s="103" t="n">
        <v>953</v>
      </c>
      <c r="J376" s="103" t="n">
        <v>20</v>
      </c>
      <c r="K376" s="103" t="n">
        <v>50</v>
      </c>
      <c r="L376" s="103" t="s">
        <v>93</v>
      </c>
      <c r="M376" s="103" t="s">
        <v>65</v>
      </c>
      <c r="N376" s="103" t="s">
        <v>78</v>
      </c>
      <c r="O376" s="103" t="n">
        <v>23</v>
      </c>
      <c r="P376" s="103" t="n">
        <v>6.7</v>
      </c>
      <c r="Q376" s="103" t="n">
        <v>4</v>
      </c>
      <c r="R376" s="103" t="s">
        <v>135</v>
      </c>
      <c r="S376" s="103" t="n">
        <v>973</v>
      </c>
      <c r="T376" s="103" t="n">
        <v>923</v>
      </c>
      <c r="U376" s="103" t="s">
        <v>1078</v>
      </c>
      <c r="V376" s="103" t="n">
        <v>2025</v>
      </c>
    </row>
    <row r="377" customFormat="false" ht="14.25" hidden="false" customHeight="false" outlineLevel="0" collapsed="false">
      <c r="A377" s="103" t="s">
        <v>1093</v>
      </c>
      <c r="B377" s="103" t="s">
        <v>365</v>
      </c>
      <c r="C377" s="104" t="n">
        <v>45783</v>
      </c>
      <c r="D377" s="103" t="s">
        <v>101</v>
      </c>
      <c r="E377" s="103" t="n">
        <v>51</v>
      </c>
      <c r="F377" s="103" t="s">
        <v>171</v>
      </c>
      <c r="G377" s="103" t="s">
        <v>81</v>
      </c>
      <c r="H377" s="103" t="n">
        <v>4.9</v>
      </c>
      <c r="I377" s="103" t="n">
        <v>133</v>
      </c>
      <c r="J377" s="103" t="n">
        <v>0</v>
      </c>
      <c r="K377" s="103" t="n">
        <v>30</v>
      </c>
      <c r="L377" s="103" t="s">
        <v>93</v>
      </c>
      <c r="M377" s="103" t="s">
        <v>65</v>
      </c>
      <c r="N377" s="103" t="s">
        <v>78</v>
      </c>
      <c r="O377" s="103" t="n">
        <v>25</v>
      </c>
      <c r="P377" s="103" t="n">
        <v>9.8</v>
      </c>
      <c r="Q377" s="103" t="n">
        <v>1</v>
      </c>
      <c r="R377" s="103" t="s">
        <v>141</v>
      </c>
      <c r="S377" s="103" t="n">
        <v>133</v>
      </c>
      <c r="T377" s="103" t="n">
        <v>103</v>
      </c>
      <c r="U377" s="103" t="s">
        <v>1078</v>
      </c>
      <c r="V377" s="103" t="n">
        <v>2025</v>
      </c>
    </row>
    <row r="378" customFormat="false" ht="14.25" hidden="false" customHeight="false" outlineLevel="0" collapsed="false">
      <c r="A378" s="103" t="s">
        <v>1094</v>
      </c>
      <c r="B378" s="103" t="s">
        <v>366</v>
      </c>
      <c r="C378" s="104" t="n">
        <v>45783</v>
      </c>
      <c r="D378" s="103" t="s">
        <v>100</v>
      </c>
      <c r="E378" s="103" t="n">
        <v>42</v>
      </c>
      <c r="F378" s="103" t="s">
        <v>170</v>
      </c>
      <c r="G378" s="103" t="s">
        <v>81</v>
      </c>
      <c r="H378" s="103" t="n">
        <v>3.8</v>
      </c>
      <c r="I378" s="103" t="n">
        <v>947</v>
      </c>
      <c r="J378" s="103" t="n">
        <v>30</v>
      </c>
      <c r="K378" s="103" t="n">
        <v>30</v>
      </c>
      <c r="L378" s="103" t="s">
        <v>96</v>
      </c>
      <c r="M378" s="103" t="s">
        <v>65</v>
      </c>
      <c r="N378" s="103" t="s">
        <v>77</v>
      </c>
      <c r="O378" s="103" t="n">
        <v>37</v>
      </c>
      <c r="P378" s="103" t="n">
        <v>12.4</v>
      </c>
      <c r="Q378" s="103" t="n">
        <v>5</v>
      </c>
      <c r="R378" s="103" t="s">
        <v>132</v>
      </c>
      <c r="S378" s="103" t="n">
        <v>977</v>
      </c>
      <c r="T378" s="103" t="n">
        <v>947</v>
      </c>
      <c r="U378" s="103" t="s">
        <v>1078</v>
      </c>
      <c r="V378" s="103" t="n">
        <v>2025</v>
      </c>
    </row>
    <row r="379" customFormat="false" ht="14.25" hidden="false" customHeight="false" outlineLevel="0" collapsed="false">
      <c r="A379" s="103" t="s">
        <v>1095</v>
      </c>
      <c r="B379" s="103" t="s">
        <v>367</v>
      </c>
      <c r="C379" s="104" t="n">
        <v>45783</v>
      </c>
      <c r="D379" s="103" t="s">
        <v>106</v>
      </c>
      <c r="E379" s="103" t="n">
        <v>24</v>
      </c>
      <c r="F379" s="103" t="s">
        <v>170</v>
      </c>
      <c r="G379" s="103" t="s">
        <v>89</v>
      </c>
      <c r="H379" s="103" t="n">
        <v>4.3</v>
      </c>
      <c r="I379" s="103" t="n">
        <v>1777</v>
      </c>
      <c r="J379" s="103" t="n">
        <v>20</v>
      </c>
      <c r="K379" s="103" t="n">
        <v>20</v>
      </c>
      <c r="L379" s="103" t="s">
        <v>94</v>
      </c>
      <c r="M379" s="103" t="s">
        <v>66</v>
      </c>
      <c r="N379" s="103" t="s">
        <v>77</v>
      </c>
      <c r="O379" s="103" t="n">
        <v>64</v>
      </c>
      <c r="P379" s="103" t="n">
        <v>0.6</v>
      </c>
      <c r="Q379" s="103" t="n">
        <v>4</v>
      </c>
      <c r="R379" s="103" t="s">
        <v>135</v>
      </c>
      <c r="S379" s="103" t="n">
        <v>1797</v>
      </c>
      <c r="T379" s="103" t="n">
        <v>1777</v>
      </c>
      <c r="U379" s="103" t="s">
        <v>1078</v>
      </c>
      <c r="V379" s="103" t="n">
        <v>2025</v>
      </c>
    </row>
    <row r="380" customFormat="false" ht="14.25" hidden="false" customHeight="false" outlineLevel="0" collapsed="false">
      <c r="A380" s="103" t="s">
        <v>1096</v>
      </c>
      <c r="B380" s="103" t="s">
        <v>368</v>
      </c>
      <c r="C380" s="104" t="n">
        <v>45784</v>
      </c>
      <c r="D380" s="103" t="s">
        <v>103</v>
      </c>
      <c r="E380" s="103" t="n">
        <v>21</v>
      </c>
      <c r="F380" s="103" t="s">
        <v>171</v>
      </c>
      <c r="G380" s="103" t="s">
        <v>89</v>
      </c>
      <c r="H380" s="103" t="n">
        <v>4.8</v>
      </c>
      <c r="I380" s="103" t="n">
        <v>587</v>
      </c>
      <c r="J380" s="103" t="n">
        <v>40</v>
      </c>
      <c r="K380" s="103" t="n">
        <v>150</v>
      </c>
      <c r="L380" s="103" t="s">
        <v>94</v>
      </c>
      <c r="M380" s="103" t="s">
        <v>65</v>
      </c>
      <c r="N380" s="103" t="s">
        <v>77</v>
      </c>
      <c r="O380" s="103" t="n">
        <v>25</v>
      </c>
      <c r="P380" s="103" t="n">
        <v>14.9</v>
      </c>
      <c r="Q380" s="103" t="n">
        <v>2</v>
      </c>
      <c r="R380" s="103" t="s">
        <v>133</v>
      </c>
      <c r="S380" s="103" t="n">
        <v>627</v>
      </c>
      <c r="T380" s="103" t="n">
        <v>477</v>
      </c>
      <c r="U380" s="103" t="s">
        <v>1078</v>
      </c>
      <c r="V380" s="103" t="n">
        <v>2025</v>
      </c>
    </row>
    <row r="381" customFormat="false" ht="14.25" hidden="false" customHeight="false" outlineLevel="0" collapsed="false">
      <c r="A381" s="103" t="s">
        <v>1097</v>
      </c>
      <c r="B381" s="103" t="s">
        <v>369</v>
      </c>
      <c r="C381" s="104" t="n">
        <v>45784</v>
      </c>
      <c r="D381" s="103" t="s">
        <v>108</v>
      </c>
      <c r="E381" s="103" t="n">
        <v>25</v>
      </c>
      <c r="F381" s="103" t="s">
        <v>170</v>
      </c>
      <c r="G381" s="103" t="s">
        <v>82</v>
      </c>
      <c r="H381" s="103" t="n">
        <v>4.9</v>
      </c>
      <c r="I381" s="103" t="n">
        <v>784</v>
      </c>
      <c r="J381" s="103" t="n">
        <v>30</v>
      </c>
      <c r="K381" s="103" t="n">
        <v>100</v>
      </c>
      <c r="L381" s="103" t="s">
        <v>97</v>
      </c>
      <c r="M381" s="103" t="s">
        <v>65</v>
      </c>
      <c r="N381" s="103" t="s">
        <v>77</v>
      </c>
      <c r="O381" s="103" t="n">
        <v>63</v>
      </c>
      <c r="P381" s="103" t="n">
        <v>3.2</v>
      </c>
      <c r="Q381" s="103" t="n">
        <v>3</v>
      </c>
      <c r="R381" s="103" t="s">
        <v>134</v>
      </c>
      <c r="S381" s="103" t="n">
        <v>814</v>
      </c>
      <c r="T381" s="103" t="n">
        <v>714</v>
      </c>
      <c r="U381" s="103" t="s">
        <v>1078</v>
      </c>
      <c r="V381" s="103" t="n">
        <v>2025</v>
      </c>
    </row>
    <row r="382" customFormat="false" ht="14.25" hidden="false" customHeight="false" outlineLevel="0" collapsed="false">
      <c r="A382" s="103" t="s">
        <v>1098</v>
      </c>
      <c r="B382" s="103" t="s">
        <v>370</v>
      </c>
      <c r="C382" s="104" t="n">
        <v>45784</v>
      </c>
      <c r="D382" s="103" t="s">
        <v>100</v>
      </c>
      <c r="E382" s="103" t="n">
        <v>37</v>
      </c>
      <c r="F382" s="103" t="s">
        <v>170</v>
      </c>
      <c r="G382" s="103" t="s">
        <v>84</v>
      </c>
      <c r="H382" s="103" t="n">
        <v>4.6</v>
      </c>
      <c r="I382" s="103" t="n">
        <v>1274</v>
      </c>
      <c r="J382" s="103" t="n">
        <v>50</v>
      </c>
      <c r="K382" s="103" t="n">
        <v>200</v>
      </c>
      <c r="L382" s="103" t="s">
        <v>95</v>
      </c>
      <c r="M382" s="103" t="s">
        <v>65</v>
      </c>
      <c r="N382" s="103" t="s">
        <v>77</v>
      </c>
      <c r="O382" s="103" t="n">
        <v>16</v>
      </c>
      <c r="P382" s="103" t="n">
        <v>7.3</v>
      </c>
      <c r="Q382" s="103" t="n">
        <v>4</v>
      </c>
      <c r="R382" s="103" t="s">
        <v>136</v>
      </c>
      <c r="S382" s="103" t="n">
        <v>1324</v>
      </c>
      <c r="T382" s="103" t="n">
        <v>1124</v>
      </c>
      <c r="U382" s="103" t="s">
        <v>1078</v>
      </c>
      <c r="V382" s="103" t="n">
        <v>2025</v>
      </c>
    </row>
    <row r="383" customFormat="false" ht="14.25" hidden="false" customHeight="false" outlineLevel="0" collapsed="false">
      <c r="A383" s="103" t="s">
        <v>1099</v>
      </c>
      <c r="B383" s="103" t="s">
        <v>371</v>
      </c>
      <c r="C383" s="104" t="n">
        <v>45785</v>
      </c>
      <c r="D383" s="103" t="s">
        <v>102</v>
      </c>
      <c r="E383" s="103" t="n">
        <v>46</v>
      </c>
      <c r="F383" s="103" t="s">
        <v>171</v>
      </c>
      <c r="G383" s="103" t="s">
        <v>89</v>
      </c>
      <c r="H383" s="103" t="n">
        <v>3.3</v>
      </c>
      <c r="I383" s="103" t="n">
        <v>1489</v>
      </c>
      <c r="J383" s="103" t="n">
        <v>20</v>
      </c>
      <c r="K383" s="103" t="n">
        <v>0</v>
      </c>
      <c r="L383" s="103" t="s">
        <v>95</v>
      </c>
      <c r="M383" s="103" t="s">
        <v>66</v>
      </c>
      <c r="N383" s="103" t="s">
        <v>77</v>
      </c>
      <c r="O383" s="103" t="n">
        <v>17</v>
      </c>
      <c r="P383" s="103" t="n">
        <v>13.1</v>
      </c>
      <c r="Q383" s="103" t="n">
        <v>5</v>
      </c>
      <c r="R383" s="103" t="s">
        <v>139</v>
      </c>
      <c r="S383" s="103" t="n">
        <v>1509</v>
      </c>
      <c r="T383" s="103" t="n">
        <v>1509</v>
      </c>
      <c r="U383" s="103" t="s">
        <v>1078</v>
      </c>
      <c r="V383" s="103" t="n">
        <v>2025</v>
      </c>
    </row>
    <row r="384" customFormat="false" ht="14.25" hidden="false" customHeight="false" outlineLevel="0" collapsed="false">
      <c r="A384" s="103" t="s">
        <v>1100</v>
      </c>
      <c r="B384" s="103" t="s">
        <v>372</v>
      </c>
      <c r="C384" s="104" t="n">
        <v>45785</v>
      </c>
      <c r="D384" s="103" t="s">
        <v>110</v>
      </c>
      <c r="E384" s="103" t="n">
        <v>27</v>
      </c>
      <c r="F384" s="103" t="s">
        <v>171</v>
      </c>
      <c r="G384" s="103" t="s">
        <v>90</v>
      </c>
      <c r="H384" s="103" t="n">
        <v>4.9</v>
      </c>
      <c r="I384" s="103" t="n">
        <v>821</v>
      </c>
      <c r="J384" s="103" t="n">
        <v>50</v>
      </c>
      <c r="K384" s="103" t="n">
        <v>100</v>
      </c>
      <c r="L384" s="103" t="s">
        <v>95</v>
      </c>
      <c r="M384" s="103" t="s">
        <v>67</v>
      </c>
      <c r="N384" s="103" t="s">
        <v>77</v>
      </c>
      <c r="O384" s="103" t="n">
        <v>25</v>
      </c>
      <c r="P384" s="103" t="n">
        <v>3.8</v>
      </c>
      <c r="Q384" s="103" t="n">
        <v>5</v>
      </c>
      <c r="R384" s="103" t="s">
        <v>132</v>
      </c>
      <c r="S384" s="103" t="n">
        <v>871</v>
      </c>
      <c r="T384" s="103" t="n">
        <v>771</v>
      </c>
      <c r="U384" s="103" t="s">
        <v>1078</v>
      </c>
      <c r="V384" s="103" t="n">
        <v>2025</v>
      </c>
    </row>
    <row r="385" customFormat="false" ht="14.25" hidden="false" customHeight="false" outlineLevel="0" collapsed="false">
      <c r="A385" s="103" t="s">
        <v>1101</v>
      </c>
      <c r="B385" s="103" t="s">
        <v>373</v>
      </c>
      <c r="C385" s="104" t="n">
        <v>45785</v>
      </c>
      <c r="D385" s="103" t="s">
        <v>109</v>
      </c>
      <c r="E385" s="103" t="n">
        <v>60</v>
      </c>
      <c r="F385" s="103" t="s">
        <v>170</v>
      </c>
      <c r="G385" s="103" t="s">
        <v>86</v>
      </c>
      <c r="H385" s="103" t="n">
        <v>4.1</v>
      </c>
      <c r="I385" s="103" t="n">
        <v>640</v>
      </c>
      <c r="J385" s="103" t="n">
        <v>50</v>
      </c>
      <c r="K385" s="103" t="n">
        <v>30</v>
      </c>
      <c r="L385" s="103" t="s">
        <v>93</v>
      </c>
      <c r="M385" s="103" t="s">
        <v>66</v>
      </c>
      <c r="N385" s="103" t="s">
        <v>77</v>
      </c>
      <c r="O385" s="103" t="n">
        <v>64</v>
      </c>
      <c r="P385" s="103" t="n">
        <v>7.4</v>
      </c>
      <c r="Q385" s="103" t="n">
        <v>5</v>
      </c>
      <c r="R385" s="103" t="s">
        <v>137</v>
      </c>
      <c r="S385" s="103" t="n">
        <v>690</v>
      </c>
      <c r="T385" s="103" t="n">
        <v>660</v>
      </c>
      <c r="U385" s="103" t="s">
        <v>1078</v>
      </c>
      <c r="V385" s="103" t="n">
        <v>2025</v>
      </c>
    </row>
    <row r="386" customFormat="false" ht="14.25" hidden="false" customHeight="false" outlineLevel="0" collapsed="false">
      <c r="A386" s="103" t="s">
        <v>1102</v>
      </c>
      <c r="B386" s="103" t="s">
        <v>374</v>
      </c>
      <c r="C386" s="104" t="n">
        <v>45786</v>
      </c>
      <c r="D386" s="103" t="s">
        <v>104</v>
      </c>
      <c r="E386" s="103" t="n">
        <v>51</v>
      </c>
      <c r="F386" s="103" t="s">
        <v>171</v>
      </c>
      <c r="G386" s="103" t="s">
        <v>85</v>
      </c>
      <c r="H386" s="103" t="n">
        <v>4.8</v>
      </c>
      <c r="I386" s="103" t="n">
        <v>1696</v>
      </c>
      <c r="J386" s="103" t="n">
        <v>50</v>
      </c>
      <c r="K386" s="103" t="n">
        <v>100</v>
      </c>
      <c r="L386" s="103" t="s">
        <v>93</v>
      </c>
      <c r="M386" s="103" t="s">
        <v>65</v>
      </c>
      <c r="N386" s="103" t="s">
        <v>77</v>
      </c>
      <c r="O386" s="103" t="n">
        <v>49</v>
      </c>
      <c r="P386" s="103" t="n">
        <v>2.4</v>
      </c>
      <c r="Q386" s="103" t="n">
        <v>4</v>
      </c>
      <c r="R386" s="103" t="s">
        <v>142</v>
      </c>
      <c r="S386" s="103" t="n">
        <v>1746</v>
      </c>
      <c r="T386" s="103" t="n">
        <v>1646</v>
      </c>
      <c r="U386" s="103" t="s">
        <v>1078</v>
      </c>
      <c r="V386" s="103" t="n">
        <v>2025</v>
      </c>
    </row>
    <row r="387" customFormat="false" ht="14.25" hidden="false" customHeight="false" outlineLevel="0" collapsed="false">
      <c r="A387" s="103" t="s">
        <v>1103</v>
      </c>
      <c r="B387" s="103" t="s">
        <v>375</v>
      </c>
      <c r="C387" s="104" t="n">
        <v>45786</v>
      </c>
      <c r="D387" s="103" t="s">
        <v>107</v>
      </c>
      <c r="E387" s="103" t="n">
        <v>43</v>
      </c>
      <c r="F387" s="103" t="s">
        <v>171</v>
      </c>
      <c r="G387" s="103" t="s">
        <v>87</v>
      </c>
      <c r="H387" s="103" t="n">
        <v>4.2</v>
      </c>
      <c r="I387" s="103" t="n">
        <v>1258</v>
      </c>
      <c r="J387" s="103" t="n">
        <v>0</v>
      </c>
      <c r="K387" s="103" t="n">
        <v>0</v>
      </c>
      <c r="L387" s="103" t="s">
        <v>97</v>
      </c>
      <c r="M387" s="103" t="s">
        <v>65</v>
      </c>
      <c r="N387" s="103" t="s">
        <v>77</v>
      </c>
      <c r="O387" s="103" t="n">
        <v>29</v>
      </c>
      <c r="P387" s="103" t="n">
        <v>6.2</v>
      </c>
      <c r="Q387" s="103" t="n">
        <v>2</v>
      </c>
      <c r="R387" s="103" t="s">
        <v>141</v>
      </c>
      <c r="S387" s="103" t="n">
        <v>1258</v>
      </c>
      <c r="T387" s="103" t="n">
        <v>1258</v>
      </c>
      <c r="U387" s="103" t="s">
        <v>1078</v>
      </c>
      <c r="V387" s="103" t="n">
        <v>2025</v>
      </c>
    </row>
    <row r="388" customFormat="false" ht="14.25" hidden="false" customHeight="false" outlineLevel="0" collapsed="false">
      <c r="A388" s="103" t="s">
        <v>1104</v>
      </c>
      <c r="B388" s="103" t="s">
        <v>376</v>
      </c>
      <c r="C388" s="104" t="n">
        <v>45786</v>
      </c>
      <c r="D388" s="103" t="s">
        <v>104</v>
      </c>
      <c r="E388" s="103" t="n">
        <v>58</v>
      </c>
      <c r="F388" s="103" t="s">
        <v>171</v>
      </c>
      <c r="G388" s="103" t="s">
        <v>85</v>
      </c>
      <c r="H388" s="103" t="n">
        <v>3.3</v>
      </c>
      <c r="I388" s="103" t="n">
        <v>320</v>
      </c>
      <c r="J388" s="103" t="n">
        <v>50</v>
      </c>
      <c r="K388" s="103" t="n">
        <v>50</v>
      </c>
      <c r="L388" s="103" t="s">
        <v>97</v>
      </c>
      <c r="M388" s="103" t="s">
        <v>65</v>
      </c>
      <c r="N388" s="103" t="s">
        <v>78</v>
      </c>
      <c r="O388" s="103" t="n">
        <v>57</v>
      </c>
      <c r="P388" s="103" t="n">
        <v>3.1</v>
      </c>
      <c r="Q388" s="103" t="n">
        <v>5</v>
      </c>
      <c r="R388" s="103" t="s">
        <v>137</v>
      </c>
      <c r="S388" s="103" t="n">
        <v>370</v>
      </c>
      <c r="T388" s="103" t="n">
        <v>320</v>
      </c>
      <c r="U388" s="103" t="s">
        <v>1078</v>
      </c>
      <c r="V388" s="103" t="n">
        <v>2025</v>
      </c>
    </row>
    <row r="389" customFormat="false" ht="14.25" hidden="false" customHeight="false" outlineLevel="0" collapsed="false">
      <c r="A389" s="103" t="s">
        <v>1105</v>
      </c>
      <c r="B389" s="103" t="s">
        <v>377</v>
      </c>
      <c r="C389" s="104" t="n">
        <v>45787</v>
      </c>
      <c r="D389" s="103" t="s">
        <v>102</v>
      </c>
      <c r="E389" s="103" t="n">
        <v>20</v>
      </c>
      <c r="F389" s="103" t="s">
        <v>171</v>
      </c>
      <c r="G389" s="103" t="s">
        <v>85</v>
      </c>
      <c r="H389" s="103" t="n">
        <v>3.4</v>
      </c>
      <c r="I389" s="103" t="n">
        <v>236</v>
      </c>
      <c r="J389" s="103" t="n">
        <v>40</v>
      </c>
      <c r="K389" s="103" t="n">
        <v>20</v>
      </c>
      <c r="L389" s="103" t="s">
        <v>96</v>
      </c>
      <c r="M389" s="103" t="s">
        <v>67</v>
      </c>
      <c r="N389" s="103" t="s">
        <v>77</v>
      </c>
      <c r="O389" s="103" t="n">
        <v>25</v>
      </c>
      <c r="P389" s="103" t="n">
        <v>5.8</v>
      </c>
      <c r="Q389" s="103" t="n">
        <v>1</v>
      </c>
      <c r="R389" s="103" t="s">
        <v>132</v>
      </c>
      <c r="S389" s="103" t="n">
        <v>276</v>
      </c>
      <c r="T389" s="103" t="n">
        <v>256</v>
      </c>
      <c r="U389" s="103" t="s">
        <v>1078</v>
      </c>
      <c r="V389" s="103" t="n">
        <v>2025</v>
      </c>
    </row>
    <row r="390" customFormat="false" ht="14.25" hidden="false" customHeight="false" outlineLevel="0" collapsed="false">
      <c r="A390" s="103" t="s">
        <v>1106</v>
      </c>
      <c r="B390" s="103" t="s">
        <v>378</v>
      </c>
      <c r="C390" s="104" t="n">
        <v>45787</v>
      </c>
      <c r="D390" s="103" t="s">
        <v>105</v>
      </c>
      <c r="E390" s="103" t="n">
        <v>23</v>
      </c>
      <c r="F390" s="103" t="s">
        <v>170</v>
      </c>
      <c r="G390" s="103" t="s">
        <v>87</v>
      </c>
      <c r="H390" s="103" t="n">
        <v>3.9</v>
      </c>
      <c r="I390" s="103" t="n">
        <v>932</v>
      </c>
      <c r="J390" s="103" t="n">
        <v>40</v>
      </c>
      <c r="K390" s="103" t="n">
        <v>50</v>
      </c>
      <c r="L390" s="103" t="s">
        <v>94</v>
      </c>
      <c r="M390" s="103" t="s">
        <v>67</v>
      </c>
      <c r="N390" s="103" t="s">
        <v>77</v>
      </c>
      <c r="O390" s="103" t="n">
        <v>45</v>
      </c>
      <c r="P390" s="103" t="n">
        <v>5.9</v>
      </c>
      <c r="Q390" s="103" t="n">
        <v>5</v>
      </c>
      <c r="R390" s="103" t="s">
        <v>141</v>
      </c>
      <c r="S390" s="103" t="n">
        <v>972</v>
      </c>
      <c r="T390" s="103" t="n">
        <v>922</v>
      </c>
      <c r="U390" s="103" t="s">
        <v>1078</v>
      </c>
      <c r="V390" s="103" t="n">
        <v>2025</v>
      </c>
    </row>
    <row r="391" customFormat="false" ht="14.25" hidden="false" customHeight="false" outlineLevel="0" collapsed="false">
      <c r="A391" s="103" t="s">
        <v>1107</v>
      </c>
      <c r="B391" s="103" t="s">
        <v>379</v>
      </c>
      <c r="C391" s="104" t="n">
        <v>45787</v>
      </c>
      <c r="D391" s="103" t="s">
        <v>105</v>
      </c>
      <c r="E391" s="103" t="n">
        <v>22</v>
      </c>
      <c r="F391" s="103" t="s">
        <v>170</v>
      </c>
      <c r="G391" s="103" t="s">
        <v>89</v>
      </c>
      <c r="H391" s="103" t="n">
        <v>4.5</v>
      </c>
      <c r="I391" s="103" t="n">
        <v>490</v>
      </c>
      <c r="J391" s="103" t="n">
        <v>30</v>
      </c>
      <c r="K391" s="103" t="n">
        <v>30</v>
      </c>
      <c r="L391" s="103" t="s">
        <v>96</v>
      </c>
      <c r="M391" s="103" t="s">
        <v>65</v>
      </c>
      <c r="N391" s="103" t="s">
        <v>77</v>
      </c>
      <c r="O391" s="103" t="n">
        <v>42</v>
      </c>
      <c r="P391" s="103" t="n">
        <v>14.9</v>
      </c>
      <c r="Q391" s="103" t="n">
        <v>4</v>
      </c>
      <c r="R391" s="103" t="s">
        <v>136</v>
      </c>
      <c r="S391" s="103" t="n">
        <v>520</v>
      </c>
      <c r="T391" s="103" t="n">
        <v>490</v>
      </c>
      <c r="U391" s="103" t="s">
        <v>1078</v>
      </c>
      <c r="V391" s="103" t="n">
        <v>2025</v>
      </c>
    </row>
    <row r="392" customFormat="false" ht="14.25" hidden="false" customHeight="false" outlineLevel="0" collapsed="false">
      <c r="A392" s="103" t="s">
        <v>1108</v>
      </c>
      <c r="B392" s="103" t="s">
        <v>380</v>
      </c>
      <c r="C392" s="104" t="n">
        <v>45788</v>
      </c>
      <c r="D392" s="103" t="s">
        <v>110</v>
      </c>
      <c r="E392" s="103" t="n">
        <v>22</v>
      </c>
      <c r="F392" s="103" t="s">
        <v>171</v>
      </c>
      <c r="G392" s="103" t="s">
        <v>82</v>
      </c>
      <c r="H392" s="103" t="n">
        <v>3.3</v>
      </c>
      <c r="I392" s="103" t="n">
        <v>547</v>
      </c>
      <c r="J392" s="103" t="n">
        <v>60</v>
      </c>
      <c r="K392" s="103" t="n">
        <v>10</v>
      </c>
      <c r="L392" s="103" t="s">
        <v>93</v>
      </c>
      <c r="M392" s="103" t="s">
        <v>65</v>
      </c>
      <c r="N392" s="103" t="s">
        <v>78</v>
      </c>
      <c r="O392" s="103" t="n">
        <v>42</v>
      </c>
      <c r="P392" s="103" t="n">
        <v>14.9</v>
      </c>
      <c r="Q392" s="103" t="n">
        <v>1</v>
      </c>
      <c r="R392" s="103" t="s">
        <v>140</v>
      </c>
      <c r="S392" s="103" t="n">
        <v>607</v>
      </c>
      <c r="T392" s="103" t="n">
        <v>597</v>
      </c>
      <c r="U392" s="103" t="s">
        <v>1078</v>
      </c>
      <c r="V392" s="103" t="n">
        <v>2025</v>
      </c>
    </row>
    <row r="393" customFormat="false" ht="14.25" hidden="false" customHeight="false" outlineLevel="0" collapsed="false">
      <c r="A393" s="103" t="s">
        <v>1109</v>
      </c>
      <c r="B393" s="103" t="s">
        <v>381</v>
      </c>
      <c r="C393" s="104" t="n">
        <v>45788</v>
      </c>
      <c r="D393" s="103" t="s">
        <v>107</v>
      </c>
      <c r="E393" s="103" t="n">
        <v>40</v>
      </c>
      <c r="F393" s="103" t="s">
        <v>170</v>
      </c>
      <c r="G393" s="103" t="s">
        <v>87</v>
      </c>
      <c r="H393" s="103" t="n">
        <v>3.9</v>
      </c>
      <c r="I393" s="103" t="n">
        <v>1595</v>
      </c>
      <c r="J393" s="103" t="n">
        <v>50</v>
      </c>
      <c r="K393" s="103" t="n">
        <v>30</v>
      </c>
      <c r="L393" s="103" t="s">
        <v>93</v>
      </c>
      <c r="M393" s="103" t="s">
        <v>66</v>
      </c>
      <c r="N393" s="103" t="s">
        <v>77</v>
      </c>
      <c r="O393" s="103" t="n">
        <v>46</v>
      </c>
      <c r="P393" s="103" t="n">
        <v>2.2</v>
      </c>
      <c r="Q393" s="103" t="n">
        <v>5</v>
      </c>
      <c r="R393" s="103" t="s">
        <v>140</v>
      </c>
      <c r="S393" s="103" t="n">
        <v>1645</v>
      </c>
      <c r="T393" s="103" t="n">
        <v>1615</v>
      </c>
      <c r="U393" s="103" t="s">
        <v>1078</v>
      </c>
      <c r="V393" s="103" t="n">
        <v>2025</v>
      </c>
    </row>
    <row r="394" customFormat="false" ht="14.25" hidden="false" customHeight="false" outlineLevel="0" collapsed="false">
      <c r="A394" s="103" t="s">
        <v>1110</v>
      </c>
      <c r="B394" s="103" t="s">
        <v>382</v>
      </c>
      <c r="C394" s="104" t="n">
        <v>45788</v>
      </c>
      <c r="D394" s="103" t="s">
        <v>108</v>
      </c>
      <c r="E394" s="103" t="n">
        <v>26</v>
      </c>
      <c r="F394" s="103" t="s">
        <v>170</v>
      </c>
      <c r="G394" s="103" t="s">
        <v>83</v>
      </c>
      <c r="H394" s="103" t="n">
        <v>3.4</v>
      </c>
      <c r="I394" s="103" t="n">
        <v>270</v>
      </c>
      <c r="J394" s="103" t="n">
        <v>50</v>
      </c>
      <c r="K394" s="103" t="n">
        <v>20</v>
      </c>
      <c r="L394" s="103" t="s">
        <v>93</v>
      </c>
      <c r="M394" s="103" t="s">
        <v>65</v>
      </c>
      <c r="N394" s="103" t="s">
        <v>77</v>
      </c>
      <c r="O394" s="103" t="n">
        <v>39</v>
      </c>
      <c r="P394" s="103" t="n">
        <v>11</v>
      </c>
      <c r="Q394" s="103" t="n">
        <v>5</v>
      </c>
      <c r="R394" s="103" t="s">
        <v>133</v>
      </c>
      <c r="S394" s="103" t="n">
        <v>320</v>
      </c>
      <c r="T394" s="103" t="n">
        <v>300</v>
      </c>
      <c r="U394" s="103" t="s">
        <v>1078</v>
      </c>
      <c r="V394" s="103" t="n">
        <v>2025</v>
      </c>
    </row>
    <row r="395" customFormat="false" ht="14.25" hidden="false" customHeight="false" outlineLevel="0" collapsed="false">
      <c r="A395" s="103" t="s">
        <v>1111</v>
      </c>
      <c r="B395" s="103" t="s">
        <v>383</v>
      </c>
      <c r="C395" s="104" t="n">
        <v>45789</v>
      </c>
      <c r="D395" s="103" t="s">
        <v>110</v>
      </c>
      <c r="E395" s="103" t="n">
        <v>52</v>
      </c>
      <c r="F395" s="103" t="s">
        <v>170</v>
      </c>
      <c r="G395" s="103" t="s">
        <v>84</v>
      </c>
      <c r="H395" s="103" t="n">
        <v>4.5</v>
      </c>
      <c r="I395" s="103" t="n">
        <v>1322</v>
      </c>
      <c r="J395" s="103" t="n">
        <v>20</v>
      </c>
      <c r="K395" s="103" t="n">
        <v>0</v>
      </c>
      <c r="L395" s="103" t="s">
        <v>94</v>
      </c>
      <c r="M395" s="103" t="s">
        <v>65</v>
      </c>
      <c r="N395" s="103" t="s">
        <v>77</v>
      </c>
      <c r="O395" s="103" t="n">
        <v>34</v>
      </c>
      <c r="P395" s="103" t="n">
        <v>1.3</v>
      </c>
      <c r="Q395" s="103" t="n">
        <v>5</v>
      </c>
      <c r="R395" s="103" t="s">
        <v>131</v>
      </c>
      <c r="S395" s="103" t="n">
        <v>1342</v>
      </c>
      <c r="T395" s="103" t="n">
        <v>1342</v>
      </c>
      <c r="U395" s="103" t="s">
        <v>1078</v>
      </c>
      <c r="V395" s="103" t="n">
        <v>2025</v>
      </c>
    </row>
    <row r="396" customFormat="false" ht="14.25" hidden="false" customHeight="false" outlineLevel="0" collapsed="false">
      <c r="A396" s="103" t="s">
        <v>1112</v>
      </c>
      <c r="B396" s="103" t="s">
        <v>384</v>
      </c>
      <c r="C396" s="104" t="n">
        <v>45789</v>
      </c>
      <c r="D396" s="103" t="s">
        <v>111</v>
      </c>
      <c r="E396" s="103" t="n">
        <v>37</v>
      </c>
      <c r="F396" s="103" t="s">
        <v>171</v>
      </c>
      <c r="G396" s="103" t="s">
        <v>86</v>
      </c>
      <c r="H396" s="103" t="n">
        <v>3.7</v>
      </c>
      <c r="I396" s="103" t="n">
        <v>576</v>
      </c>
      <c r="J396" s="103" t="n">
        <v>0</v>
      </c>
      <c r="K396" s="103" t="n">
        <v>150</v>
      </c>
      <c r="L396" s="103" t="s">
        <v>93</v>
      </c>
      <c r="M396" s="103" t="s">
        <v>66</v>
      </c>
      <c r="N396" s="103" t="s">
        <v>77</v>
      </c>
      <c r="O396" s="103" t="n">
        <v>42</v>
      </c>
      <c r="P396" s="103" t="n">
        <v>0.9</v>
      </c>
      <c r="Q396" s="103" t="n">
        <v>3</v>
      </c>
      <c r="R396" s="103" t="s">
        <v>140</v>
      </c>
      <c r="S396" s="103" t="n">
        <v>576</v>
      </c>
      <c r="T396" s="103" t="n">
        <v>426</v>
      </c>
      <c r="U396" s="103" t="s">
        <v>1078</v>
      </c>
      <c r="V396" s="103" t="n">
        <v>2025</v>
      </c>
    </row>
    <row r="397" customFormat="false" ht="14.25" hidden="false" customHeight="false" outlineLevel="0" collapsed="false">
      <c r="A397" s="103" t="s">
        <v>1113</v>
      </c>
      <c r="B397" s="103" t="s">
        <v>385</v>
      </c>
      <c r="C397" s="104" t="n">
        <v>45789</v>
      </c>
      <c r="D397" s="103" t="s">
        <v>104</v>
      </c>
      <c r="E397" s="103" t="n">
        <v>59</v>
      </c>
      <c r="F397" s="103" t="s">
        <v>171</v>
      </c>
      <c r="G397" s="103" t="s">
        <v>88</v>
      </c>
      <c r="H397" s="103" t="n">
        <v>2.7</v>
      </c>
      <c r="I397" s="103" t="n">
        <v>1397</v>
      </c>
      <c r="J397" s="103" t="n">
        <v>60</v>
      </c>
      <c r="K397" s="103" t="n">
        <v>50</v>
      </c>
      <c r="L397" s="103" t="s">
        <v>93</v>
      </c>
      <c r="M397" s="103" t="s">
        <v>65</v>
      </c>
      <c r="N397" s="103" t="s">
        <v>78</v>
      </c>
      <c r="O397" s="103" t="n">
        <v>39</v>
      </c>
      <c r="P397" s="103" t="n">
        <v>2</v>
      </c>
      <c r="Q397" s="103" t="n">
        <v>3</v>
      </c>
      <c r="R397" s="103" t="s">
        <v>131</v>
      </c>
      <c r="S397" s="103" t="n">
        <v>1457</v>
      </c>
      <c r="T397" s="103" t="n">
        <v>1407</v>
      </c>
      <c r="U397" s="103" t="s">
        <v>1078</v>
      </c>
      <c r="V397" s="103" t="n">
        <v>2025</v>
      </c>
    </row>
    <row r="398" customFormat="false" ht="14.25" hidden="false" customHeight="false" outlineLevel="0" collapsed="false">
      <c r="A398" s="103" t="s">
        <v>1114</v>
      </c>
      <c r="B398" s="103" t="s">
        <v>386</v>
      </c>
      <c r="C398" s="104" t="n">
        <v>45790</v>
      </c>
      <c r="D398" s="103" t="s">
        <v>110</v>
      </c>
      <c r="E398" s="103" t="n">
        <v>52</v>
      </c>
      <c r="F398" s="103" t="s">
        <v>172</v>
      </c>
      <c r="G398" s="103" t="s">
        <v>89</v>
      </c>
      <c r="H398" s="103" t="n">
        <v>2.9</v>
      </c>
      <c r="I398" s="103" t="n">
        <v>1334</v>
      </c>
      <c r="J398" s="103" t="n">
        <v>30</v>
      </c>
      <c r="K398" s="103" t="n">
        <v>30</v>
      </c>
      <c r="L398" s="103" t="s">
        <v>93</v>
      </c>
      <c r="M398" s="103" t="s">
        <v>66</v>
      </c>
      <c r="N398" s="103" t="s">
        <v>77</v>
      </c>
      <c r="O398" s="103" t="n">
        <v>25</v>
      </c>
      <c r="P398" s="103" t="n">
        <v>14.5</v>
      </c>
      <c r="Q398" s="103" t="n">
        <v>5</v>
      </c>
      <c r="R398" s="103" t="s">
        <v>141</v>
      </c>
      <c r="S398" s="103" t="n">
        <v>1364</v>
      </c>
      <c r="T398" s="103" t="n">
        <v>1334</v>
      </c>
      <c r="U398" s="103" t="s">
        <v>1078</v>
      </c>
      <c r="V398" s="103" t="n">
        <v>2025</v>
      </c>
    </row>
    <row r="399" customFormat="false" ht="14.25" hidden="false" customHeight="false" outlineLevel="0" collapsed="false">
      <c r="A399" s="103" t="s">
        <v>1115</v>
      </c>
      <c r="B399" s="103" t="s">
        <v>387</v>
      </c>
      <c r="C399" s="104" t="n">
        <v>45790</v>
      </c>
      <c r="D399" s="103" t="s">
        <v>104</v>
      </c>
      <c r="E399" s="103" t="n">
        <v>35</v>
      </c>
      <c r="F399" s="103" t="s">
        <v>170</v>
      </c>
      <c r="G399" s="103" t="s">
        <v>84</v>
      </c>
      <c r="H399" s="103" t="n">
        <v>2.7</v>
      </c>
      <c r="I399" s="103" t="n">
        <v>132</v>
      </c>
      <c r="J399" s="103" t="n">
        <v>60</v>
      </c>
      <c r="K399" s="103" t="n">
        <v>50</v>
      </c>
      <c r="L399" s="103" t="s">
        <v>94</v>
      </c>
      <c r="M399" s="103" t="s">
        <v>67</v>
      </c>
      <c r="N399" s="103" t="s">
        <v>77</v>
      </c>
      <c r="O399" s="103" t="n">
        <v>33</v>
      </c>
      <c r="P399" s="103" t="n">
        <v>14.1</v>
      </c>
      <c r="Q399" s="103" t="n">
        <v>5</v>
      </c>
      <c r="R399" s="103" t="s">
        <v>140</v>
      </c>
      <c r="S399" s="103" t="n">
        <v>192</v>
      </c>
      <c r="T399" s="103" t="n">
        <v>142</v>
      </c>
      <c r="U399" s="103" t="s">
        <v>1078</v>
      </c>
      <c r="V399" s="103" t="n">
        <v>2025</v>
      </c>
    </row>
    <row r="400" customFormat="false" ht="14.25" hidden="false" customHeight="false" outlineLevel="0" collapsed="false">
      <c r="A400" s="103" t="s">
        <v>1116</v>
      </c>
      <c r="B400" s="103" t="s">
        <v>388</v>
      </c>
      <c r="C400" s="104" t="n">
        <v>45790</v>
      </c>
      <c r="D400" s="103" t="s">
        <v>100</v>
      </c>
      <c r="E400" s="103" t="n">
        <v>34</v>
      </c>
      <c r="F400" s="103" t="s">
        <v>171</v>
      </c>
      <c r="G400" s="103" t="s">
        <v>87</v>
      </c>
      <c r="H400" s="103" t="n">
        <v>3.7</v>
      </c>
      <c r="I400" s="103" t="n">
        <v>975</v>
      </c>
      <c r="J400" s="103" t="n">
        <v>50</v>
      </c>
      <c r="K400" s="103" t="n">
        <v>30</v>
      </c>
      <c r="L400" s="103" t="s">
        <v>95</v>
      </c>
      <c r="M400" s="103" t="s">
        <v>65</v>
      </c>
      <c r="N400" s="103" t="s">
        <v>78</v>
      </c>
      <c r="O400" s="103" t="n">
        <v>42</v>
      </c>
      <c r="P400" s="103" t="n">
        <v>3.3</v>
      </c>
      <c r="Q400" s="103" t="n">
        <v>5</v>
      </c>
      <c r="R400" s="103" t="s">
        <v>132</v>
      </c>
      <c r="S400" s="103" t="n">
        <v>1025</v>
      </c>
      <c r="T400" s="103" t="n">
        <v>995</v>
      </c>
      <c r="U400" s="103" t="s">
        <v>1078</v>
      </c>
      <c r="V400" s="103" t="n">
        <v>2025</v>
      </c>
    </row>
    <row r="401" customFormat="false" ht="14.25" hidden="false" customHeight="false" outlineLevel="0" collapsed="false">
      <c r="A401" s="103" t="s">
        <v>1117</v>
      </c>
      <c r="B401" s="103" t="s">
        <v>389</v>
      </c>
      <c r="C401" s="104" t="n">
        <v>45791</v>
      </c>
      <c r="D401" s="103" t="s">
        <v>105</v>
      </c>
      <c r="E401" s="103" t="n">
        <v>41</v>
      </c>
      <c r="F401" s="103" t="s">
        <v>171</v>
      </c>
      <c r="G401" s="103" t="s">
        <v>83</v>
      </c>
      <c r="H401" s="103" t="n">
        <v>2.8</v>
      </c>
      <c r="I401" s="103" t="n">
        <v>354</v>
      </c>
      <c r="J401" s="103" t="n">
        <v>20</v>
      </c>
      <c r="K401" s="103" t="n">
        <v>20</v>
      </c>
      <c r="L401" s="103" t="s">
        <v>95</v>
      </c>
      <c r="M401" s="103" t="s">
        <v>65</v>
      </c>
      <c r="N401" s="103" t="s">
        <v>77</v>
      </c>
      <c r="O401" s="103" t="n">
        <v>15</v>
      </c>
      <c r="P401" s="103" t="n">
        <v>2.8</v>
      </c>
      <c r="Q401" s="103" t="n">
        <v>3</v>
      </c>
      <c r="R401" s="103" t="s">
        <v>136</v>
      </c>
      <c r="S401" s="103" t="n">
        <v>374</v>
      </c>
      <c r="T401" s="103" t="n">
        <v>354</v>
      </c>
      <c r="U401" s="103" t="s">
        <v>1078</v>
      </c>
      <c r="V401" s="103" t="n">
        <v>2025</v>
      </c>
    </row>
    <row r="402" customFormat="false" ht="14.25" hidden="false" customHeight="false" outlineLevel="0" collapsed="false">
      <c r="A402" s="103" t="s">
        <v>1118</v>
      </c>
      <c r="B402" s="103" t="s">
        <v>390</v>
      </c>
      <c r="C402" s="104" t="n">
        <v>45791</v>
      </c>
      <c r="D402" s="103" t="s">
        <v>100</v>
      </c>
      <c r="E402" s="103" t="n">
        <v>20</v>
      </c>
      <c r="F402" s="103" t="s">
        <v>171</v>
      </c>
      <c r="G402" s="103" t="s">
        <v>88</v>
      </c>
      <c r="H402" s="103" t="n">
        <v>2.8</v>
      </c>
      <c r="I402" s="103" t="n">
        <v>1575</v>
      </c>
      <c r="J402" s="103" t="n">
        <v>0</v>
      </c>
      <c r="K402" s="103" t="n">
        <v>50</v>
      </c>
      <c r="L402" s="103" t="s">
        <v>93</v>
      </c>
      <c r="M402" s="103" t="s">
        <v>66</v>
      </c>
      <c r="N402" s="103" t="s">
        <v>77</v>
      </c>
      <c r="O402" s="103" t="n">
        <v>19</v>
      </c>
      <c r="P402" s="103" t="n">
        <v>4</v>
      </c>
      <c r="Q402" s="103" t="n">
        <v>5</v>
      </c>
      <c r="R402" s="103" t="s">
        <v>132</v>
      </c>
      <c r="S402" s="103" t="n">
        <v>1575</v>
      </c>
      <c r="T402" s="103" t="n">
        <v>1525</v>
      </c>
      <c r="U402" s="103" t="s">
        <v>1078</v>
      </c>
      <c r="V402" s="103" t="n">
        <v>2025</v>
      </c>
    </row>
    <row r="403" customFormat="false" ht="14.25" hidden="false" customHeight="false" outlineLevel="0" collapsed="false">
      <c r="A403" s="103" t="s">
        <v>1119</v>
      </c>
      <c r="B403" s="103" t="s">
        <v>391</v>
      </c>
      <c r="C403" s="104" t="n">
        <v>45791</v>
      </c>
      <c r="D403" s="103" t="s">
        <v>109</v>
      </c>
      <c r="E403" s="103" t="n">
        <v>49</v>
      </c>
      <c r="F403" s="103" t="s">
        <v>170</v>
      </c>
      <c r="G403" s="103" t="s">
        <v>86</v>
      </c>
      <c r="H403" s="103" t="n">
        <v>4.9</v>
      </c>
      <c r="I403" s="103" t="n">
        <v>1584</v>
      </c>
      <c r="J403" s="103" t="n">
        <v>30</v>
      </c>
      <c r="K403" s="103" t="n">
        <v>30</v>
      </c>
      <c r="L403" s="103" t="s">
        <v>94</v>
      </c>
      <c r="M403" s="103" t="s">
        <v>65</v>
      </c>
      <c r="N403" s="103" t="s">
        <v>77</v>
      </c>
      <c r="O403" s="103" t="n">
        <v>24</v>
      </c>
      <c r="P403" s="103" t="n">
        <v>8</v>
      </c>
      <c r="Q403" s="103" t="n">
        <v>5</v>
      </c>
      <c r="R403" s="103" t="s">
        <v>132</v>
      </c>
      <c r="S403" s="103" t="n">
        <v>1614</v>
      </c>
      <c r="T403" s="103" t="n">
        <v>1584</v>
      </c>
      <c r="U403" s="103" t="s">
        <v>1078</v>
      </c>
      <c r="V403" s="103" t="n">
        <v>2025</v>
      </c>
    </row>
    <row r="404" customFormat="false" ht="14.25" hidden="false" customHeight="false" outlineLevel="0" collapsed="false">
      <c r="A404" s="103" t="s">
        <v>1120</v>
      </c>
      <c r="B404" s="103" t="s">
        <v>392</v>
      </c>
      <c r="C404" s="104" t="n">
        <v>45792</v>
      </c>
      <c r="D404" s="103" t="s">
        <v>111</v>
      </c>
      <c r="E404" s="103" t="n">
        <v>52</v>
      </c>
      <c r="F404" s="103" t="s">
        <v>170</v>
      </c>
      <c r="G404" s="103" t="s">
        <v>86</v>
      </c>
      <c r="H404" s="103" t="n">
        <v>4.7</v>
      </c>
      <c r="I404" s="103" t="n">
        <v>823</v>
      </c>
      <c r="J404" s="103" t="n">
        <v>60</v>
      </c>
      <c r="K404" s="103" t="n">
        <v>0</v>
      </c>
      <c r="L404" s="103" t="s">
        <v>95</v>
      </c>
      <c r="M404" s="103" t="s">
        <v>65</v>
      </c>
      <c r="N404" s="103" t="s">
        <v>78</v>
      </c>
      <c r="O404" s="103" t="n">
        <v>56</v>
      </c>
      <c r="P404" s="103" t="n">
        <v>8.8</v>
      </c>
      <c r="Q404" s="103" t="n">
        <v>5</v>
      </c>
      <c r="R404" s="103" t="s">
        <v>131</v>
      </c>
      <c r="S404" s="103" t="n">
        <v>883</v>
      </c>
      <c r="T404" s="103" t="n">
        <v>883</v>
      </c>
      <c r="U404" s="103" t="s">
        <v>1078</v>
      </c>
      <c r="V404" s="103" t="n">
        <v>2025</v>
      </c>
    </row>
    <row r="405" customFormat="false" ht="14.25" hidden="false" customHeight="false" outlineLevel="0" collapsed="false">
      <c r="A405" s="103" t="s">
        <v>1121</v>
      </c>
      <c r="B405" s="103" t="s">
        <v>393</v>
      </c>
      <c r="C405" s="104" t="n">
        <v>45792</v>
      </c>
      <c r="D405" s="103" t="s">
        <v>107</v>
      </c>
      <c r="E405" s="103" t="n">
        <v>55</v>
      </c>
      <c r="F405" s="103" t="s">
        <v>170</v>
      </c>
      <c r="G405" s="103" t="s">
        <v>89</v>
      </c>
      <c r="H405" s="103" t="n">
        <v>3.6</v>
      </c>
      <c r="I405" s="103" t="n">
        <v>867</v>
      </c>
      <c r="J405" s="103" t="n">
        <v>30</v>
      </c>
      <c r="K405" s="103" t="n">
        <v>20</v>
      </c>
      <c r="L405" s="103" t="s">
        <v>94</v>
      </c>
      <c r="M405" s="103" t="s">
        <v>66</v>
      </c>
      <c r="N405" s="103" t="s">
        <v>77</v>
      </c>
      <c r="O405" s="103" t="n">
        <v>60</v>
      </c>
      <c r="P405" s="103" t="n">
        <v>3.7</v>
      </c>
      <c r="Q405" s="103" t="n">
        <v>4</v>
      </c>
      <c r="R405" s="103" t="s">
        <v>138</v>
      </c>
      <c r="S405" s="103" t="n">
        <v>897</v>
      </c>
      <c r="T405" s="103" t="n">
        <v>877</v>
      </c>
      <c r="U405" s="103" t="s">
        <v>1078</v>
      </c>
      <c r="V405" s="103" t="n">
        <v>2025</v>
      </c>
    </row>
    <row r="406" customFormat="false" ht="14.25" hidden="false" customHeight="false" outlineLevel="0" collapsed="false">
      <c r="A406" s="103" t="s">
        <v>1122</v>
      </c>
      <c r="B406" s="103" t="s">
        <v>394</v>
      </c>
      <c r="C406" s="104" t="n">
        <v>45792</v>
      </c>
      <c r="D406" s="103" t="s">
        <v>108</v>
      </c>
      <c r="E406" s="103" t="n">
        <v>30</v>
      </c>
      <c r="F406" s="103" t="s">
        <v>171</v>
      </c>
      <c r="G406" s="103" t="s">
        <v>87</v>
      </c>
      <c r="H406" s="103" t="n">
        <v>5</v>
      </c>
      <c r="I406" s="103" t="n">
        <v>630</v>
      </c>
      <c r="J406" s="103" t="n">
        <v>50</v>
      </c>
      <c r="K406" s="103" t="n">
        <v>150</v>
      </c>
      <c r="L406" s="103" t="s">
        <v>93</v>
      </c>
      <c r="M406" s="103" t="s">
        <v>67</v>
      </c>
      <c r="N406" s="103" t="s">
        <v>77</v>
      </c>
      <c r="O406" s="103" t="n">
        <v>48</v>
      </c>
      <c r="P406" s="103" t="n">
        <v>11.5</v>
      </c>
      <c r="Q406" s="103" t="n">
        <v>4</v>
      </c>
      <c r="R406" s="103" t="s">
        <v>138</v>
      </c>
      <c r="S406" s="103" t="n">
        <v>680</v>
      </c>
      <c r="T406" s="103" t="n">
        <v>530</v>
      </c>
      <c r="U406" s="103" t="s">
        <v>1078</v>
      </c>
      <c r="V406" s="103" t="n">
        <v>2025</v>
      </c>
    </row>
    <row r="407" customFormat="false" ht="14.25" hidden="false" customHeight="false" outlineLevel="0" collapsed="false">
      <c r="A407" s="103" t="s">
        <v>1123</v>
      </c>
      <c r="B407" s="103" t="s">
        <v>395</v>
      </c>
      <c r="C407" s="104" t="n">
        <v>45793</v>
      </c>
      <c r="D407" s="103" t="s">
        <v>104</v>
      </c>
      <c r="E407" s="103" t="n">
        <v>42</v>
      </c>
      <c r="F407" s="103" t="s">
        <v>170</v>
      </c>
      <c r="G407" s="103" t="s">
        <v>84</v>
      </c>
      <c r="H407" s="103" t="n">
        <v>2.5</v>
      </c>
      <c r="I407" s="103" t="n">
        <v>1324</v>
      </c>
      <c r="J407" s="103" t="n">
        <v>30</v>
      </c>
      <c r="K407" s="103" t="n">
        <v>100</v>
      </c>
      <c r="L407" s="103" t="s">
        <v>95</v>
      </c>
      <c r="M407" s="103" t="s">
        <v>66</v>
      </c>
      <c r="N407" s="103" t="s">
        <v>78</v>
      </c>
      <c r="O407" s="103" t="n">
        <v>50</v>
      </c>
      <c r="P407" s="103" t="n">
        <v>5</v>
      </c>
      <c r="Q407" s="103" t="n">
        <v>5</v>
      </c>
      <c r="R407" s="103" t="s">
        <v>142</v>
      </c>
      <c r="S407" s="103" t="n">
        <v>1354</v>
      </c>
      <c r="T407" s="103" t="n">
        <v>1254</v>
      </c>
      <c r="U407" s="103" t="s">
        <v>1078</v>
      </c>
      <c r="V407" s="103" t="n">
        <v>2025</v>
      </c>
    </row>
    <row r="408" customFormat="false" ht="14.25" hidden="false" customHeight="false" outlineLevel="0" collapsed="false">
      <c r="A408" s="103" t="s">
        <v>1124</v>
      </c>
      <c r="B408" s="103" t="s">
        <v>396</v>
      </c>
      <c r="C408" s="104" t="n">
        <v>45793</v>
      </c>
      <c r="D408" s="103" t="s">
        <v>108</v>
      </c>
      <c r="E408" s="103" t="n">
        <v>26</v>
      </c>
      <c r="F408" s="103" t="s">
        <v>170</v>
      </c>
      <c r="G408" s="103" t="s">
        <v>82</v>
      </c>
      <c r="H408" s="103" t="n">
        <v>4</v>
      </c>
      <c r="I408" s="103" t="n">
        <v>723</v>
      </c>
      <c r="J408" s="103" t="n">
        <v>20</v>
      </c>
      <c r="K408" s="103" t="n">
        <v>10</v>
      </c>
      <c r="L408" s="103" t="s">
        <v>97</v>
      </c>
      <c r="M408" s="103" t="s">
        <v>66</v>
      </c>
      <c r="N408" s="103" t="s">
        <v>77</v>
      </c>
      <c r="O408" s="103" t="n">
        <v>16</v>
      </c>
      <c r="P408" s="103" t="n">
        <v>13.9</v>
      </c>
      <c r="Q408" s="103" t="n">
        <v>5</v>
      </c>
      <c r="R408" s="103" t="s">
        <v>142</v>
      </c>
      <c r="S408" s="103" t="n">
        <v>743</v>
      </c>
      <c r="T408" s="103" t="n">
        <v>733</v>
      </c>
      <c r="U408" s="103" t="s">
        <v>1078</v>
      </c>
      <c r="V408" s="103" t="n">
        <v>2025</v>
      </c>
    </row>
    <row r="409" customFormat="false" ht="14.25" hidden="false" customHeight="false" outlineLevel="0" collapsed="false">
      <c r="A409" s="103" t="s">
        <v>1125</v>
      </c>
      <c r="B409" s="103" t="s">
        <v>397</v>
      </c>
      <c r="C409" s="104" t="n">
        <v>45793</v>
      </c>
      <c r="D409" s="103" t="s">
        <v>104</v>
      </c>
      <c r="E409" s="103" t="n">
        <v>21</v>
      </c>
      <c r="F409" s="103" t="s">
        <v>171</v>
      </c>
      <c r="G409" s="103" t="s">
        <v>84</v>
      </c>
      <c r="H409" s="103" t="n">
        <v>4</v>
      </c>
      <c r="I409" s="103" t="n">
        <v>570</v>
      </c>
      <c r="J409" s="103" t="n">
        <v>30</v>
      </c>
      <c r="K409" s="103" t="n">
        <v>0</v>
      </c>
      <c r="L409" s="103" t="s">
        <v>93</v>
      </c>
      <c r="M409" s="103" t="s">
        <v>65</v>
      </c>
      <c r="N409" s="103" t="s">
        <v>77</v>
      </c>
      <c r="O409" s="103" t="n">
        <v>32</v>
      </c>
      <c r="P409" s="103" t="n">
        <v>10</v>
      </c>
      <c r="Q409" s="103" t="n">
        <v>5</v>
      </c>
      <c r="R409" s="103" t="s">
        <v>139</v>
      </c>
      <c r="S409" s="103" t="n">
        <v>600</v>
      </c>
      <c r="T409" s="103" t="n">
        <v>600</v>
      </c>
      <c r="U409" s="103" t="s">
        <v>1078</v>
      </c>
      <c r="V409" s="103" t="n">
        <v>2025</v>
      </c>
    </row>
    <row r="410" customFormat="false" ht="14.25" hidden="false" customHeight="false" outlineLevel="0" collapsed="false">
      <c r="A410" s="103" t="s">
        <v>1126</v>
      </c>
      <c r="B410" s="103" t="s">
        <v>398</v>
      </c>
      <c r="C410" s="104" t="n">
        <v>45794</v>
      </c>
      <c r="D410" s="103" t="s">
        <v>102</v>
      </c>
      <c r="E410" s="103" t="n">
        <v>31</v>
      </c>
      <c r="F410" s="103" t="s">
        <v>170</v>
      </c>
      <c r="G410" s="103" t="s">
        <v>84</v>
      </c>
      <c r="H410" s="103" t="n">
        <v>3.6</v>
      </c>
      <c r="I410" s="103" t="n">
        <v>846</v>
      </c>
      <c r="J410" s="103" t="n">
        <v>40</v>
      </c>
      <c r="K410" s="103" t="n">
        <v>20</v>
      </c>
      <c r="L410" s="103" t="s">
        <v>93</v>
      </c>
      <c r="M410" s="103" t="s">
        <v>67</v>
      </c>
      <c r="N410" s="103" t="s">
        <v>77</v>
      </c>
      <c r="O410" s="103" t="n">
        <v>27</v>
      </c>
      <c r="P410" s="103" t="n">
        <v>6.8</v>
      </c>
      <c r="Q410" s="103" t="n">
        <v>5</v>
      </c>
      <c r="R410" s="103" t="s">
        <v>140</v>
      </c>
      <c r="S410" s="103" t="n">
        <v>886</v>
      </c>
      <c r="T410" s="103" t="n">
        <v>866</v>
      </c>
      <c r="U410" s="103" t="s">
        <v>1078</v>
      </c>
      <c r="V410" s="103" t="n">
        <v>2025</v>
      </c>
    </row>
    <row r="411" customFormat="false" ht="14.25" hidden="false" customHeight="false" outlineLevel="0" collapsed="false">
      <c r="A411" s="103" t="s">
        <v>1127</v>
      </c>
      <c r="B411" s="103" t="s">
        <v>399</v>
      </c>
      <c r="C411" s="104" t="n">
        <v>45794</v>
      </c>
      <c r="D411" s="103" t="s">
        <v>110</v>
      </c>
      <c r="E411" s="103" t="n">
        <v>54</v>
      </c>
      <c r="F411" s="103" t="s">
        <v>170</v>
      </c>
      <c r="G411" s="103" t="s">
        <v>86</v>
      </c>
      <c r="H411" s="103" t="n">
        <v>3.5</v>
      </c>
      <c r="I411" s="103" t="n">
        <v>274</v>
      </c>
      <c r="J411" s="103" t="n">
        <v>20</v>
      </c>
      <c r="K411" s="103" t="n">
        <v>50</v>
      </c>
      <c r="L411" s="103" t="s">
        <v>93</v>
      </c>
      <c r="M411" s="103" t="s">
        <v>66</v>
      </c>
      <c r="N411" s="103" t="s">
        <v>77</v>
      </c>
      <c r="O411" s="103" t="n">
        <v>65</v>
      </c>
      <c r="P411" s="103" t="n">
        <v>12</v>
      </c>
      <c r="Q411" s="103" t="n">
        <v>5</v>
      </c>
      <c r="R411" s="103" t="s">
        <v>136</v>
      </c>
      <c r="S411" s="103" t="n">
        <v>294</v>
      </c>
      <c r="T411" s="103" t="n">
        <v>244</v>
      </c>
      <c r="U411" s="103" t="s">
        <v>1078</v>
      </c>
      <c r="V411" s="103" t="n">
        <v>2025</v>
      </c>
    </row>
    <row r="412" customFormat="false" ht="14.25" hidden="false" customHeight="false" outlineLevel="0" collapsed="false">
      <c r="A412" s="103" t="s">
        <v>1128</v>
      </c>
      <c r="B412" s="103" t="s">
        <v>400</v>
      </c>
      <c r="C412" s="104" t="n">
        <v>45794</v>
      </c>
      <c r="D412" s="103" t="s">
        <v>109</v>
      </c>
      <c r="E412" s="103" t="n">
        <v>51</v>
      </c>
      <c r="F412" s="103" t="s">
        <v>171</v>
      </c>
      <c r="G412" s="103" t="s">
        <v>82</v>
      </c>
      <c r="H412" s="103" t="n">
        <v>3.6</v>
      </c>
      <c r="I412" s="103" t="n">
        <v>1374</v>
      </c>
      <c r="J412" s="103" t="n">
        <v>60</v>
      </c>
      <c r="K412" s="103" t="n">
        <v>0</v>
      </c>
      <c r="L412" s="103" t="s">
        <v>94</v>
      </c>
      <c r="M412" s="103" t="s">
        <v>65</v>
      </c>
      <c r="N412" s="103" t="s">
        <v>78</v>
      </c>
      <c r="O412" s="103" t="n">
        <v>19</v>
      </c>
      <c r="P412" s="103" t="n">
        <v>12.4</v>
      </c>
      <c r="Q412" s="103" t="n">
        <v>4</v>
      </c>
      <c r="R412" s="103" t="s">
        <v>136</v>
      </c>
      <c r="S412" s="103" t="n">
        <v>1434</v>
      </c>
      <c r="T412" s="103" t="n">
        <v>1434</v>
      </c>
      <c r="U412" s="103" t="s">
        <v>1078</v>
      </c>
      <c r="V412" s="103" t="n">
        <v>2025</v>
      </c>
    </row>
    <row r="413" customFormat="false" ht="14.25" hidden="false" customHeight="false" outlineLevel="0" collapsed="false">
      <c r="A413" s="103" t="s">
        <v>1129</v>
      </c>
      <c r="B413" s="103" t="s">
        <v>401</v>
      </c>
      <c r="C413" s="104" t="n">
        <v>45795</v>
      </c>
      <c r="D413" s="103" t="s">
        <v>105</v>
      </c>
      <c r="E413" s="103" t="n">
        <v>28</v>
      </c>
      <c r="F413" s="103" t="s">
        <v>170</v>
      </c>
      <c r="G413" s="103" t="s">
        <v>82</v>
      </c>
      <c r="H413" s="103" t="n">
        <v>3.5</v>
      </c>
      <c r="I413" s="103" t="n">
        <v>141</v>
      </c>
      <c r="J413" s="103" t="n">
        <v>0</v>
      </c>
      <c r="K413" s="103" t="n">
        <v>20</v>
      </c>
      <c r="L413" s="103" t="s">
        <v>93</v>
      </c>
      <c r="M413" s="103" t="s">
        <v>65</v>
      </c>
      <c r="N413" s="103" t="s">
        <v>77</v>
      </c>
      <c r="O413" s="103" t="n">
        <v>34</v>
      </c>
      <c r="P413" s="103" t="n">
        <v>4.7</v>
      </c>
      <c r="Q413" s="103" t="n">
        <v>1</v>
      </c>
      <c r="R413" s="103" t="s">
        <v>137</v>
      </c>
      <c r="S413" s="103" t="n">
        <v>141</v>
      </c>
      <c r="T413" s="103" t="n">
        <v>121</v>
      </c>
      <c r="U413" s="103" t="s">
        <v>1078</v>
      </c>
      <c r="V413" s="103" t="n">
        <v>2025</v>
      </c>
    </row>
    <row r="414" customFormat="false" ht="14.25" hidden="false" customHeight="false" outlineLevel="0" collapsed="false">
      <c r="A414" s="103" t="s">
        <v>1130</v>
      </c>
      <c r="B414" s="103" t="s">
        <v>402</v>
      </c>
      <c r="C414" s="104" t="n">
        <v>45795</v>
      </c>
      <c r="D414" s="103" t="s">
        <v>101</v>
      </c>
      <c r="E414" s="103" t="n">
        <v>58</v>
      </c>
      <c r="F414" s="103" t="s">
        <v>171</v>
      </c>
      <c r="G414" s="103" t="s">
        <v>89</v>
      </c>
      <c r="H414" s="103" t="n">
        <v>4.3</v>
      </c>
      <c r="I414" s="103" t="n">
        <v>1203</v>
      </c>
      <c r="J414" s="103" t="n">
        <v>0</v>
      </c>
      <c r="K414" s="103" t="n">
        <v>20</v>
      </c>
      <c r="L414" s="103" t="s">
        <v>93</v>
      </c>
      <c r="M414" s="103" t="s">
        <v>67</v>
      </c>
      <c r="N414" s="103" t="s">
        <v>77</v>
      </c>
      <c r="O414" s="103" t="n">
        <v>16</v>
      </c>
      <c r="P414" s="103" t="n">
        <v>5.4</v>
      </c>
      <c r="Q414" s="103" t="n">
        <v>2</v>
      </c>
      <c r="R414" s="103" t="s">
        <v>142</v>
      </c>
      <c r="S414" s="103" t="n">
        <v>1203</v>
      </c>
      <c r="T414" s="103" t="n">
        <v>1183</v>
      </c>
      <c r="U414" s="103" t="s">
        <v>1078</v>
      </c>
      <c r="V414" s="103" t="n">
        <v>2025</v>
      </c>
    </row>
    <row r="415" customFormat="false" ht="14.25" hidden="false" customHeight="false" outlineLevel="0" collapsed="false">
      <c r="A415" s="103" t="s">
        <v>1131</v>
      </c>
      <c r="B415" s="103" t="s">
        <v>403</v>
      </c>
      <c r="C415" s="104" t="n">
        <v>45795</v>
      </c>
      <c r="D415" s="103" t="s">
        <v>104</v>
      </c>
      <c r="E415" s="103" t="n">
        <v>20</v>
      </c>
      <c r="F415" s="103" t="s">
        <v>170</v>
      </c>
      <c r="G415" s="103" t="s">
        <v>88</v>
      </c>
      <c r="H415" s="103" t="n">
        <v>2.8</v>
      </c>
      <c r="I415" s="103" t="n">
        <v>427</v>
      </c>
      <c r="J415" s="103" t="n">
        <v>50</v>
      </c>
      <c r="K415" s="103" t="n">
        <v>50</v>
      </c>
      <c r="L415" s="103" t="s">
        <v>93</v>
      </c>
      <c r="M415" s="103" t="s">
        <v>65</v>
      </c>
      <c r="N415" s="103" t="s">
        <v>77</v>
      </c>
      <c r="O415" s="103" t="n">
        <v>25</v>
      </c>
      <c r="P415" s="103" t="n">
        <v>14.1</v>
      </c>
      <c r="Q415" s="103" t="n">
        <v>3</v>
      </c>
      <c r="R415" s="103" t="s">
        <v>132</v>
      </c>
      <c r="S415" s="103" t="n">
        <v>477</v>
      </c>
      <c r="T415" s="103" t="n">
        <v>427</v>
      </c>
      <c r="U415" s="103" t="s">
        <v>1078</v>
      </c>
      <c r="V415" s="103" t="n">
        <v>2025</v>
      </c>
    </row>
    <row r="416" customFormat="false" ht="14.25" hidden="false" customHeight="false" outlineLevel="0" collapsed="false">
      <c r="A416" s="103" t="s">
        <v>1132</v>
      </c>
      <c r="B416" s="103" t="s">
        <v>404</v>
      </c>
      <c r="C416" s="104" t="n">
        <v>45796</v>
      </c>
      <c r="D416" s="103" t="s">
        <v>108</v>
      </c>
      <c r="E416" s="103" t="n">
        <v>45</v>
      </c>
      <c r="F416" s="103" t="s">
        <v>170</v>
      </c>
      <c r="G416" s="103" t="s">
        <v>81</v>
      </c>
      <c r="H416" s="103" t="n">
        <v>3</v>
      </c>
      <c r="I416" s="103" t="n">
        <v>510</v>
      </c>
      <c r="J416" s="103" t="n">
        <v>50</v>
      </c>
      <c r="K416" s="103" t="n">
        <v>20</v>
      </c>
      <c r="L416" s="103" t="s">
        <v>97</v>
      </c>
      <c r="M416" s="103" t="s">
        <v>65</v>
      </c>
      <c r="N416" s="103" t="s">
        <v>77</v>
      </c>
      <c r="O416" s="103" t="n">
        <v>44</v>
      </c>
      <c r="P416" s="103" t="n">
        <v>2.9</v>
      </c>
      <c r="Q416" s="103" t="n">
        <v>3</v>
      </c>
      <c r="R416" s="103" t="s">
        <v>136</v>
      </c>
      <c r="S416" s="103" t="n">
        <v>560</v>
      </c>
      <c r="T416" s="103" t="n">
        <v>540</v>
      </c>
      <c r="U416" s="103" t="s">
        <v>1078</v>
      </c>
      <c r="V416" s="103" t="n">
        <v>2025</v>
      </c>
    </row>
    <row r="417" customFormat="false" ht="14.25" hidden="false" customHeight="false" outlineLevel="0" collapsed="false">
      <c r="A417" s="103" t="s">
        <v>1133</v>
      </c>
      <c r="B417" s="103" t="s">
        <v>405</v>
      </c>
      <c r="C417" s="104" t="n">
        <v>45796</v>
      </c>
      <c r="D417" s="103" t="s">
        <v>109</v>
      </c>
      <c r="E417" s="103" t="n">
        <v>46</v>
      </c>
      <c r="F417" s="103" t="s">
        <v>170</v>
      </c>
      <c r="G417" s="103" t="s">
        <v>85</v>
      </c>
      <c r="H417" s="103" t="n">
        <v>3</v>
      </c>
      <c r="I417" s="103" t="n">
        <v>1188</v>
      </c>
      <c r="J417" s="103" t="n">
        <v>40</v>
      </c>
      <c r="K417" s="103" t="n">
        <v>200</v>
      </c>
      <c r="L417" s="103" t="s">
        <v>95</v>
      </c>
      <c r="M417" s="103" t="s">
        <v>65</v>
      </c>
      <c r="N417" s="103" t="s">
        <v>77</v>
      </c>
      <c r="O417" s="103" t="n">
        <v>46</v>
      </c>
      <c r="P417" s="103" t="n">
        <v>1.1</v>
      </c>
      <c r="Q417" s="103" t="n">
        <v>4</v>
      </c>
      <c r="R417" s="103" t="s">
        <v>141</v>
      </c>
      <c r="S417" s="103" t="n">
        <v>1228</v>
      </c>
      <c r="T417" s="103" t="n">
        <v>1028</v>
      </c>
      <c r="U417" s="103" t="s">
        <v>1078</v>
      </c>
      <c r="V417" s="103" t="n">
        <v>2025</v>
      </c>
    </row>
    <row r="418" customFormat="false" ht="14.25" hidden="false" customHeight="false" outlineLevel="0" collapsed="false">
      <c r="A418" s="103" t="s">
        <v>1134</v>
      </c>
      <c r="B418" s="103" t="s">
        <v>406</v>
      </c>
      <c r="C418" s="104" t="n">
        <v>45796</v>
      </c>
      <c r="D418" s="103" t="s">
        <v>106</v>
      </c>
      <c r="E418" s="103" t="n">
        <v>26</v>
      </c>
      <c r="F418" s="103" t="s">
        <v>170</v>
      </c>
      <c r="G418" s="103" t="s">
        <v>85</v>
      </c>
      <c r="H418" s="103" t="n">
        <v>3.2</v>
      </c>
      <c r="I418" s="103" t="n">
        <v>1788</v>
      </c>
      <c r="J418" s="103" t="n">
        <v>60</v>
      </c>
      <c r="K418" s="103" t="n">
        <v>0</v>
      </c>
      <c r="L418" s="103" t="s">
        <v>95</v>
      </c>
      <c r="M418" s="103" t="s">
        <v>67</v>
      </c>
      <c r="N418" s="103" t="s">
        <v>78</v>
      </c>
      <c r="O418" s="103" t="n">
        <v>46</v>
      </c>
      <c r="P418" s="103" t="n">
        <v>7.1</v>
      </c>
      <c r="Q418" s="103" t="n">
        <v>4</v>
      </c>
      <c r="R418" s="103" t="s">
        <v>134</v>
      </c>
      <c r="S418" s="103" t="n">
        <v>1848</v>
      </c>
      <c r="T418" s="103" t="n">
        <v>1848</v>
      </c>
      <c r="U418" s="103" t="s">
        <v>1078</v>
      </c>
      <c r="V418" s="103" t="n">
        <v>2025</v>
      </c>
    </row>
    <row r="419" customFormat="false" ht="14.25" hidden="false" customHeight="false" outlineLevel="0" collapsed="false">
      <c r="A419" s="103" t="s">
        <v>1135</v>
      </c>
      <c r="B419" s="103" t="s">
        <v>407</v>
      </c>
      <c r="C419" s="104" t="n">
        <v>45797</v>
      </c>
      <c r="D419" s="103" t="s">
        <v>106</v>
      </c>
      <c r="E419" s="103" t="n">
        <v>20</v>
      </c>
      <c r="F419" s="103" t="s">
        <v>171</v>
      </c>
      <c r="G419" s="103" t="s">
        <v>86</v>
      </c>
      <c r="H419" s="103" t="n">
        <v>3.8</v>
      </c>
      <c r="I419" s="103" t="n">
        <v>1427</v>
      </c>
      <c r="J419" s="103" t="n">
        <v>0</v>
      </c>
      <c r="K419" s="103" t="n">
        <v>30</v>
      </c>
      <c r="L419" s="103" t="s">
        <v>96</v>
      </c>
      <c r="M419" s="103" t="s">
        <v>66</v>
      </c>
      <c r="N419" s="103" t="s">
        <v>78</v>
      </c>
      <c r="O419" s="103" t="n">
        <v>64</v>
      </c>
      <c r="P419" s="103" t="n">
        <v>12.1</v>
      </c>
      <c r="Q419" s="103" t="n">
        <v>4</v>
      </c>
      <c r="R419" s="103" t="s">
        <v>132</v>
      </c>
      <c r="S419" s="103" t="n">
        <v>1427</v>
      </c>
      <c r="T419" s="103" t="n">
        <v>1397</v>
      </c>
      <c r="U419" s="103" t="s">
        <v>1078</v>
      </c>
      <c r="V419" s="103" t="n">
        <v>2025</v>
      </c>
    </row>
    <row r="420" customFormat="false" ht="14.25" hidden="false" customHeight="false" outlineLevel="0" collapsed="false">
      <c r="A420" s="103" t="s">
        <v>1136</v>
      </c>
      <c r="B420" s="103" t="s">
        <v>408</v>
      </c>
      <c r="C420" s="104" t="n">
        <v>45797</v>
      </c>
      <c r="D420" s="103" t="s">
        <v>100</v>
      </c>
      <c r="E420" s="103" t="n">
        <v>42</v>
      </c>
      <c r="F420" s="103" t="s">
        <v>170</v>
      </c>
      <c r="G420" s="103" t="s">
        <v>81</v>
      </c>
      <c r="H420" s="103" t="n">
        <v>2.8</v>
      </c>
      <c r="I420" s="103" t="n">
        <v>499</v>
      </c>
      <c r="J420" s="103" t="n">
        <v>0</v>
      </c>
      <c r="K420" s="103" t="n">
        <v>30</v>
      </c>
      <c r="L420" s="103" t="s">
        <v>93</v>
      </c>
      <c r="M420" s="103" t="s">
        <v>65</v>
      </c>
      <c r="N420" s="103" t="s">
        <v>77</v>
      </c>
      <c r="O420" s="103" t="n">
        <v>52</v>
      </c>
      <c r="P420" s="103" t="n">
        <v>11.7</v>
      </c>
      <c r="Q420" s="103" t="n">
        <v>4</v>
      </c>
      <c r="R420" s="103" t="s">
        <v>142</v>
      </c>
      <c r="S420" s="103" t="n">
        <v>499</v>
      </c>
      <c r="T420" s="103" t="n">
        <v>469</v>
      </c>
      <c r="U420" s="103" t="s">
        <v>1078</v>
      </c>
      <c r="V420" s="103" t="n">
        <v>2025</v>
      </c>
    </row>
    <row r="421" customFormat="false" ht="14.25" hidden="false" customHeight="false" outlineLevel="0" collapsed="false">
      <c r="A421" s="103" t="s">
        <v>1137</v>
      </c>
      <c r="B421" s="103" t="s">
        <v>409</v>
      </c>
      <c r="C421" s="104" t="n">
        <v>45797</v>
      </c>
      <c r="D421" s="103" t="s">
        <v>105</v>
      </c>
      <c r="E421" s="103" t="n">
        <v>51</v>
      </c>
      <c r="F421" s="103" t="s">
        <v>170</v>
      </c>
      <c r="G421" s="103" t="s">
        <v>88</v>
      </c>
      <c r="H421" s="103" t="n">
        <v>4.7</v>
      </c>
      <c r="I421" s="103" t="n">
        <v>416</v>
      </c>
      <c r="J421" s="103" t="n">
        <v>0</v>
      </c>
      <c r="K421" s="103" t="n">
        <v>0</v>
      </c>
      <c r="L421" s="103" t="s">
        <v>96</v>
      </c>
      <c r="M421" s="103" t="s">
        <v>67</v>
      </c>
      <c r="N421" s="103" t="s">
        <v>77</v>
      </c>
      <c r="O421" s="103" t="n">
        <v>69</v>
      </c>
      <c r="P421" s="103" t="n">
        <v>13.8</v>
      </c>
      <c r="Q421" s="103" t="n">
        <v>2</v>
      </c>
      <c r="R421" s="103" t="s">
        <v>131</v>
      </c>
      <c r="S421" s="103" t="n">
        <v>416</v>
      </c>
      <c r="T421" s="103" t="n">
        <v>416</v>
      </c>
      <c r="U421" s="103" t="s">
        <v>1078</v>
      </c>
      <c r="V421" s="103" t="n">
        <v>2025</v>
      </c>
    </row>
    <row r="422" customFormat="false" ht="14.25" hidden="false" customHeight="false" outlineLevel="0" collapsed="false">
      <c r="A422" s="103" t="s">
        <v>1138</v>
      </c>
      <c r="B422" s="103" t="s">
        <v>410</v>
      </c>
      <c r="C422" s="104" t="n">
        <v>45798</v>
      </c>
      <c r="D422" s="103" t="s">
        <v>101</v>
      </c>
      <c r="E422" s="103" t="n">
        <v>29</v>
      </c>
      <c r="F422" s="103" t="s">
        <v>171</v>
      </c>
      <c r="G422" s="103" t="s">
        <v>81</v>
      </c>
      <c r="H422" s="103" t="n">
        <v>3.2</v>
      </c>
      <c r="I422" s="103" t="n">
        <v>1575</v>
      </c>
      <c r="J422" s="103" t="n">
        <v>0</v>
      </c>
      <c r="K422" s="103" t="n">
        <v>10</v>
      </c>
      <c r="L422" s="103" t="s">
        <v>94</v>
      </c>
      <c r="M422" s="103" t="s">
        <v>65</v>
      </c>
      <c r="N422" s="103" t="s">
        <v>77</v>
      </c>
      <c r="O422" s="103" t="n">
        <v>42</v>
      </c>
      <c r="P422" s="103" t="n">
        <v>8.2</v>
      </c>
      <c r="Q422" s="103" t="n">
        <v>2</v>
      </c>
      <c r="R422" s="103" t="s">
        <v>135</v>
      </c>
      <c r="S422" s="103" t="n">
        <v>1575</v>
      </c>
      <c r="T422" s="103" t="n">
        <v>1565</v>
      </c>
      <c r="U422" s="103" t="s">
        <v>1078</v>
      </c>
      <c r="V422" s="103" t="n">
        <v>2025</v>
      </c>
    </row>
    <row r="423" customFormat="false" ht="14.25" hidden="false" customHeight="false" outlineLevel="0" collapsed="false">
      <c r="A423" s="103" t="s">
        <v>1139</v>
      </c>
      <c r="B423" s="103" t="s">
        <v>411</v>
      </c>
      <c r="C423" s="104" t="n">
        <v>45798</v>
      </c>
      <c r="D423" s="103" t="s">
        <v>102</v>
      </c>
      <c r="E423" s="103" t="n">
        <v>59</v>
      </c>
      <c r="F423" s="103" t="s">
        <v>170</v>
      </c>
      <c r="G423" s="103" t="s">
        <v>89</v>
      </c>
      <c r="H423" s="103" t="n">
        <v>2.9</v>
      </c>
      <c r="I423" s="103" t="n">
        <v>866</v>
      </c>
      <c r="J423" s="103" t="n">
        <v>30</v>
      </c>
      <c r="K423" s="103" t="n">
        <v>0</v>
      </c>
      <c r="L423" s="103" t="s">
        <v>93</v>
      </c>
      <c r="M423" s="103" t="s">
        <v>67</v>
      </c>
      <c r="N423" s="103" t="s">
        <v>77</v>
      </c>
      <c r="O423" s="103" t="n">
        <v>24</v>
      </c>
      <c r="P423" s="103" t="n">
        <v>2</v>
      </c>
      <c r="Q423" s="103" t="n">
        <v>5</v>
      </c>
      <c r="R423" s="103" t="s">
        <v>142</v>
      </c>
      <c r="S423" s="103" t="n">
        <v>896</v>
      </c>
      <c r="T423" s="103" t="n">
        <v>896</v>
      </c>
      <c r="U423" s="103" t="s">
        <v>1078</v>
      </c>
      <c r="V423" s="103" t="n">
        <v>2025</v>
      </c>
    </row>
    <row r="424" customFormat="false" ht="14.25" hidden="false" customHeight="false" outlineLevel="0" collapsed="false">
      <c r="A424" s="103" t="s">
        <v>1140</v>
      </c>
      <c r="B424" s="103" t="s">
        <v>412</v>
      </c>
      <c r="C424" s="104" t="n">
        <v>45798</v>
      </c>
      <c r="D424" s="103" t="s">
        <v>108</v>
      </c>
      <c r="E424" s="103" t="n">
        <v>26</v>
      </c>
      <c r="F424" s="103" t="s">
        <v>170</v>
      </c>
      <c r="G424" s="103" t="s">
        <v>84</v>
      </c>
      <c r="H424" s="103" t="n">
        <v>4.2</v>
      </c>
      <c r="I424" s="103" t="n">
        <v>350</v>
      </c>
      <c r="J424" s="103" t="n">
        <v>60</v>
      </c>
      <c r="K424" s="103" t="n">
        <v>75</v>
      </c>
      <c r="L424" s="103" t="s">
        <v>96</v>
      </c>
      <c r="M424" s="103" t="s">
        <v>65</v>
      </c>
      <c r="N424" s="103" t="s">
        <v>77</v>
      </c>
      <c r="O424" s="103" t="n">
        <v>36</v>
      </c>
      <c r="P424" s="103" t="n">
        <v>9</v>
      </c>
      <c r="Q424" s="103" t="n">
        <v>4</v>
      </c>
      <c r="R424" s="103" t="s">
        <v>132</v>
      </c>
      <c r="S424" s="103" t="n">
        <v>410</v>
      </c>
      <c r="T424" s="103" t="n">
        <v>335</v>
      </c>
      <c r="U424" s="103" t="s">
        <v>1078</v>
      </c>
      <c r="V424" s="103" t="n">
        <v>2025</v>
      </c>
    </row>
    <row r="425" customFormat="false" ht="14.25" hidden="false" customHeight="false" outlineLevel="0" collapsed="false">
      <c r="A425" s="103" t="s">
        <v>1141</v>
      </c>
      <c r="B425" s="103" t="s">
        <v>413</v>
      </c>
      <c r="C425" s="104" t="n">
        <v>45799</v>
      </c>
      <c r="D425" s="103" t="s">
        <v>101</v>
      </c>
      <c r="E425" s="103" t="n">
        <v>32</v>
      </c>
      <c r="F425" s="103" t="s">
        <v>171</v>
      </c>
      <c r="G425" s="103" t="s">
        <v>86</v>
      </c>
      <c r="H425" s="103" t="n">
        <v>2.6</v>
      </c>
      <c r="I425" s="103" t="n">
        <v>1569</v>
      </c>
      <c r="J425" s="103" t="n">
        <v>20</v>
      </c>
      <c r="K425" s="103" t="n">
        <v>20</v>
      </c>
      <c r="L425" s="103" t="s">
        <v>96</v>
      </c>
      <c r="M425" s="103" t="s">
        <v>65</v>
      </c>
      <c r="N425" s="103" t="s">
        <v>77</v>
      </c>
      <c r="O425" s="103" t="n">
        <v>69</v>
      </c>
      <c r="P425" s="103" t="n">
        <v>11.8</v>
      </c>
      <c r="Q425" s="103" t="n">
        <v>4</v>
      </c>
      <c r="R425" s="103" t="s">
        <v>136</v>
      </c>
      <c r="S425" s="103" t="n">
        <v>1589</v>
      </c>
      <c r="T425" s="103" t="n">
        <v>1569</v>
      </c>
      <c r="U425" s="103" t="s">
        <v>1078</v>
      </c>
      <c r="V425" s="103" t="n">
        <v>2025</v>
      </c>
    </row>
    <row r="426" customFormat="false" ht="14.25" hidden="false" customHeight="false" outlineLevel="0" collapsed="false">
      <c r="A426" s="103" t="s">
        <v>1142</v>
      </c>
      <c r="B426" s="103" t="s">
        <v>414</v>
      </c>
      <c r="C426" s="104" t="n">
        <v>45799</v>
      </c>
      <c r="D426" s="103" t="s">
        <v>110</v>
      </c>
      <c r="E426" s="103" t="n">
        <v>57</v>
      </c>
      <c r="F426" s="103" t="s">
        <v>170</v>
      </c>
      <c r="G426" s="103" t="s">
        <v>82</v>
      </c>
      <c r="H426" s="103" t="n">
        <v>4</v>
      </c>
      <c r="I426" s="103" t="n">
        <v>1491</v>
      </c>
      <c r="J426" s="103" t="n">
        <v>20</v>
      </c>
      <c r="K426" s="103" t="n">
        <v>100</v>
      </c>
      <c r="L426" s="103" t="s">
        <v>96</v>
      </c>
      <c r="M426" s="103" t="s">
        <v>65</v>
      </c>
      <c r="N426" s="103" t="s">
        <v>77</v>
      </c>
      <c r="O426" s="103" t="n">
        <v>31</v>
      </c>
      <c r="P426" s="103" t="n">
        <v>1.9</v>
      </c>
      <c r="Q426" s="103" t="n">
        <v>5</v>
      </c>
      <c r="R426" s="103" t="s">
        <v>133</v>
      </c>
      <c r="S426" s="103" t="n">
        <v>1511</v>
      </c>
      <c r="T426" s="103" t="n">
        <v>1411</v>
      </c>
      <c r="U426" s="103" t="s">
        <v>1078</v>
      </c>
      <c r="V426" s="103" t="n">
        <v>2025</v>
      </c>
    </row>
    <row r="427" customFormat="false" ht="14.25" hidden="false" customHeight="false" outlineLevel="0" collapsed="false">
      <c r="A427" s="103" t="s">
        <v>1143</v>
      </c>
      <c r="B427" s="103" t="s">
        <v>415</v>
      </c>
      <c r="C427" s="104" t="n">
        <v>45799</v>
      </c>
      <c r="D427" s="103" t="s">
        <v>110</v>
      </c>
      <c r="E427" s="103" t="n">
        <v>42</v>
      </c>
      <c r="F427" s="103" t="s">
        <v>170</v>
      </c>
      <c r="G427" s="103" t="s">
        <v>86</v>
      </c>
      <c r="H427" s="103" t="n">
        <v>4.2</v>
      </c>
      <c r="I427" s="103" t="n">
        <v>1773</v>
      </c>
      <c r="J427" s="103" t="n">
        <v>40</v>
      </c>
      <c r="K427" s="103" t="n">
        <v>50</v>
      </c>
      <c r="L427" s="103" t="s">
        <v>93</v>
      </c>
      <c r="M427" s="103" t="s">
        <v>65</v>
      </c>
      <c r="N427" s="103" t="s">
        <v>77</v>
      </c>
      <c r="O427" s="103" t="n">
        <v>36</v>
      </c>
      <c r="P427" s="103" t="n">
        <v>3</v>
      </c>
      <c r="Q427" s="103" t="n">
        <v>5</v>
      </c>
      <c r="R427" s="103" t="s">
        <v>142</v>
      </c>
      <c r="S427" s="103" t="n">
        <v>1813</v>
      </c>
      <c r="T427" s="103" t="n">
        <v>1763</v>
      </c>
      <c r="U427" s="103" t="s">
        <v>1078</v>
      </c>
      <c r="V427" s="103" t="n">
        <v>2025</v>
      </c>
    </row>
    <row r="428" customFormat="false" ht="14.25" hidden="false" customHeight="false" outlineLevel="0" collapsed="false">
      <c r="A428" s="103" t="s">
        <v>1144</v>
      </c>
      <c r="B428" s="103" t="s">
        <v>416</v>
      </c>
      <c r="C428" s="104" t="n">
        <v>45800</v>
      </c>
      <c r="D428" s="103" t="s">
        <v>108</v>
      </c>
      <c r="E428" s="103" t="n">
        <v>22</v>
      </c>
      <c r="F428" s="103" t="s">
        <v>171</v>
      </c>
      <c r="G428" s="103" t="s">
        <v>85</v>
      </c>
      <c r="H428" s="103" t="n">
        <v>3</v>
      </c>
      <c r="I428" s="103" t="n">
        <v>1648</v>
      </c>
      <c r="J428" s="103" t="n">
        <v>30</v>
      </c>
      <c r="K428" s="103" t="n">
        <v>200</v>
      </c>
      <c r="L428" s="103" t="s">
        <v>97</v>
      </c>
      <c r="M428" s="103" t="s">
        <v>65</v>
      </c>
      <c r="N428" s="103" t="s">
        <v>77</v>
      </c>
      <c r="O428" s="103" t="n">
        <v>57</v>
      </c>
      <c r="P428" s="103" t="n">
        <v>0.7</v>
      </c>
      <c r="Q428" s="103" t="n">
        <v>4</v>
      </c>
      <c r="R428" s="103" t="s">
        <v>141</v>
      </c>
      <c r="S428" s="103" t="n">
        <v>1678</v>
      </c>
      <c r="T428" s="103" t="n">
        <v>1478</v>
      </c>
      <c r="U428" s="103" t="s">
        <v>1078</v>
      </c>
      <c r="V428" s="103" t="n">
        <v>2025</v>
      </c>
    </row>
    <row r="429" customFormat="false" ht="14.25" hidden="false" customHeight="false" outlineLevel="0" collapsed="false">
      <c r="A429" s="103" t="s">
        <v>1145</v>
      </c>
      <c r="B429" s="103" t="s">
        <v>417</v>
      </c>
      <c r="C429" s="104" t="n">
        <v>45800</v>
      </c>
      <c r="D429" s="103" t="s">
        <v>107</v>
      </c>
      <c r="E429" s="103" t="n">
        <v>28</v>
      </c>
      <c r="F429" s="103" t="s">
        <v>172</v>
      </c>
      <c r="G429" s="103" t="s">
        <v>88</v>
      </c>
      <c r="H429" s="103" t="n">
        <v>2.6</v>
      </c>
      <c r="I429" s="103" t="n">
        <v>1551</v>
      </c>
      <c r="J429" s="103" t="n">
        <v>0</v>
      </c>
      <c r="K429" s="103" t="n">
        <v>100</v>
      </c>
      <c r="L429" s="103" t="s">
        <v>97</v>
      </c>
      <c r="M429" s="103" t="s">
        <v>65</v>
      </c>
      <c r="N429" s="103" t="s">
        <v>77</v>
      </c>
      <c r="O429" s="103" t="n">
        <v>33</v>
      </c>
      <c r="P429" s="103" t="n">
        <v>9.1</v>
      </c>
      <c r="Q429" s="103" t="n">
        <v>5</v>
      </c>
      <c r="R429" s="103" t="s">
        <v>141</v>
      </c>
      <c r="S429" s="103" t="n">
        <v>1551</v>
      </c>
      <c r="T429" s="103" t="n">
        <v>1451</v>
      </c>
      <c r="U429" s="103" t="s">
        <v>1078</v>
      </c>
      <c r="V429" s="103" t="n">
        <v>2025</v>
      </c>
    </row>
    <row r="430" customFormat="false" ht="14.25" hidden="false" customHeight="false" outlineLevel="0" collapsed="false">
      <c r="A430" s="103" t="s">
        <v>1146</v>
      </c>
      <c r="B430" s="103" t="s">
        <v>418</v>
      </c>
      <c r="C430" s="104" t="n">
        <v>45800</v>
      </c>
      <c r="D430" s="103" t="s">
        <v>102</v>
      </c>
      <c r="E430" s="103" t="n">
        <v>51</v>
      </c>
      <c r="F430" s="103" t="s">
        <v>171</v>
      </c>
      <c r="G430" s="103" t="s">
        <v>81</v>
      </c>
      <c r="H430" s="103" t="n">
        <v>3.4</v>
      </c>
      <c r="I430" s="103" t="n">
        <v>208</v>
      </c>
      <c r="J430" s="103" t="n">
        <v>0</v>
      </c>
      <c r="K430" s="103" t="n">
        <v>30</v>
      </c>
      <c r="L430" s="103" t="s">
        <v>93</v>
      </c>
      <c r="M430" s="103" t="s">
        <v>65</v>
      </c>
      <c r="N430" s="103" t="s">
        <v>78</v>
      </c>
      <c r="O430" s="103" t="n">
        <v>31</v>
      </c>
      <c r="P430" s="103" t="n">
        <v>13.4</v>
      </c>
      <c r="Q430" s="103" t="n">
        <v>5</v>
      </c>
      <c r="R430" s="103" t="s">
        <v>140</v>
      </c>
      <c r="S430" s="103" t="n">
        <v>208</v>
      </c>
      <c r="T430" s="103" t="n">
        <v>178</v>
      </c>
      <c r="U430" s="103" t="s">
        <v>1078</v>
      </c>
      <c r="V430" s="103" t="n">
        <v>2025</v>
      </c>
    </row>
    <row r="431" customFormat="false" ht="14.25" hidden="false" customHeight="false" outlineLevel="0" collapsed="false">
      <c r="A431" s="103" t="s">
        <v>1147</v>
      </c>
      <c r="B431" s="103" t="s">
        <v>419</v>
      </c>
      <c r="C431" s="104" t="n">
        <v>45801</v>
      </c>
      <c r="D431" s="103" t="s">
        <v>109</v>
      </c>
      <c r="E431" s="103" t="n">
        <v>41</v>
      </c>
      <c r="F431" s="103" t="s">
        <v>171</v>
      </c>
      <c r="G431" s="103" t="s">
        <v>88</v>
      </c>
      <c r="H431" s="103" t="n">
        <v>2.7</v>
      </c>
      <c r="I431" s="103" t="n">
        <v>295</v>
      </c>
      <c r="J431" s="103" t="n">
        <v>50</v>
      </c>
      <c r="K431" s="103" t="n">
        <v>50</v>
      </c>
      <c r="L431" s="103" t="s">
        <v>93</v>
      </c>
      <c r="M431" s="103" t="s">
        <v>67</v>
      </c>
      <c r="N431" s="103" t="s">
        <v>78</v>
      </c>
      <c r="O431" s="103" t="n">
        <v>38</v>
      </c>
      <c r="P431" s="103" t="n">
        <v>10.2</v>
      </c>
      <c r="Q431" s="103" t="n">
        <v>5</v>
      </c>
      <c r="R431" s="103" t="s">
        <v>142</v>
      </c>
      <c r="S431" s="103" t="n">
        <v>345</v>
      </c>
      <c r="T431" s="103" t="n">
        <v>295</v>
      </c>
      <c r="U431" s="103" t="s">
        <v>1078</v>
      </c>
      <c r="V431" s="103" t="n">
        <v>2025</v>
      </c>
    </row>
    <row r="432" customFormat="false" ht="14.25" hidden="false" customHeight="false" outlineLevel="0" collapsed="false">
      <c r="A432" s="103" t="s">
        <v>1148</v>
      </c>
      <c r="B432" s="103" t="s">
        <v>420</v>
      </c>
      <c r="C432" s="104" t="n">
        <v>45801</v>
      </c>
      <c r="D432" s="103" t="s">
        <v>104</v>
      </c>
      <c r="E432" s="103" t="n">
        <v>32</v>
      </c>
      <c r="F432" s="103" t="s">
        <v>171</v>
      </c>
      <c r="G432" s="103" t="s">
        <v>89</v>
      </c>
      <c r="H432" s="103" t="n">
        <v>2.8</v>
      </c>
      <c r="I432" s="103" t="n">
        <v>1076</v>
      </c>
      <c r="J432" s="103" t="n">
        <v>50</v>
      </c>
      <c r="K432" s="103" t="n">
        <v>50</v>
      </c>
      <c r="L432" s="103" t="s">
        <v>93</v>
      </c>
      <c r="M432" s="103" t="s">
        <v>67</v>
      </c>
      <c r="N432" s="103" t="s">
        <v>77</v>
      </c>
      <c r="O432" s="103" t="n">
        <v>50</v>
      </c>
      <c r="P432" s="103" t="n">
        <v>14.7</v>
      </c>
      <c r="Q432" s="103" t="n">
        <v>4</v>
      </c>
      <c r="R432" s="103" t="s">
        <v>138</v>
      </c>
      <c r="S432" s="103" t="n">
        <v>1126</v>
      </c>
      <c r="T432" s="103" t="n">
        <v>1076</v>
      </c>
      <c r="U432" s="103" t="s">
        <v>1078</v>
      </c>
      <c r="V432" s="103" t="n">
        <v>2025</v>
      </c>
    </row>
    <row r="433" customFormat="false" ht="14.25" hidden="false" customHeight="false" outlineLevel="0" collapsed="false">
      <c r="A433" s="103" t="s">
        <v>1149</v>
      </c>
      <c r="B433" s="103" t="s">
        <v>421</v>
      </c>
      <c r="C433" s="104" t="n">
        <v>45801</v>
      </c>
      <c r="D433" s="103" t="s">
        <v>107</v>
      </c>
      <c r="E433" s="103" t="n">
        <v>55</v>
      </c>
      <c r="F433" s="103" t="s">
        <v>170</v>
      </c>
      <c r="G433" s="103" t="s">
        <v>86</v>
      </c>
      <c r="H433" s="103" t="n">
        <v>3.1</v>
      </c>
      <c r="I433" s="103" t="n">
        <v>1013</v>
      </c>
      <c r="J433" s="103" t="n">
        <v>40</v>
      </c>
      <c r="K433" s="103" t="n">
        <v>50</v>
      </c>
      <c r="L433" s="103" t="s">
        <v>97</v>
      </c>
      <c r="M433" s="103" t="s">
        <v>65</v>
      </c>
      <c r="N433" s="103" t="s">
        <v>77</v>
      </c>
      <c r="O433" s="103" t="n">
        <v>46</v>
      </c>
      <c r="P433" s="103" t="n">
        <v>1.4</v>
      </c>
      <c r="Q433" s="103" t="n">
        <v>5</v>
      </c>
      <c r="R433" s="103" t="s">
        <v>131</v>
      </c>
      <c r="S433" s="103" t="n">
        <v>1053</v>
      </c>
      <c r="T433" s="103" t="n">
        <v>1003</v>
      </c>
      <c r="U433" s="103" t="s">
        <v>1078</v>
      </c>
      <c r="V433" s="103" t="n">
        <v>2025</v>
      </c>
    </row>
    <row r="434" customFormat="false" ht="14.25" hidden="false" customHeight="false" outlineLevel="0" collapsed="false">
      <c r="A434" s="103" t="s">
        <v>1150</v>
      </c>
      <c r="B434" s="103" t="s">
        <v>422</v>
      </c>
      <c r="C434" s="104" t="n">
        <v>45802</v>
      </c>
      <c r="D434" s="103" t="s">
        <v>104</v>
      </c>
      <c r="E434" s="103" t="n">
        <v>25</v>
      </c>
      <c r="F434" s="103" t="s">
        <v>170</v>
      </c>
      <c r="G434" s="103" t="s">
        <v>87</v>
      </c>
      <c r="H434" s="103" t="n">
        <v>3.2</v>
      </c>
      <c r="I434" s="103" t="n">
        <v>889</v>
      </c>
      <c r="J434" s="103" t="n">
        <v>0</v>
      </c>
      <c r="K434" s="103" t="n">
        <v>200</v>
      </c>
      <c r="L434" s="103" t="s">
        <v>94</v>
      </c>
      <c r="M434" s="103" t="s">
        <v>65</v>
      </c>
      <c r="N434" s="103" t="s">
        <v>78</v>
      </c>
      <c r="O434" s="103" t="n">
        <v>70</v>
      </c>
      <c r="P434" s="103" t="n">
        <v>13.6</v>
      </c>
      <c r="Q434" s="103" t="n">
        <v>3</v>
      </c>
      <c r="R434" s="103" t="s">
        <v>140</v>
      </c>
      <c r="S434" s="103" t="n">
        <v>889</v>
      </c>
      <c r="T434" s="103" t="n">
        <v>689</v>
      </c>
      <c r="U434" s="103" t="s">
        <v>1078</v>
      </c>
      <c r="V434" s="103" t="n">
        <v>2025</v>
      </c>
    </row>
    <row r="435" customFormat="false" ht="14.25" hidden="false" customHeight="false" outlineLevel="0" collapsed="false">
      <c r="A435" s="103" t="s">
        <v>1151</v>
      </c>
      <c r="B435" s="103" t="s">
        <v>423</v>
      </c>
      <c r="C435" s="104" t="n">
        <v>45802</v>
      </c>
      <c r="D435" s="103" t="s">
        <v>104</v>
      </c>
      <c r="E435" s="103" t="n">
        <v>22</v>
      </c>
      <c r="F435" s="103" t="s">
        <v>171</v>
      </c>
      <c r="G435" s="103" t="s">
        <v>86</v>
      </c>
      <c r="H435" s="103" t="n">
        <v>3.8</v>
      </c>
      <c r="I435" s="103" t="n">
        <v>787</v>
      </c>
      <c r="J435" s="103" t="n">
        <v>40</v>
      </c>
      <c r="K435" s="103" t="n">
        <v>20</v>
      </c>
      <c r="L435" s="103" t="s">
        <v>93</v>
      </c>
      <c r="M435" s="103" t="s">
        <v>65</v>
      </c>
      <c r="N435" s="103" t="s">
        <v>78</v>
      </c>
      <c r="O435" s="103" t="n">
        <v>60</v>
      </c>
      <c r="P435" s="103" t="n">
        <v>12.3</v>
      </c>
      <c r="Q435" s="103" t="n">
        <v>5</v>
      </c>
      <c r="R435" s="103" t="s">
        <v>139</v>
      </c>
      <c r="S435" s="103" t="n">
        <v>827</v>
      </c>
      <c r="T435" s="103" t="n">
        <v>807</v>
      </c>
      <c r="U435" s="103" t="s">
        <v>1078</v>
      </c>
      <c r="V435" s="103" t="n">
        <v>2025</v>
      </c>
    </row>
    <row r="436" customFormat="false" ht="14.25" hidden="false" customHeight="false" outlineLevel="0" collapsed="false">
      <c r="A436" s="103" t="s">
        <v>1152</v>
      </c>
      <c r="B436" s="103" t="s">
        <v>424</v>
      </c>
      <c r="C436" s="104" t="n">
        <v>45802</v>
      </c>
      <c r="D436" s="103" t="s">
        <v>107</v>
      </c>
      <c r="E436" s="103" t="n">
        <v>43</v>
      </c>
      <c r="F436" s="103" t="s">
        <v>171</v>
      </c>
      <c r="G436" s="103" t="s">
        <v>82</v>
      </c>
      <c r="H436" s="103" t="n">
        <v>4.2</v>
      </c>
      <c r="I436" s="103" t="n">
        <v>844</v>
      </c>
      <c r="J436" s="103" t="n">
        <v>30</v>
      </c>
      <c r="K436" s="103" t="n">
        <v>75</v>
      </c>
      <c r="L436" s="103" t="s">
        <v>93</v>
      </c>
      <c r="M436" s="103" t="s">
        <v>65</v>
      </c>
      <c r="N436" s="103" t="s">
        <v>77</v>
      </c>
      <c r="O436" s="103" t="n">
        <v>66</v>
      </c>
      <c r="P436" s="103" t="n">
        <v>5.1</v>
      </c>
      <c r="Q436" s="103" t="n">
        <v>5</v>
      </c>
      <c r="R436" s="103" t="s">
        <v>134</v>
      </c>
      <c r="S436" s="103" t="n">
        <v>874</v>
      </c>
      <c r="T436" s="103" t="n">
        <v>799</v>
      </c>
      <c r="U436" s="103" t="s">
        <v>1078</v>
      </c>
      <c r="V436" s="103" t="n">
        <v>2025</v>
      </c>
    </row>
    <row r="437" customFormat="false" ht="14.25" hidden="false" customHeight="false" outlineLevel="0" collapsed="false">
      <c r="A437" s="103" t="s">
        <v>1153</v>
      </c>
      <c r="B437" s="103" t="s">
        <v>425</v>
      </c>
      <c r="C437" s="104" t="n">
        <v>45803</v>
      </c>
      <c r="D437" s="103" t="s">
        <v>100</v>
      </c>
      <c r="E437" s="103" t="n">
        <v>35</v>
      </c>
      <c r="F437" s="103" t="s">
        <v>170</v>
      </c>
      <c r="G437" s="103" t="s">
        <v>86</v>
      </c>
      <c r="H437" s="103" t="n">
        <v>4</v>
      </c>
      <c r="I437" s="103" t="n">
        <v>1076</v>
      </c>
      <c r="J437" s="103" t="n">
        <v>20</v>
      </c>
      <c r="K437" s="103" t="n">
        <v>150</v>
      </c>
      <c r="L437" s="103" t="s">
        <v>93</v>
      </c>
      <c r="M437" s="103" t="s">
        <v>65</v>
      </c>
      <c r="N437" s="103" t="s">
        <v>77</v>
      </c>
      <c r="O437" s="103" t="n">
        <v>50</v>
      </c>
      <c r="P437" s="103" t="n">
        <v>14.6</v>
      </c>
      <c r="Q437" s="103" t="n">
        <v>4</v>
      </c>
      <c r="R437" s="103" t="s">
        <v>137</v>
      </c>
      <c r="S437" s="103" t="n">
        <v>1096</v>
      </c>
      <c r="T437" s="103" t="n">
        <v>946</v>
      </c>
      <c r="U437" s="103" t="s">
        <v>1078</v>
      </c>
      <c r="V437" s="103" t="n">
        <v>2025</v>
      </c>
    </row>
    <row r="438" customFormat="false" ht="14.25" hidden="false" customHeight="false" outlineLevel="0" collapsed="false">
      <c r="A438" s="103" t="s">
        <v>1154</v>
      </c>
      <c r="B438" s="103" t="s">
        <v>426</v>
      </c>
      <c r="C438" s="104" t="n">
        <v>45803</v>
      </c>
      <c r="D438" s="103" t="s">
        <v>106</v>
      </c>
      <c r="E438" s="103" t="n">
        <v>23</v>
      </c>
      <c r="F438" s="103" t="s">
        <v>171</v>
      </c>
      <c r="G438" s="103" t="s">
        <v>83</v>
      </c>
      <c r="H438" s="103" t="n">
        <v>2.9</v>
      </c>
      <c r="I438" s="103" t="n">
        <v>123</v>
      </c>
      <c r="J438" s="103" t="n">
        <v>0</v>
      </c>
      <c r="K438" s="103" t="n">
        <v>200</v>
      </c>
      <c r="L438" s="103" t="s">
        <v>95</v>
      </c>
      <c r="M438" s="103" t="s">
        <v>65</v>
      </c>
      <c r="N438" s="103" t="s">
        <v>78</v>
      </c>
      <c r="O438" s="103" t="n">
        <v>42</v>
      </c>
      <c r="P438" s="103" t="n">
        <v>4.7</v>
      </c>
      <c r="Q438" s="103" t="n">
        <v>5</v>
      </c>
      <c r="R438" s="103" t="s">
        <v>141</v>
      </c>
      <c r="S438" s="103" t="n">
        <v>123</v>
      </c>
      <c r="T438" s="103" t="n">
        <v>0</v>
      </c>
      <c r="U438" s="103" t="s">
        <v>1078</v>
      </c>
      <c r="V438" s="103" t="n">
        <v>2025</v>
      </c>
    </row>
    <row r="439" customFormat="false" ht="14.25" hidden="false" customHeight="false" outlineLevel="0" collapsed="false">
      <c r="A439" s="103" t="s">
        <v>1155</v>
      </c>
      <c r="B439" s="103" t="s">
        <v>427</v>
      </c>
      <c r="C439" s="104" t="n">
        <v>45803</v>
      </c>
      <c r="D439" s="103" t="s">
        <v>104</v>
      </c>
      <c r="E439" s="103" t="n">
        <v>54</v>
      </c>
      <c r="F439" s="103" t="s">
        <v>170</v>
      </c>
      <c r="G439" s="103" t="s">
        <v>89</v>
      </c>
      <c r="H439" s="103" t="n">
        <v>2.9</v>
      </c>
      <c r="I439" s="103" t="n">
        <v>558</v>
      </c>
      <c r="J439" s="103" t="n">
        <v>60</v>
      </c>
      <c r="K439" s="103" t="n">
        <v>100</v>
      </c>
      <c r="L439" s="103" t="s">
        <v>93</v>
      </c>
      <c r="M439" s="103" t="s">
        <v>67</v>
      </c>
      <c r="N439" s="103" t="s">
        <v>77</v>
      </c>
      <c r="O439" s="103" t="n">
        <v>28</v>
      </c>
      <c r="P439" s="103" t="n">
        <v>13.4</v>
      </c>
      <c r="Q439" s="103" t="n">
        <v>4</v>
      </c>
      <c r="R439" s="103" t="s">
        <v>131</v>
      </c>
      <c r="S439" s="103" t="n">
        <v>618</v>
      </c>
      <c r="T439" s="103" t="n">
        <v>518</v>
      </c>
      <c r="U439" s="103" t="s">
        <v>1078</v>
      </c>
      <c r="V439" s="103" t="n">
        <v>2025</v>
      </c>
    </row>
    <row r="440" customFormat="false" ht="14.25" hidden="false" customHeight="false" outlineLevel="0" collapsed="false">
      <c r="A440" s="103" t="s">
        <v>1156</v>
      </c>
      <c r="B440" s="103" t="s">
        <v>428</v>
      </c>
      <c r="C440" s="104" t="n">
        <v>45804</v>
      </c>
      <c r="D440" s="103" t="s">
        <v>107</v>
      </c>
      <c r="E440" s="103" t="n">
        <v>30</v>
      </c>
      <c r="F440" s="103" t="s">
        <v>170</v>
      </c>
      <c r="G440" s="103" t="s">
        <v>90</v>
      </c>
      <c r="H440" s="103" t="n">
        <v>4.7</v>
      </c>
      <c r="I440" s="103" t="n">
        <v>991</v>
      </c>
      <c r="J440" s="103" t="n">
        <v>30</v>
      </c>
      <c r="K440" s="103" t="n">
        <v>20</v>
      </c>
      <c r="L440" s="103" t="s">
        <v>97</v>
      </c>
      <c r="M440" s="103" t="s">
        <v>66</v>
      </c>
      <c r="N440" s="103" t="s">
        <v>77</v>
      </c>
      <c r="O440" s="103" t="n">
        <v>50</v>
      </c>
      <c r="P440" s="103" t="n">
        <v>13.3</v>
      </c>
      <c r="Q440" s="103" t="n">
        <v>5</v>
      </c>
      <c r="R440" s="103" t="s">
        <v>138</v>
      </c>
      <c r="S440" s="103" t="n">
        <v>1021</v>
      </c>
      <c r="T440" s="103" t="n">
        <v>1001</v>
      </c>
      <c r="U440" s="103" t="s">
        <v>1078</v>
      </c>
      <c r="V440" s="103" t="n">
        <v>2025</v>
      </c>
    </row>
    <row r="441" customFormat="false" ht="14.25" hidden="false" customHeight="false" outlineLevel="0" collapsed="false">
      <c r="A441" s="103" t="s">
        <v>1157</v>
      </c>
      <c r="B441" s="103" t="s">
        <v>429</v>
      </c>
      <c r="C441" s="104" t="n">
        <v>45804</v>
      </c>
      <c r="D441" s="103" t="s">
        <v>107</v>
      </c>
      <c r="E441" s="103" t="n">
        <v>45</v>
      </c>
      <c r="F441" s="103" t="s">
        <v>170</v>
      </c>
      <c r="G441" s="103" t="s">
        <v>89</v>
      </c>
      <c r="H441" s="103" t="n">
        <v>3.9</v>
      </c>
      <c r="I441" s="103" t="n">
        <v>1333</v>
      </c>
      <c r="J441" s="103" t="n">
        <v>0</v>
      </c>
      <c r="K441" s="103" t="n">
        <v>0</v>
      </c>
      <c r="L441" s="103" t="s">
        <v>95</v>
      </c>
      <c r="M441" s="103" t="s">
        <v>66</v>
      </c>
      <c r="N441" s="103" t="s">
        <v>77</v>
      </c>
      <c r="O441" s="103" t="n">
        <v>20</v>
      </c>
      <c r="P441" s="103" t="n">
        <v>11.5</v>
      </c>
      <c r="Q441" s="103" t="n">
        <v>5</v>
      </c>
      <c r="R441" s="103" t="s">
        <v>135</v>
      </c>
      <c r="S441" s="103" t="n">
        <v>1333</v>
      </c>
      <c r="T441" s="103" t="n">
        <v>1333</v>
      </c>
      <c r="U441" s="103" t="s">
        <v>1078</v>
      </c>
      <c r="V441" s="103" t="n">
        <v>2025</v>
      </c>
    </row>
    <row r="442" customFormat="false" ht="14.25" hidden="false" customHeight="false" outlineLevel="0" collapsed="false">
      <c r="A442" s="103" t="s">
        <v>1158</v>
      </c>
      <c r="B442" s="103" t="s">
        <v>430</v>
      </c>
      <c r="C442" s="104" t="n">
        <v>45804</v>
      </c>
      <c r="D442" s="103" t="s">
        <v>111</v>
      </c>
      <c r="E442" s="103" t="n">
        <v>22</v>
      </c>
      <c r="F442" s="103" t="s">
        <v>170</v>
      </c>
      <c r="G442" s="103" t="s">
        <v>81</v>
      </c>
      <c r="H442" s="103" t="n">
        <v>4.7</v>
      </c>
      <c r="I442" s="103" t="n">
        <v>413</v>
      </c>
      <c r="J442" s="103" t="n">
        <v>60</v>
      </c>
      <c r="K442" s="103" t="n">
        <v>30</v>
      </c>
      <c r="L442" s="103" t="s">
        <v>95</v>
      </c>
      <c r="M442" s="103" t="s">
        <v>66</v>
      </c>
      <c r="N442" s="103" t="s">
        <v>78</v>
      </c>
      <c r="O442" s="103" t="n">
        <v>23</v>
      </c>
      <c r="P442" s="103" t="n">
        <v>8.7</v>
      </c>
      <c r="Q442" s="103" t="n">
        <v>2</v>
      </c>
      <c r="R442" s="103" t="s">
        <v>131</v>
      </c>
      <c r="S442" s="103" t="n">
        <v>473</v>
      </c>
      <c r="T442" s="103" t="n">
        <v>443</v>
      </c>
      <c r="U442" s="103" t="s">
        <v>1078</v>
      </c>
      <c r="V442" s="103" t="n">
        <v>2025</v>
      </c>
    </row>
    <row r="443" customFormat="false" ht="14.25" hidden="false" customHeight="false" outlineLevel="0" collapsed="false">
      <c r="A443" s="103" t="s">
        <v>1159</v>
      </c>
      <c r="B443" s="103" t="s">
        <v>431</v>
      </c>
      <c r="C443" s="104" t="n">
        <v>45805</v>
      </c>
      <c r="D443" s="103" t="s">
        <v>101</v>
      </c>
      <c r="E443" s="103" t="n">
        <v>30</v>
      </c>
      <c r="F443" s="103" t="s">
        <v>171</v>
      </c>
      <c r="G443" s="103" t="s">
        <v>90</v>
      </c>
      <c r="H443" s="103" t="n">
        <v>3.4</v>
      </c>
      <c r="I443" s="103" t="n">
        <v>1039</v>
      </c>
      <c r="J443" s="103" t="n">
        <v>50</v>
      </c>
      <c r="K443" s="103" t="n">
        <v>75</v>
      </c>
      <c r="L443" s="103" t="s">
        <v>93</v>
      </c>
      <c r="M443" s="103" t="s">
        <v>65</v>
      </c>
      <c r="N443" s="103" t="s">
        <v>78</v>
      </c>
      <c r="O443" s="103" t="n">
        <v>35</v>
      </c>
      <c r="P443" s="103" t="n">
        <v>2.2</v>
      </c>
      <c r="Q443" s="103" t="n">
        <v>5</v>
      </c>
      <c r="R443" s="103" t="s">
        <v>137</v>
      </c>
      <c r="S443" s="103" t="n">
        <v>1089</v>
      </c>
      <c r="T443" s="103" t="n">
        <v>1014</v>
      </c>
      <c r="U443" s="103" t="s">
        <v>1078</v>
      </c>
      <c r="V443" s="103" t="n">
        <v>2025</v>
      </c>
    </row>
    <row r="444" customFormat="false" ht="14.25" hidden="false" customHeight="false" outlineLevel="0" collapsed="false">
      <c r="A444" s="103" t="s">
        <v>1160</v>
      </c>
      <c r="B444" s="103" t="s">
        <v>432</v>
      </c>
      <c r="C444" s="104" t="n">
        <v>45805</v>
      </c>
      <c r="D444" s="103" t="s">
        <v>103</v>
      </c>
      <c r="E444" s="103" t="n">
        <v>34</v>
      </c>
      <c r="F444" s="103" t="s">
        <v>172</v>
      </c>
      <c r="G444" s="103" t="s">
        <v>81</v>
      </c>
      <c r="H444" s="103" t="n">
        <v>4</v>
      </c>
      <c r="I444" s="103" t="n">
        <v>1320</v>
      </c>
      <c r="J444" s="103" t="n">
        <v>40</v>
      </c>
      <c r="K444" s="103" t="n">
        <v>20</v>
      </c>
      <c r="L444" s="103" t="s">
        <v>93</v>
      </c>
      <c r="M444" s="103" t="s">
        <v>65</v>
      </c>
      <c r="N444" s="103" t="s">
        <v>77</v>
      </c>
      <c r="O444" s="103" t="n">
        <v>26</v>
      </c>
      <c r="P444" s="103" t="n">
        <v>8.2</v>
      </c>
      <c r="Q444" s="103" t="n">
        <v>4</v>
      </c>
      <c r="R444" s="103" t="s">
        <v>142</v>
      </c>
      <c r="S444" s="103" t="n">
        <v>1360</v>
      </c>
      <c r="T444" s="103" t="n">
        <v>1340</v>
      </c>
      <c r="U444" s="103" t="s">
        <v>1078</v>
      </c>
      <c r="V444" s="103" t="n">
        <v>2025</v>
      </c>
    </row>
    <row r="445" customFormat="false" ht="14.25" hidden="false" customHeight="false" outlineLevel="0" collapsed="false">
      <c r="A445" s="103" t="s">
        <v>1161</v>
      </c>
      <c r="B445" s="103" t="s">
        <v>433</v>
      </c>
      <c r="C445" s="104" t="n">
        <v>45805</v>
      </c>
      <c r="D445" s="103" t="s">
        <v>100</v>
      </c>
      <c r="E445" s="103" t="n">
        <v>57</v>
      </c>
      <c r="F445" s="103" t="s">
        <v>170</v>
      </c>
      <c r="G445" s="103" t="s">
        <v>81</v>
      </c>
      <c r="H445" s="103" t="n">
        <v>3.8</v>
      </c>
      <c r="I445" s="103" t="n">
        <v>867</v>
      </c>
      <c r="J445" s="103" t="n">
        <v>50</v>
      </c>
      <c r="K445" s="103" t="n">
        <v>0</v>
      </c>
      <c r="L445" s="103" t="s">
        <v>94</v>
      </c>
      <c r="M445" s="103" t="s">
        <v>65</v>
      </c>
      <c r="N445" s="103" t="s">
        <v>77</v>
      </c>
      <c r="O445" s="103" t="n">
        <v>44</v>
      </c>
      <c r="P445" s="103" t="n">
        <v>5.7</v>
      </c>
      <c r="Q445" s="103" t="n">
        <v>1</v>
      </c>
      <c r="R445" s="103" t="s">
        <v>135</v>
      </c>
      <c r="S445" s="103" t="n">
        <v>917</v>
      </c>
      <c r="T445" s="103" t="n">
        <v>917</v>
      </c>
      <c r="U445" s="103" t="s">
        <v>1078</v>
      </c>
      <c r="V445" s="103" t="n">
        <v>2025</v>
      </c>
    </row>
    <row r="446" customFormat="false" ht="14.25" hidden="false" customHeight="false" outlineLevel="0" collapsed="false">
      <c r="A446" s="103" t="s">
        <v>1162</v>
      </c>
      <c r="B446" s="103" t="s">
        <v>434</v>
      </c>
      <c r="C446" s="104" t="n">
        <v>45806</v>
      </c>
      <c r="D446" s="103" t="s">
        <v>105</v>
      </c>
      <c r="E446" s="103" t="n">
        <v>49</v>
      </c>
      <c r="F446" s="103" t="s">
        <v>170</v>
      </c>
      <c r="G446" s="103" t="s">
        <v>82</v>
      </c>
      <c r="H446" s="103" t="n">
        <v>3.3</v>
      </c>
      <c r="I446" s="103" t="n">
        <v>165</v>
      </c>
      <c r="J446" s="103" t="n">
        <v>20</v>
      </c>
      <c r="K446" s="103" t="n">
        <v>75</v>
      </c>
      <c r="L446" s="103" t="s">
        <v>93</v>
      </c>
      <c r="M446" s="103" t="s">
        <v>67</v>
      </c>
      <c r="N446" s="103" t="s">
        <v>78</v>
      </c>
      <c r="O446" s="103" t="n">
        <v>45</v>
      </c>
      <c r="P446" s="103" t="n">
        <v>12</v>
      </c>
      <c r="Q446" s="103" t="n">
        <v>5</v>
      </c>
      <c r="R446" s="103" t="s">
        <v>142</v>
      </c>
      <c r="S446" s="103" t="n">
        <v>185</v>
      </c>
      <c r="T446" s="103" t="n">
        <v>110</v>
      </c>
      <c r="U446" s="103" t="s">
        <v>1078</v>
      </c>
      <c r="V446" s="103" t="n">
        <v>2025</v>
      </c>
    </row>
    <row r="447" customFormat="false" ht="14.25" hidden="false" customHeight="false" outlineLevel="0" collapsed="false">
      <c r="A447" s="103" t="s">
        <v>1163</v>
      </c>
      <c r="B447" s="103" t="s">
        <v>435</v>
      </c>
      <c r="C447" s="104" t="n">
        <v>45806</v>
      </c>
      <c r="D447" s="103" t="s">
        <v>103</v>
      </c>
      <c r="E447" s="103" t="n">
        <v>46</v>
      </c>
      <c r="F447" s="103" t="s">
        <v>171</v>
      </c>
      <c r="G447" s="103" t="s">
        <v>82</v>
      </c>
      <c r="H447" s="103" t="n">
        <v>3.7</v>
      </c>
      <c r="I447" s="103" t="n">
        <v>875</v>
      </c>
      <c r="J447" s="103" t="n">
        <v>50</v>
      </c>
      <c r="K447" s="103" t="n">
        <v>0</v>
      </c>
      <c r="L447" s="103" t="s">
        <v>93</v>
      </c>
      <c r="M447" s="103" t="s">
        <v>66</v>
      </c>
      <c r="N447" s="103" t="s">
        <v>77</v>
      </c>
      <c r="O447" s="103" t="n">
        <v>54</v>
      </c>
      <c r="P447" s="103" t="n">
        <v>11.5</v>
      </c>
      <c r="Q447" s="103" t="n">
        <v>4</v>
      </c>
      <c r="R447" s="103" t="s">
        <v>137</v>
      </c>
      <c r="S447" s="103" t="n">
        <v>925</v>
      </c>
      <c r="T447" s="103" t="n">
        <v>925</v>
      </c>
      <c r="U447" s="103" t="s">
        <v>1078</v>
      </c>
      <c r="V447" s="103" t="n">
        <v>2025</v>
      </c>
    </row>
    <row r="448" customFormat="false" ht="14.25" hidden="false" customHeight="false" outlineLevel="0" collapsed="false">
      <c r="A448" s="103" t="s">
        <v>1164</v>
      </c>
      <c r="B448" s="103" t="s">
        <v>436</v>
      </c>
      <c r="C448" s="104" t="n">
        <v>45806</v>
      </c>
      <c r="D448" s="103" t="s">
        <v>101</v>
      </c>
      <c r="E448" s="103" t="n">
        <v>20</v>
      </c>
      <c r="F448" s="103" t="s">
        <v>170</v>
      </c>
      <c r="G448" s="103" t="s">
        <v>84</v>
      </c>
      <c r="H448" s="103" t="n">
        <v>3.8</v>
      </c>
      <c r="I448" s="103" t="n">
        <v>618</v>
      </c>
      <c r="J448" s="103" t="n">
        <v>0</v>
      </c>
      <c r="K448" s="103" t="n">
        <v>200</v>
      </c>
      <c r="L448" s="103" t="s">
        <v>97</v>
      </c>
      <c r="M448" s="103" t="s">
        <v>65</v>
      </c>
      <c r="N448" s="103" t="s">
        <v>77</v>
      </c>
      <c r="O448" s="103" t="n">
        <v>70</v>
      </c>
      <c r="P448" s="103" t="n">
        <v>13.7</v>
      </c>
      <c r="Q448" s="103" t="n">
        <v>5</v>
      </c>
      <c r="R448" s="103" t="s">
        <v>140</v>
      </c>
      <c r="S448" s="103" t="n">
        <v>618</v>
      </c>
      <c r="T448" s="103" t="n">
        <v>418</v>
      </c>
      <c r="U448" s="103" t="s">
        <v>1078</v>
      </c>
      <c r="V448" s="103" t="n">
        <v>2025</v>
      </c>
    </row>
    <row r="449" customFormat="false" ht="14.25" hidden="false" customHeight="false" outlineLevel="0" collapsed="false">
      <c r="A449" s="103" t="s">
        <v>1165</v>
      </c>
      <c r="B449" s="103" t="s">
        <v>437</v>
      </c>
      <c r="C449" s="104" t="n">
        <v>45807</v>
      </c>
      <c r="D449" s="103" t="s">
        <v>101</v>
      </c>
      <c r="E449" s="103" t="n">
        <v>57</v>
      </c>
      <c r="F449" s="103" t="s">
        <v>171</v>
      </c>
      <c r="G449" s="103" t="s">
        <v>85</v>
      </c>
      <c r="H449" s="103" t="n">
        <v>3</v>
      </c>
      <c r="I449" s="103" t="n">
        <v>1682</v>
      </c>
      <c r="J449" s="103" t="n">
        <v>60</v>
      </c>
      <c r="K449" s="103" t="n">
        <v>0</v>
      </c>
      <c r="L449" s="103" t="s">
        <v>94</v>
      </c>
      <c r="M449" s="103" t="s">
        <v>65</v>
      </c>
      <c r="N449" s="103" t="s">
        <v>78</v>
      </c>
      <c r="O449" s="103" t="n">
        <v>18</v>
      </c>
      <c r="P449" s="103" t="n">
        <v>0.7</v>
      </c>
      <c r="Q449" s="103" t="n">
        <v>4</v>
      </c>
      <c r="R449" s="103" t="s">
        <v>132</v>
      </c>
      <c r="S449" s="103" t="n">
        <v>1742</v>
      </c>
      <c r="T449" s="103" t="n">
        <v>1742</v>
      </c>
      <c r="U449" s="103" t="s">
        <v>1078</v>
      </c>
      <c r="V449" s="103" t="n">
        <v>2025</v>
      </c>
    </row>
    <row r="450" customFormat="false" ht="14.25" hidden="false" customHeight="false" outlineLevel="0" collapsed="false">
      <c r="A450" s="103" t="s">
        <v>1166</v>
      </c>
      <c r="B450" s="103" t="s">
        <v>438</v>
      </c>
      <c r="C450" s="104" t="n">
        <v>45807</v>
      </c>
      <c r="D450" s="103" t="s">
        <v>101</v>
      </c>
      <c r="E450" s="103" t="n">
        <v>51</v>
      </c>
      <c r="F450" s="103" t="s">
        <v>171</v>
      </c>
      <c r="G450" s="103" t="s">
        <v>84</v>
      </c>
      <c r="H450" s="103" t="n">
        <v>3.3</v>
      </c>
      <c r="I450" s="103" t="n">
        <v>329</v>
      </c>
      <c r="J450" s="103" t="n">
        <v>50</v>
      </c>
      <c r="K450" s="103" t="n">
        <v>75</v>
      </c>
      <c r="L450" s="103" t="s">
        <v>93</v>
      </c>
      <c r="M450" s="103" t="s">
        <v>67</v>
      </c>
      <c r="N450" s="103" t="s">
        <v>77</v>
      </c>
      <c r="O450" s="103" t="n">
        <v>45</v>
      </c>
      <c r="P450" s="103" t="n">
        <v>12.2</v>
      </c>
      <c r="Q450" s="103" t="n">
        <v>3</v>
      </c>
      <c r="R450" s="103" t="s">
        <v>139</v>
      </c>
      <c r="S450" s="103" t="n">
        <v>379</v>
      </c>
      <c r="T450" s="103" t="n">
        <v>304</v>
      </c>
      <c r="U450" s="103" t="s">
        <v>1078</v>
      </c>
      <c r="V450" s="103" t="n">
        <v>2025</v>
      </c>
    </row>
    <row r="451" customFormat="false" ht="14.25" hidden="false" customHeight="false" outlineLevel="0" collapsed="false">
      <c r="A451" s="103" t="s">
        <v>1167</v>
      </c>
      <c r="B451" s="103" t="s">
        <v>439</v>
      </c>
      <c r="C451" s="104" t="n">
        <v>45807</v>
      </c>
      <c r="D451" s="103" t="s">
        <v>103</v>
      </c>
      <c r="E451" s="103" t="n">
        <v>57</v>
      </c>
      <c r="F451" s="103" t="s">
        <v>171</v>
      </c>
      <c r="G451" s="103" t="s">
        <v>84</v>
      </c>
      <c r="H451" s="103" t="n">
        <v>4.5</v>
      </c>
      <c r="I451" s="103" t="n">
        <v>1216</v>
      </c>
      <c r="J451" s="103" t="n">
        <v>0</v>
      </c>
      <c r="K451" s="103" t="n">
        <v>0</v>
      </c>
      <c r="L451" s="103" t="s">
        <v>93</v>
      </c>
      <c r="M451" s="103" t="s">
        <v>67</v>
      </c>
      <c r="N451" s="103" t="s">
        <v>78</v>
      </c>
      <c r="O451" s="103" t="n">
        <v>41</v>
      </c>
      <c r="P451" s="103" t="n">
        <v>14.1</v>
      </c>
      <c r="Q451" s="103" t="n">
        <v>5</v>
      </c>
      <c r="R451" s="103" t="s">
        <v>139</v>
      </c>
      <c r="S451" s="103" t="n">
        <v>1216</v>
      </c>
      <c r="T451" s="103" t="n">
        <v>1216</v>
      </c>
      <c r="U451" s="103" t="s">
        <v>1078</v>
      </c>
      <c r="V451" s="103" t="n">
        <v>2025</v>
      </c>
    </row>
    <row r="452" customFormat="false" ht="14.25" hidden="false" customHeight="false" outlineLevel="0" collapsed="false">
      <c r="A452" s="103" t="s">
        <v>1168</v>
      </c>
      <c r="B452" s="103" t="s">
        <v>440</v>
      </c>
      <c r="C452" s="104" t="n">
        <v>45808</v>
      </c>
      <c r="D452" s="103" t="s">
        <v>108</v>
      </c>
      <c r="E452" s="103" t="n">
        <v>44</v>
      </c>
      <c r="F452" s="103" t="s">
        <v>170</v>
      </c>
      <c r="G452" s="103" t="s">
        <v>85</v>
      </c>
      <c r="H452" s="103" t="n">
        <v>4.8</v>
      </c>
      <c r="I452" s="103" t="n">
        <v>209</v>
      </c>
      <c r="J452" s="103" t="n">
        <v>20</v>
      </c>
      <c r="K452" s="103" t="n">
        <v>100</v>
      </c>
      <c r="L452" s="103" t="s">
        <v>93</v>
      </c>
      <c r="M452" s="103" t="s">
        <v>65</v>
      </c>
      <c r="N452" s="103" t="s">
        <v>77</v>
      </c>
      <c r="O452" s="103" t="n">
        <v>39</v>
      </c>
      <c r="P452" s="103" t="n">
        <v>11.9</v>
      </c>
      <c r="Q452" s="103" t="n">
        <v>4</v>
      </c>
      <c r="R452" s="103" t="s">
        <v>136</v>
      </c>
      <c r="S452" s="103" t="n">
        <v>229</v>
      </c>
      <c r="T452" s="103" t="n">
        <v>129</v>
      </c>
      <c r="U452" s="103" t="s">
        <v>1078</v>
      </c>
      <c r="V452" s="103" t="n">
        <v>2025</v>
      </c>
    </row>
    <row r="453" customFormat="false" ht="14.25" hidden="false" customHeight="false" outlineLevel="0" collapsed="false">
      <c r="A453" s="103" t="s">
        <v>1169</v>
      </c>
      <c r="B453" s="103" t="s">
        <v>441</v>
      </c>
      <c r="C453" s="104" t="n">
        <v>45808</v>
      </c>
      <c r="D453" s="103" t="s">
        <v>106</v>
      </c>
      <c r="E453" s="103" t="n">
        <v>30</v>
      </c>
      <c r="F453" s="103" t="s">
        <v>170</v>
      </c>
      <c r="G453" s="103" t="s">
        <v>87</v>
      </c>
      <c r="H453" s="103" t="n">
        <v>3.4</v>
      </c>
      <c r="I453" s="103" t="n">
        <v>870</v>
      </c>
      <c r="J453" s="103" t="n">
        <v>60</v>
      </c>
      <c r="K453" s="103" t="n">
        <v>20</v>
      </c>
      <c r="L453" s="103" t="s">
        <v>97</v>
      </c>
      <c r="M453" s="103" t="s">
        <v>65</v>
      </c>
      <c r="N453" s="103" t="s">
        <v>77</v>
      </c>
      <c r="O453" s="103" t="n">
        <v>19</v>
      </c>
      <c r="P453" s="103" t="n">
        <v>2.4</v>
      </c>
      <c r="Q453" s="103" t="n">
        <v>5</v>
      </c>
      <c r="R453" s="103" t="s">
        <v>139</v>
      </c>
      <c r="S453" s="103" t="n">
        <v>930</v>
      </c>
      <c r="T453" s="103" t="n">
        <v>910</v>
      </c>
      <c r="U453" s="103" t="s">
        <v>1078</v>
      </c>
      <c r="V453" s="103" t="n">
        <v>2025</v>
      </c>
    </row>
    <row r="454" customFormat="false" ht="14.25" hidden="false" customHeight="false" outlineLevel="0" collapsed="false">
      <c r="A454" s="103" t="s">
        <v>1170</v>
      </c>
      <c r="B454" s="103" t="s">
        <v>442</v>
      </c>
      <c r="C454" s="104" t="n">
        <v>45808</v>
      </c>
      <c r="D454" s="103" t="s">
        <v>107</v>
      </c>
      <c r="E454" s="103" t="n">
        <v>50</v>
      </c>
      <c r="F454" s="103" t="s">
        <v>170</v>
      </c>
      <c r="G454" s="103" t="s">
        <v>90</v>
      </c>
      <c r="H454" s="103" t="n">
        <v>3.3</v>
      </c>
      <c r="I454" s="103" t="n">
        <v>1051</v>
      </c>
      <c r="J454" s="103" t="n">
        <v>50</v>
      </c>
      <c r="K454" s="103" t="n">
        <v>75</v>
      </c>
      <c r="L454" s="103" t="s">
        <v>93</v>
      </c>
      <c r="M454" s="103" t="s">
        <v>65</v>
      </c>
      <c r="N454" s="103" t="s">
        <v>77</v>
      </c>
      <c r="O454" s="103" t="n">
        <v>20</v>
      </c>
      <c r="P454" s="103" t="n">
        <v>1.7</v>
      </c>
      <c r="Q454" s="103" t="n">
        <v>5</v>
      </c>
      <c r="R454" s="103" t="s">
        <v>131</v>
      </c>
      <c r="S454" s="103" t="n">
        <v>1101</v>
      </c>
      <c r="T454" s="103" t="n">
        <v>1026</v>
      </c>
      <c r="U454" s="103" t="s">
        <v>1078</v>
      </c>
      <c r="V454" s="103" t="n">
        <v>2025</v>
      </c>
    </row>
    <row r="455" customFormat="false" ht="14.25" hidden="false" customHeight="false" outlineLevel="0" collapsed="false">
      <c r="A455" s="103" t="s">
        <v>1171</v>
      </c>
      <c r="B455" s="103" t="s">
        <v>443</v>
      </c>
      <c r="C455" s="104" t="n">
        <v>45809</v>
      </c>
      <c r="D455" s="103" t="s">
        <v>106</v>
      </c>
      <c r="E455" s="103" t="n">
        <v>23</v>
      </c>
      <c r="F455" s="103" t="s">
        <v>170</v>
      </c>
      <c r="G455" s="103" t="s">
        <v>88</v>
      </c>
      <c r="H455" s="103" t="n">
        <v>3</v>
      </c>
      <c r="I455" s="103" t="n">
        <v>621</v>
      </c>
      <c r="J455" s="103" t="n">
        <v>40</v>
      </c>
      <c r="K455" s="103" t="n">
        <v>100</v>
      </c>
      <c r="L455" s="103" t="s">
        <v>93</v>
      </c>
      <c r="M455" s="103" t="s">
        <v>66</v>
      </c>
      <c r="N455" s="103" t="s">
        <v>77</v>
      </c>
      <c r="O455" s="103" t="n">
        <v>19</v>
      </c>
      <c r="P455" s="103" t="n">
        <v>0.8</v>
      </c>
      <c r="Q455" s="103" t="n">
        <v>5</v>
      </c>
      <c r="R455" s="103" t="s">
        <v>139</v>
      </c>
      <c r="S455" s="103" t="n">
        <v>661</v>
      </c>
      <c r="T455" s="103" t="n">
        <v>561</v>
      </c>
      <c r="U455" s="103" t="s">
        <v>1172</v>
      </c>
      <c r="V455" s="103" t="n">
        <v>2025</v>
      </c>
    </row>
    <row r="456" customFormat="false" ht="14.25" hidden="false" customHeight="false" outlineLevel="0" collapsed="false">
      <c r="A456" s="103" t="s">
        <v>1173</v>
      </c>
      <c r="B456" s="103" t="s">
        <v>444</v>
      </c>
      <c r="C456" s="104" t="n">
        <v>45809</v>
      </c>
      <c r="D456" s="103" t="s">
        <v>102</v>
      </c>
      <c r="E456" s="103" t="n">
        <v>41</v>
      </c>
      <c r="F456" s="103" t="s">
        <v>171</v>
      </c>
      <c r="G456" s="103" t="s">
        <v>84</v>
      </c>
      <c r="H456" s="103" t="n">
        <v>4.2</v>
      </c>
      <c r="I456" s="103" t="n">
        <v>885</v>
      </c>
      <c r="J456" s="103" t="n">
        <v>40</v>
      </c>
      <c r="K456" s="103" t="n">
        <v>0</v>
      </c>
      <c r="L456" s="103" t="s">
        <v>95</v>
      </c>
      <c r="M456" s="103" t="s">
        <v>66</v>
      </c>
      <c r="N456" s="103" t="s">
        <v>77</v>
      </c>
      <c r="O456" s="103" t="n">
        <v>65</v>
      </c>
      <c r="P456" s="103" t="n">
        <v>9.6</v>
      </c>
      <c r="Q456" s="103" t="n">
        <v>5</v>
      </c>
      <c r="R456" s="103" t="s">
        <v>138</v>
      </c>
      <c r="S456" s="103" t="n">
        <v>925</v>
      </c>
      <c r="T456" s="103" t="n">
        <v>925</v>
      </c>
      <c r="U456" s="103" t="s">
        <v>1172</v>
      </c>
      <c r="V456" s="103" t="n">
        <v>2025</v>
      </c>
    </row>
    <row r="457" customFormat="false" ht="14.25" hidden="false" customHeight="false" outlineLevel="0" collapsed="false">
      <c r="A457" s="103" t="s">
        <v>1174</v>
      </c>
      <c r="B457" s="103" t="s">
        <v>445</v>
      </c>
      <c r="C457" s="104" t="n">
        <v>45809</v>
      </c>
      <c r="D457" s="103" t="s">
        <v>108</v>
      </c>
      <c r="E457" s="103" t="n">
        <v>36</v>
      </c>
      <c r="F457" s="103" t="s">
        <v>170</v>
      </c>
      <c r="G457" s="103" t="s">
        <v>86</v>
      </c>
      <c r="H457" s="103" t="n">
        <v>3.3</v>
      </c>
      <c r="I457" s="103" t="n">
        <v>395</v>
      </c>
      <c r="J457" s="103" t="n">
        <v>60</v>
      </c>
      <c r="K457" s="103" t="n">
        <v>0</v>
      </c>
      <c r="L457" s="103" t="s">
        <v>93</v>
      </c>
      <c r="M457" s="103" t="s">
        <v>65</v>
      </c>
      <c r="N457" s="103" t="s">
        <v>77</v>
      </c>
      <c r="O457" s="103" t="n">
        <v>41</v>
      </c>
      <c r="P457" s="103" t="n">
        <v>9.6</v>
      </c>
      <c r="Q457" s="103" t="n">
        <v>5</v>
      </c>
      <c r="R457" s="103" t="s">
        <v>135</v>
      </c>
      <c r="S457" s="103" t="n">
        <v>455</v>
      </c>
      <c r="T457" s="103" t="n">
        <v>455</v>
      </c>
      <c r="U457" s="103" t="s">
        <v>1172</v>
      </c>
      <c r="V457" s="103" t="n">
        <v>2025</v>
      </c>
    </row>
    <row r="458" customFormat="false" ht="14.25" hidden="false" customHeight="false" outlineLevel="0" collapsed="false">
      <c r="A458" s="103" t="s">
        <v>1175</v>
      </c>
      <c r="B458" s="103" t="s">
        <v>446</v>
      </c>
      <c r="C458" s="104" t="n">
        <v>45810</v>
      </c>
      <c r="D458" s="103" t="s">
        <v>105</v>
      </c>
      <c r="E458" s="103" t="n">
        <v>33</v>
      </c>
      <c r="F458" s="103" t="s">
        <v>171</v>
      </c>
      <c r="G458" s="103" t="s">
        <v>86</v>
      </c>
      <c r="H458" s="103" t="n">
        <v>5</v>
      </c>
      <c r="I458" s="103" t="n">
        <v>631</v>
      </c>
      <c r="J458" s="103" t="n">
        <v>40</v>
      </c>
      <c r="K458" s="103" t="n">
        <v>50</v>
      </c>
      <c r="L458" s="103" t="s">
        <v>93</v>
      </c>
      <c r="M458" s="103" t="s">
        <v>65</v>
      </c>
      <c r="N458" s="103" t="s">
        <v>78</v>
      </c>
      <c r="O458" s="103" t="n">
        <v>22</v>
      </c>
      <c r="P458" s="103" t="n">
        <v>14.8</v>
      </c>
      <c r="Q458" s="103" t="n">
        <v>4</v>
      </c>
      <c r="R458" s="103" t="s">
        <v>139</v>
      </c>
      <c r="S458" s="103" t="n">
        <v>671</v>
      </c>
      <c r="T458" s="103" t="n">
        <v>621</v>
      </c>
      <c r="U458" s="103" t="s">
        <v>1172</v>
      </c>
      <c r="V458" s="103" t="n">
        <v>2025</v>
      </c>
    </row>
    <row r="459" customFormat="false" ht="14.25" hidden="false" customHeight="false" outlineLevel="0" collapsed="false">
      <c r="A459" s="103" t="s">
        <v>1176</v>
      </c>
      <c r="B459" s="103" t="s">
        <v>447</v>
      </c>
      <c r="C459" s="104" t="n">
        <v>45810</v>
      </c>
      <c r="D459" s="103" t="s">
        <v>106</v>
      </c>
      <c r="E459" s="103" t="n">
        <v>57</v>
      </c>
      <c r="F459" s="103" t="s">
        <v>170</v>
      </c>
      <c r="G459" s="103" t="s">
        <v>81</v>
      </c>
      <c r="H459" s="103" t="n">
        <v>3.3</v>
      </c>
      <c r="I459" s="103" t="n">
        <v>1163</v>
      </c>
      <c r="J459" s="103" t="n">
        <v>50</v>
      </c>
      <c r="K459" s="103" t="n">
        <v>75</v>
      </c>
      <c r="L459" s="103" t="s">
        <v>93</v>
      </c>
      <c r="M459" s="103" t="s">
        <v>65</v>
      </c>
      <c r="N459" s="103" t="s">
        <v>77</v>
      </c>
      <c r="O459" s="103" t="n">
        <v>23</v>
      </c>
      <c r="P459" s="103" t="n">
        <v>6.3</v>
      </c>
      <c r="Q459" s="103" t="n">
        <v>5</v>
      </c>
      <c r="R459" s="103" t="s">
        <v>141</v>
      </c>
      <c r="S459" s="103" t="n">
        <v>1213</v>
      </c>
      <c r="T459" s="103" t="n">
        <v>1138</v>
      </c>
      <c r="U459" s="103" t="s">
        <v>1172</v>
      </c>
      <c r="V459" s="103" t="n">
        <v>2025</v>
      </c>
    </row>
    <row r="460" customFormat="false" ht="14.25" hidden="false" customHeight="false" outlineLevel="0" collapsed="false">
      <c r="A460" s="103" t="s">
        <v>1177</v>
      </c>
      <c r="B460" s="103" t="s">
        <v>448</v>
      </c>
      <c r="C460" s="104" t="n">
        <v>45810</v>
      </c>
      <c r="D460" s="103" t="s">
        <v>110</v>
      </c>
      <c r="E460" s="103" t="n">
        <v>45</v>
      </c>
      <c r="F460" s="103" t="s">
        <v>170</v>
      </c>
      <c r="G460" s="103" t="s">
        <v>85</v>
      </c>
      <c r="H460" s="103" t="n">
        <v>3.5</v>
      </c>
      <c r="I460" s="103" t="n">
        <v>627</v>
      </c>
      <c r="J460" s="103" t="n">
        <v>50</v>
      </c>
      <c r="K460" s="103" t="n">
        <v>200</v>
      </c>
      <c r="L460" s="103" t="s">
        <v>93</v>
      </c>
      <c r="M460" s="103" t="s">
        <v>67</v>
      </c>
      <c r="N460" s="103" t="s">
        <v>77</v>
      </c>
      <c r="O460" s="103" t="n">
        <v>29</v>
      </c>
      <c r="P460" s="103" t="n">
        <v>5.3</v>
      </c>
      <c r="Q460" s="103" t="n">
        <v>3</v>
      </c>
      <c r="R460" s="103" t="s">
        <v>136</v>
      </c>
      <c r="S460" s="103" t="n">
        <v>677</v>
      </c>
      <c r="T460" s="103" t="n">
        <v>477</v>
      </c>
      <c r="U460" s="103" t="s">
        <v>1172</v>
      </c>
      <c r="V460" s="103" t="n">
        <v>2025</v>
      </c>
    </row>
    <row r="461" customFormat="false" ht="14.25" hidden="false" customHeight="false" outlineLevel="0" collapsed="false">
      <c r="A461" s="103" t="s">
        <v>1178</v>
      </c>
      <c r="B461" s="103" t="s">
        <v>449</v>
      </c>
      <c r="C461" s="104" t="n">
        <v>45811</v>
      </c>
      <c r="D461" s="103" t="s">
        <v>101</v>
      </c>
      <c r="E461" s="103" t="n">
        <v>50</v>
      </c>
      <c r="F461" s="103" t="s">
        <v>170</v>
      </c>
      <c r="G461" s="103" t="s">
        <v>81</v>
      </c>
      <c r="H461" s="103" t="n">
        <v>4</v>
      </c>
      <c r="I461" s="103" t="n">
        <v>1632</v>
      </c>
      <c r="J461" s="103" t="n">
        <v>60</v>
      </c>
      <c r="K461" s="103" t="n">
        <v>0</v>
      </c>
      <c r="L461" s="103" t="s">
        <v>93</v>
      </c>
      <c r="M461" s="103" t="s">
        <v>65</v>
      </c>
      <c r="N461" s="103" t="s">
        <v>78</v>
      </c>
      <c r="O461" s="103" t="n">
        <v>50</v>
      </c>
      <c r="P461" s="103" t="n">
        <v>9.6</v>
      </c>
      <c r="Q461" s="103" t="n">
        <v>4</v>
      </c>
      <c r="R461" s="103" t="s">
        <v>135</v>
      </c>
      <c r="S461" s="103" t="n">
        <v>1692</v>
      </c>
      <c r="T461" s="103" t="n">
        <v>1692</v>
      </c>
      <c r="U461" s="103" t="s">
        <v>1172</v>
      </c>
      <c r="V461" s="103" t="n">
        <v>2025</v>
      </c>
    </row>
    <row r="462" customFormat="false" ht="14.25" hidden="false" customHeight="false" outlineLevel="0" collapsed="false">
      <c r="A462" s="103" t="s">
        <v>1179</v>
      </c>
      <c r="B462" s="103" t="s">
        <v>450</v>
      </c>
      <c r="C462" s="104" t="n">
        <v>45811</v>
      </c>
      <c r="D462" s="103" t="s">
        <v>104</v>
      </c>
      <c r="E462" s="103" t="n">
        <v>58</v>
      </c>
      <c r="F462" s="103" t="s">
        <v>170</v>
      </c>
      <c r="G462" s="103" t="s">
        <v>83</v>
      </c>
      <c r="H462" s="103" t="n">
        <v>4.5</v>
      </c>
      <c r="I462" s="103" t="n">
        <v>1176</v>
      </c>
      <c r="J462" s="103" t="n">
        <v>50</v>
      </c>
      <c r="K462" s="103" t="n">
        <v>30</v>
      </c>
      <c r="L462" s="103" t="s">
        <v>93</v>
      </c>
      <c r="M462" s="103" t="s">
        <v>67</v>
      </c>
      <c r="N462" s="103" t="s">
        <v>77</v>
      </c>
      <c r="O462" s="103" t="n">
        <v>55</v>
      </c>
      <c r="P462" s="103" t="n">
        <v>12.5</v>
      </c>
      <c r="Q462" s="103" t="n">
        <v>5</v>
      </c>
      <c r="R462" s="103" t="s">
        <v>131</v>
      </c>
      <c r="S462" s="103" t="n">
        <v>1226</v>
      </c>
      <c r="T462" s="103" t="n">
        <v>1196</v>
      </c>
      <c r="U462" s="103" t="s">
        <v>1172</v>
      </c>
      <c r="V462" s="103" t="n">
        <v>2025</v>
      </c>
    </row>
    <row r="463" customFormat="false" ht="14.25" hidden="false" customHeight="false" outlineLevel="0" collapsed="false">
      <c r="A463" s="103" t="s">
        <v>1180</v>
      </c>
      <c r="B463" s="103" t="s">
        <v>451</v>
      </c>
      <c r="C463" s="104" t="n">
        <v>45811</v>
      </c>
      <c r="D463" s="103" t="s">
        <v>102</v>
      </c>
      <c r="E463" s="103" t="n">
        <v>30</v>
      </c>
      <c r="F463" s="103" t="s">
        <v>171</v>
      </c>
      <c r="G463" s="103" t="s">
        <v>83</v>
      </c>
      <c r="H463" s="103" t="n">
        <v>3.7</v>
      </c>
      <c r="I463" s="103" t="n">
        <v>857</v>
      </c>
      <c r="J463" s="103" t="n">
        <v>0</v>
      </c>
      <c r="K463" s="103" t="n">
        <v>150</v>
      </c>
      <c r="L463" s="103" t="s">
        <v>96</v>
      </c>
      <c r="M463" s="103" t="s">
        <v>65</v>
      </c>
      <c r="N463" s="103" t="s">
        <v>77</v>
      </c>
      <c r="O463" s="103" t="n">
        <v>21</v>
      </c>
      <c r="P463" s="103" t="n">
        <v>14.1</v>
      </c>
      <c r="Q463" s="103" t="n">
        <v>5</v>
      </c>
      <c r="R463" s="103" t="s">
        <v>137</v>
      </c>
      <c r="S463" s="103" t="n">
        <v>857</v>
      </c>
      <c r="T463" s="103" t="n">
        <v>707</v>
      </c>
      <c r="U463" s="103" t="s">
        <v>1172</v>
      </c>
      <c r="V463" s="103" t="n">
        <v>2025</v>
      </c>
    </row>
    <row r="464" customFormat="false" ht="14.25" hidden="false" customHeight="false" outlineLevel="0" collapsed="false">
      <c r="A464" s="103" t="s">
        <v>1181</v>
      </c>
      <c r="B464" s="103" t="s">
        <v>452</v>
      </c>
      <c r="C464" s="104" t="n">
        <v>45812</v>
      </c>
      <c r="D464" s="103" t="s">
        <v>100</v>
      </c>
      <c r="E464" s="103" t="n">
        <v>60</v>
      </c>
      <c r="F464" s="103" t="s">
        <v>171</v>
      </c>
      <c r="G464" s="103" t="s">
        <v>88</v>
      </c>
      <c r="H464" s="103" t="n">
        <v>3.6</v>
      </c>
      <c r="I464" s="103" t="n">
        <v>185</v>
      </c>
      <c r="J464" s="103" t="n">
        <v>20</v>
      </c>
      <c r="K464" s="103" t="n">
        <v>200</v>
      </c>
      <c r="L464" s="103" t="s">
        <v>93</v>
      </c>
      <c r="M464" s="103" t="s">
        <v>65</v>
      </c>
      <c r="N464" s="103" t="s">
        <v>77</v>
      </c>
      <c r="O464" s="103" t="n">
        <v>46</v>
      </c>
      <c r="P464" s="103" t="n">
        <v>12.1</v>
      </c>
      <c r="Q464" s="103" t="n">
        <v>5</v>
      </c>
      <c r="R464" s="103" t="s">
        <v>140</v>
      </c>
      <c r="S464" s="103" t="n">
        <v>205</v>
      </c>
      <c r="T464" s="103" t="n">
        <v>5</v>
      </c>
      <c r="U464" s="103" t="s">
        <v>1172</v>
      </c>
      <c r="V464" s="103" t="n">
        <v>2025</v>
      </c>
    </row>
    <row r="465" customFormat="false" ht="14.25" hidden="false" customHeight="false" outlineLevel="0" collapsed="false">
      <c r="A465" s="103" t="s">
        <v>1182</v>
      </c>
      <c r="B465" s="103" t="s">
        <v>453</v>
      </c>
      <c r="C465" s="104" t="n">
        <v>45812</v>
      </c>
      <c r="D465" s="103" t="s">
        <v>105</v>
      </c>
      <c r="E465" s="103" t="n">
        <v>42</v>
      </c>
      <c r="F465" s="103" t="s">
        <v>170</v>
      </c>
      <c r="G465" s="103" t="s">
        <v>82</v>
      </c>
      <c r="H465" s="103" t="n">
        <v>5</v>
      </c>
      <c r="I465" s="103" t="n">
        <v>959</v>
      </c>
      <c r="J465" s="103" t="n">
        <v>40</v>
      </c>
      <c r="K465" s="103" t="n">
        <v>20</v>
      </c>
      <c r="L465" s="103" t="s">
        <v>95</v>
      </c>
      <c r="M465" s="103" t="s">
        <v>65</v>
      </c>
      <c r="N465" s="103" t="s">
        <v>78</v>
      </c>
      <c r="O465" s="103" t="n">
        <v>22</v>
      </c>
      <c r="P465" s="103" t="n">
        <v>6.7</v>
      </c>
      <c r="Q465" s="103" t="n">
        <v>5</v>
      </c>
      <c r="R465" s="103" t="s">
        <v>134</v>
      </c>
      <c r="S465" s="103" t="n">
        <v>999</v>
      </c>
      <c r="T465" s="103" t="n">
        <v>979</v>
      </c>
      <c r="U465" s="103" t="s">
        <v>1172</v>
      </c>
      <c r="V465" s="103" t="n">
        <v>2025</v>
      </c>
    </row>
    <row r="466" customFormat="false" ht="14.25" hidden="false" customHeight="false" outlineLevel="0" collapsed="false">
      <c r="A466" s="103" t="s">
        <v>1183</v>
      </c>
      <c r="B466" s="103" t="s">
        <v>454</v>
      </c>
      <c r="C466" s="104" t="n">
        <v>45812</v>
      </c>
      <c r="D466" s="103" t="s">
        <v>102</v>
      </c>
      <c r="E466" s="103" t="n">
        <v>59</v>
      </c>
      <c r="F466" s="103" t="s">
        <v>171</v>
      </c>
      <c r="G466" s="103" t="s">
        <v>82</v>
      </c>
      <c r="H466" s="103" t="n">
        <v>2.5</v>
      </c>
      <c r="I466" s="103" t="n">
        <v>1405</v>
      </c>
      <c r="J466" s="103" t="n">
        <v>0</v>
      </c>
      <c r="K466" s="103" t="n">
        <v>10</v>
      </c>
      <c r="L466" s="103" t="s">
        <v>95</v>
      </c>
      <c r="M466" s="103" t="s">
        <v>67</v>
      </c>
      <c r="N466" s="103" t="s">
        <v>77</v>
      </c>
      <c r="O466" s="103" t="n">
        <v>61</v>
      </c>
      <c r="P466" s="103" t="n">
        <v>9.7</v>
      </c>
      <c r="Q466" s="103" t="n">
        <v>5</v>
      </c>
      <c r="R466" s="103" t="s">
        <v>140</v>
      </c>
      <c r="S466" s="103" t="n">
        <v>1405</v>
      </c>
      <c r="T466" s="103" t="n">
        <v>1395</v>
      </c>
      <c r="U466" s="103" t="s">
        <v>1172</v>
      </c>
      <c r="V466" s="103" t="n">
        <v>2025</v>
      </c>
    </row>
    <row r="467" customFormat="false" ht="14.25" hidden="false" customHeight="false" outlineLevel="0" collapsed="false">
      <c r="A467" s="103" t="s">
        <v>1184</v>
      </c>
      <c r="B467" s="103" t="s">
        <v>455</v>
      </c>
      <c r="C467" s="104" t="n">
        <v>45813</v>
      </c>
      <c r="D467" s="103" t="s">
        <v>101</v>
      </c>
      <c r="E467" s="103" t="n">
        <v>53</v>
      </c>
      <c r="F467" s="103" t="s">
        <v>171</v>
      </c>
      <c r="G467" s="103" t="s">
        <v>85</v>
      </c>
      <c r="H467" s="103" t="n">
        <v>4.7</v>
      </c>
      <c r="I467" s="103" t="n">
        <v>566</v>
      </c>
      <c r="J467" s="103" t="n">
        <v>60</v>
      </c>
      <c r="K467" s="103" t="n">
        <v>30</v>
      </c>
      <c r="L467" s="103" t="s">
        <v>94</v>
      </c>
      <c r="M467" s="103" t="s">
        <v>65</v>
      </c>
      <c r="N467" s="103" t="s">
        <v>77</v>
      </c>
      <c r="O467" s="103" t="n">
        <v>65</v>
      </c>
      <c r="P467" s="103" t="n">
        <v>12.9</v>
      </c>
      <c r="Q467" s="103" t="n">
        <v>5</v>
      </c>
      <c r="R467" s="103" t="s">
        <v>132</v>
      </c>
      <c r="S467" s="103" t="n">
        <v>626</v>
      </c>
      <c r="T467" s="103" t="n">
        <v>596</v>
      </c>
      <c r="U467" s="103" t="s">
        <v>1172</v>
      </c>
      <c r="V467" s="103" t="n">
        <v>2025</v>
      </c>
    </row>
    <row r="468" customFormat="false" ht="14.25" hidden="false" customHeight="false" outlineLevel="0" collapsed="false">
      <c r="A468" s="103" t="s">
        <v>1185</v>
      </c>
      <c r="B468" s="103" t="s">
        <v>456</v>
      </c>
      <c r="C468" s="104" t="n">
        <v>45813</v>
      </c>
      <c r="D468" s="103" t="s">
        <v>104</v>
      </c>
      <c r="E468" s="103" t="n">
        <v>44</v>
      </c>
      <c r="F468" s="103" t="s">
        <v>170</v>
      </c>
      <c r="G468" s="103" t="s">
        <v>85</v>
      </c>
      <c r="H468" s="103" t="n">
        <v>2.9</v>
      </c>
      <c r="I468" s="103" t="n">
        <v>1475</v>
      </c>
      <c r="J468" s="103" t="n">
        <v>40</v>
      </c>
      <c r="K468" s="103" t="n">
        <v>10</v>
      </c>
      <c r="L468" s="103" t="s">
        <v>93</v>
      </c>
      <c r="M468" s="103" t="s">
        <v>65</v>
      </c>
      <c r="N468" s="103" t="s">
        <v>77</v>
      </c>
      <c r="O468" s="103" t="n">
        <v>29</v>
      </c>
      <c r="P468" s="103" t="n">
        <v>7.6</v>
      </c>
      <c r="Q468" s="103" t="n">
        <v>4</v>
      </c>
      <c r="R468" s="103" t="s">
        <v>134</v>
      </c>
      <c r="S468" s="103" t="n">
        <v>1515</v>
      </c>
      <c r="T468" s="103" t="n">
        <v>1505</v>
      </c>
      <c r="U468" s="103" t="s">
        <v>1172</v>
      </c>
      <c r="V468" s="103" t="n">
        <v>2025</v>
      </c>
    </row>
    <row r="469" customFormat="false" ht="14.25" hidden="false" customHeight="false" outlineLevel="0" collapsed="false">
      <c r="A469" s="103" t="s">
        <v>1186</v>
      </c>
      <c r="B469" s="103" t="s">
        <v>457</v>
      </c>
      <c r="C469" s="104" t="n">
        <v>45813</v>
      </c>
      <c r="D469" s="103" t="s">
        <v>108</v>
      </c>
      <c r="E469" s="103" t="n">
        <v>55</v>
      </c>
      <c r="F469" s="103" t="s">
        <v>170</v>
      </c>
      <c r="G469" s="103" t="s">
        <v>84</v>
      </c>
      <c r="H469" s="103" t="n">
        <v>4.5</v>
      </c>
      <c r="I469" s="103" t="n">
        <v>543</v>
      </c>
      <c r="J469" s="103" t="n">
        <v>0</v>
      </c>
      <c r="K469" s="103" t="n">
        <v>0</v>
      </c>
      <c r="L469" s="103" t="s">
        <v>93</v>
      </c>
      <c r="M469" s="103" t="s">
        <v>67</v>
      </c>
      <c r="N469" s="103" t="s">
        <v>78</v>
      </c>
      <c r="O469" s="103" t="n">
        <v>51</v>
      </c>
      <c r="P469" s="103" t="n">
        <v>3.6</v>
      </c>
      <c r="Q469" s="103" t="n">
        <v>3</v>
      </c>
      <c r="R469" s="103" t="s">
        <v>138</v>
      </c>
      <c r="S469" s="103" t="n">
        <v>543</v>
      </c>
      <c r="T469" s="103" t="n">
        <v>543</v>
      </c>
      <c r="U469" s="103" t="s">
        <v>1172</v>
      </c>
      <c r="V469" s="103" t="n">
        <v>2025</v>
      </c>
    </row>
    <row r="470" customFormat="false" ht="14.25" hidden="false" customHeight="false" outlineLevel="0" collapsed="false">
      <c r="A470" s="103" t="s">
        <v>1187</v>
      </c>
      <c r="B470" s="103" t="s">
        <v>458</v>
      </c>
      <c r="C470" s="104" t="n">
        <v>45814</v>
      </c>
      <c r="D470" s="103" t="s">
        <v>104</v>
      </c>
      <c r="E470" s="103" t="n">
        <v>24</v>
      </c>
      <c r="F470" s="103" t="s">
        <v>171</v>
      </c>
      <c r="G470" s="103" t="s">
        <v>83</v>
      </c>
      <c r="H470" s="103" t="n">
        <v>4</v>
      </c>
      <c r="I470" s="103" t="n">
        <v>1504</v>
      </c>
      <c r="J470" s="103" t="n">
        <v>50</v>
      </c>
      <c r="K470" s="103" t="n">
        <v>20</v>
      </c>
      <c r="L470" s="103" t="s">
        <v>95</v>
      </c>
      <c r="M470" s="103" t="s">
        <v>65</v>
      </c>
      <c r="N470" s="103" t="s">
        <v>77</v>
      </c>
      <c r="O470" s="103" t="n">
        <v>33</v>
      </c>
      <c r="P470" s="103" t="n">
        <v>3</v>
      </c>
      <c r="Q470" s="103" t="n">
        <v>4</v>
      </c>
      <c r="R470" s="103" t="s">
        <v>133</v>
      </c>
      <c r="S470" s="103" t="n">
        <v>1554</v>
      </c>
      <c r="T470" s="103" t="n">
        <v>1534</v>
      </c>
      <c r="U470" s="103" t="s">
        <v>1172</v>
      </c>
      <c r="V470" s="103" t="n">
        <v>2025</v>
      </c>
    </row>
    <row r="471" customFormat="false" ht="14.25" hidden="false" customHeight="false" outlineLevel="0" collapsed="false">
      <c r="A471" s="103" t="s">
        <v>1188</v>
      </c>
      <c r="B471" s="103" t="s">
        <v>459</v>
      </c>
      <c r="C471" s="104" t="n">
        <v>45814</v>
      </c>
      <c r="D471" s="103" t="s">
        <v>103</v>
      </c>
      <c r="E471" s="103" t="n">
        <v>22</v>
      </c>
      <c r="F471" s="103" t="s">
        <v>171</v>
      </c>
      <c r="G471" s="103" t="s">
        <v>84</v>
      </c>
      <c r="H471" s="103" t="n">
        <v>3.4</v>
      </c>
      <c r="I471" s="103" t="n">
        <v>263</v>
      </c>
      <c r="J471" s="103" t="n">
        <v>60</v>
      </c>
      <c r="K471" s="103" t="n">
        <v>100</v>
      </c>
      <c r="L471" s="103" t="s">
        <v>94</v>
      </c>
      <c r="M471" s="103" t="s">
        <v>66</v>
      </c>
      <c r="N471" s="103" t="s">
        <v>77</v>
      </c>
      <c r="O471" s="103" t="n">
        <v>53</v>
      </c>
      <c r="P471" s="103" t="n">
        <v>0.5</v>
      </c>
      <c r="Q471" s="103" t="n">
        <v>5</v>
      </c>
      <c r="R471" s="103" t="s">
        <v>136</v>
      </c>
      <c r="S471" s="103" t="n">
        <v>323</v>
      </c>
      <c r="T471" s="103" t="n">
        <v>223</v>
      </c>
      <c r="U471" s="103" t="s">
        <v>1172</v>
      </c>
      <c r="V471" s="103" t="n">
        <v>2025</v>
      </c>
    </row>
    <row r="472" customFormat="false" ht="14.25" hidden="false" customHeight="false" outlineLevel="0" collapsed="false">
      <c r="A472" s="103" t="s">
        <v>1189</v>
      </c>
      <c r="B472" s="103" t="s">
        <v>460</v>
      </c>
      <c r="C472" s="104" t="n">
        <v>45814</v>
      </c>
      <c r="D472" s="103" t="s">
        <v>104</v>
      </c>
      <c r="E472" s="103" t="n">
        <v>60</v>
      </c>
      <c r="F472" s="103" t="s">
        <v>170</v>
      </c>
      <c r="G472" s="103" t="s">
        <v>82</v>
      </c>
      <c r="H472" s="103" t="n">
        <v>4.7</v>
      </c>
      <c r="I472" s="103" t="n">
        <v>1575</v>
      </c>
      <c r="J472" s="103" t="n">
        <v>60</v>
      </c>
      <c r="K472" s="103" t="n">
        <v>0</v>
      </c>
      <c r="L472" s="103" t="s">
        <v>95</v>
      </c>
      <c r="M472" s="103" t="s">
        <v>67</v>
      </c>
      <c r="N472" s="103" t="s">
        <v>77</v>
      </c>
      <c r="O472" s="103" t="n">
        <v>20</v>
      </c>
      <c r="P472" s="103" t="n">
        <v>10.9</v>
      </c>
      <c r="Q472" s="103" t="n">
        <v>3</v>
      </c>
      <c r="R472" s="103" t="s">
        <v>137</v>
      </c>
      <c r="S472" s="103" t="n">
        <v>1635</v>
      </c>
      <c r="T472" s="103" t="n">
        <v>1635</v>
      </c>
      <c r="U472" s="103" t="s">
        <v>1172</v>
      </c>
      <c r="V472" s="103" t="n">
        <v>2025</v>
      </c>
    </row>
    <row r="473" customFormat="false" ht="14.25" hidden="false" customHeight="false" outlineLevel="0" collapsed="false">
      <c r="A473" s="103" t="s">
        <v>1190</v>
      </c>
      <c r="B473" s="103" t="s">
        <v>461</v>
      </c>
      <c r="C473" s="104" t="n">
        <v>45815</v>
      </c>
      <c r="D473" s="103" t="s">
        <v>103</v>
      </c>
      <c r="E473" s="103" t="n">
        <v>48</v>
      </c>
      <c r="F473" s="103" t="s">
        <v>170</v>
      </c>
      <c r="G473" s="103" t="s">
        <v>90</v>
      </c>
      <c r="H473" s="103" t="n">
        <v>2.5</v>
      </c>
      <c r="I473" s="103" t="n">
        <v>959</v>
      </c>
      <c r="J473" s="103" t="n">
        <v>40</v>
      </c>
      <c r="K473" s="103" t="n">
        <v>10</v>
      </c>
      <c r="L473" s="103" t="s">
        <v>93</v>
      </c>
      <c r="M473" s="103" t="s">
        <v>65</v>
      </c>
      <c r="N473" s="103" t="s">
        <v>77</v>
      </c>
      <c r="O473" s="103" t="n">
        <v>33</v>
      </c>
      <c r="P473" s="103" t="n">
        <v>2.1</v>
      </c>
      <c r="Q473" s="103" t="n">
        <v>1</v>
      </c>
      <c r="R473" s="103" t="s">
        <v>140</v>
      </c>
      <c r="S473" s="103" t="n">
        <v>999</v>
      </c>
      <c r="T473" s="103" t="n">
        <v>989</v>
      </c>
      <c r="U473" s="103" t="s">
        <v>1172</v>
      </c>
      <c r="V473" s="103" t="n">
        <v>2025</v>
      </c>
    </row>
    <row r="474" customFormat="false" ht="14.25" hidden="false" customHeight="false" outlineLevel="0" collapsed="false">
      <c r="A474" s="103" t="s">
        <v>1191</v>
      </c>
      <c r="B474" s="103" t="s">
        <v>462</v>
      </c>
      <c r="C474" s="104" t="n">
        <v>45815</v>
      </c>
      <c r="D474" s="103" t="s">
        <v>108</v>
      </c>
      <c r="E474" s="103" t="n">
        <v>40</v>
      </c>
      <c r="F474" s="103" t="s">
        <v>171</v>
      </c>
      <c r="G474" s="103" t="s">
        <v>90</v>
      </c>
      <c r="H474" s="103" t="n">
        <v>3.1</v>
      </c>
      <c r="I474" s="103" t="n">
        <v>618</v>
      </c>
      <c r="J474" s="103" t="n">
        <v>50</v>
      </c>
      <c r="K474" s="103" t="n">
        <v>0</v>
      </c>
      <c r="L474" s="103" t="s">
        <v>97</v>
      </c>
      <c r="M474" s="103" t="s">
        <v>65</v>
      </c>
      <c r="N474" s="103" t="s">
        <v>77</v>
      </c>
      <c r="O474" s="103" t="n">
        <v>42</v>
      </c>
      <c r="P474" s="103" t="n">
        <v>4</v>
      </c>
      <c r="Q474" s="103" t="n">
        <v>4</v>
      </c>
      <c r="R474" s="103" t="s">
        <v>139</v>
      </c>
      <c r="S474" s="103" t="n">
        <v>668</v>
      </c>
      <c r="T474" s="103" t="n">
        <v>668</v>
      </c>
      <c r="U474" s="103" t="s">
        <v>1172</v>
      </c>
      <c r="V474" s="103" t="n">
        <v>2025</v>
      </c>
    </row>
    <row r="475" customFormat="false" ht="14.25" hidden="false" customHeight="false" outlineLevel="0" collapsed="false">
      <c r="A475" s="103" t="s">
        <v>1192</v>
      </c>
      <c r="B475" s="103" t="s">
        <v>463</v>
      </c>
      <c r="C475" s="104" t="n">
        <v>45815</v>
      </c>
      <c r="D475" s="103" t="s">
        <v>109</v>
      </c>
      <c r="E475" s="103" t="n">
        <v>59</v>
      </c>
      <c r="F475" s="103" t="s">
        <v>171</v>
      </c>
      <c r="G475" s="103" t="s">
        <v>85</v>
      </c>
      <c r="H475" s="103" t="n">
        <v>3.9</v>
      </c>
      <c r="I475" s="103" t="n">
        <v>565</v>
      </c>
      <c r="J475" s="103" t="n">
        <v>40</v>
      </c>
      <c r="K475" s="103" t="n">
        <v>150</v>
      </c>
      <c r="L475" s="103" t="s">
        <v>93</v>
      </c>
      <c r="M475" s="103" t="s">
        <v>65</v>
      </c>
      <c r="N475" s="103" t="s">
        <v>77</v>
      </c>
      <c r="O475" s="103" t="n">
        <v>31</v>
      </c>
      <c r="P475" s="103" t="n">
        <v>4.8</v>
      </c>
      <c r="Q475" s="103" t="n">
        <v>5</v>
      </c>
      <c r="R475" s="103" t="s">
        <v>136</v>
      </c>
      <c r="S475" s="103" t="n">
        <v>605</v>
      </c>
      <c r="T475" s="103" t="n">
        <v>455</v>
      </c>
      <c r="U475" s="103" t="s">
        <v>1172</v>
      </c>
      <c r="V475" s="103" t="n">
        <v>2025</v>
      </c>
    </row>
    <row r="476" customFormat="false" ht="14.25" hidden="false" customHeight="false" outlineLevel="0" collapsed="false">
      <c r="A476" s="103" t="s">
        <v>1193</v>
      </c>
      <c r="B476" s="103" t="s">
        <v>464</v>
      </c>
      <c r="C476" s="104" t="n">
        <v>45816</v>
      </c>
      <c r="D476" s="103" t="s">
        <v>101</v>
      </c>
      <c r="E476" s="103" t="n">
        <v>27</v>
      </c>
      <c r="F476" s="103" t="s">
        <v>171</v>
      </c>
      <c r="G476" s="103" t="s">
        <v>81</v>
      </c>
      <c r="H476" s="103" t="n">
        <v>3.4</v>
      </c>
      <c r="I476" s="103" t="n">
        <v>846</v>
      </c>
      <c r="J476" s="103" t="n">
        <v>30</v>
      </c>
      <c r="K476" s="103" t="n">
        <v>50</v>
      </c>
      <c r="L476" s="103" t="s">
        <v>93</v>
      </c>
      <c r="M476" s="103" t="s">
        <v>65</v>
      </c>
      <c r="N476" s="103" t="s">
        <v>78</v>
      </c>
      <c r="O476" s="103" t="n">
        <v>56</v>
      </c>
      <c r="P476" s="103" t="n">
        <v>8.6</v>
      </c>
      <c r="Q476" s="103" t="n">
        <v>5</v>
      </c>
      <c r="R476" s="103" t="s">
        <v>139</v>
      </c>
      <c r="S476" s="103" t="n">
        <v>876</v>
      </c>
      <c r="T476" s="103" t="n">
        <v>826</v>
      </c>
      <c r="U476" s="103" t="s">
        <v>1172</v>
      </c>
      <c r="V476" s="103" t="n">
        <v>2025</v>
      </c>
    </row>
    <row r="477" customFormat="false" ht="14.25" hidden="false" customHeight="false" outlineLevel="0" collapsed="false">
      <c r="A477" s="103" t="s">
        <v>1194</v>
      </c>
      <c r="B477" s="103" t="s">
        <v>465</v>
      </c>
      <c r="C477" s="104" t="n">
        <v>45816</v>
      </c>
      <c r="D477" s="103" t="s">
        <v>103</v>
      </c>
      <c r="E477" s="103" t="n">
        <v>49</v>
      </c>
      <c r="F477" s="103" t="s">
        <v>171</v>
      </c>
      <c r="G477" s="103" t="s">
        <v>82</v>
      </c>
      <c r="H477" s="103" t="n">
        <v>4</v>
      </c>
      <c r="I477" s="103" t="n">
        <v>1798</v>
      </c>
      <c r="J477" s="103" t="n">
        <v>0</v>
      </c>
      <c r="K477" s="103" t="n">
        <v>150</v>
      </c>
      <c r="L477" s="103" t="s">
        <v>93</v>
      </c>
      <c r="M477" s="103" t="s">
        <v>65</v>
      </c>
      <c r="N477" s="103" t="s">
        <v>77</v>
      </c>
      <c r="O477" s="103" t="n">
        <v>33</v>
      </c>
      <c r="P477" s="103" t="n">
        <v>6.3</v>
      </c>
      <c r="Q477" s="103" t="n">
        <v>4</v>
      </c>
      <c r="R477" s="103" t="s">
        <v>136</v>
      </c>
      <c r="S477" s="103" t="n">
        <v>1798</v>
      </c>
      <c r="T477" s="103" t="n">
        <v>1648</v>
      </c>
      <c r="U477" s="103" t="s">
        <v>1172</v>
      </c>
      <c r="V477" s="103" t="n">
        <v>2025</v>
      </c>
    </row>
    <row r="478" customFormat="false" ht="14.25" hidden="false" customHeight="false" outlineLevel="0" collapsed="false">
      <c r="A478" s="103" t="s">
        <v>1195</v>
      </c>
      <c r="B478" s="103" t="s">
        <v>466</v>
      </c>
      <c r="C478" s="104" t="n">
        <v>45816</v>
      </c>
      <c r="D478" s="103" t="s">
        <v>100</v>
      </c>
      <c r="E478" s="103" t="n">
        <v>60</v>
      </c>
      <c r="F478" s="103" t="s">
        <v>171</v>
      </c>
      <c r="G478" s="103" t="s">
        <v>90</v>
      </c>
      <c r="H478" s="103" t="n">
        <v>2.6</v>
      </c>
      <c r="I478" s="103" t="n">
        <v>490</v>
      </c>
      <c r="J478" s="103" t="n">
        <v>30</v>
      </c>
      <c r="K478" s="103" t="n">
        <v>20</v>
      </c>
      <c r="L478" s="103" t="s">
        <v>93</v>
      </c>
      <c r="M478" s="103" t="s">
        <v>65</v>
      </c>
      <c r="N478" s="103" t="s">
        <v>78</v>
      </c>
      <c r="O478" s="103" t="n">
        <v>45</v>
      </c>
      <c r="P478" s="103" t="n">
        <v>10.3</v>
      </c>
      <c r="Q478" s="103" t="n">
        <v>3</v>
      </c>
      <c r="R478" s="103" t="s">
        <v>136</v>
      </c>
      <c r="S478" s="103" t="n">
        <v>520</v>
      </c>
      <c r="T478" s="103" t="n">
        <v>500</v>
      </c>
      <c r="U478" s="103" t="s">
        <v>1172</v>
      </c>
      <c r="V478" s="103" t="n">
        <v>2025</v>
      </c>
    </row>
    <row r="479" customFormat="false" ht="14.25" hidden="false" customHeight="false" outlineLevel="0" collapsed="false">
      <c r="A479" s="103" t="s">
        <v>1196</v>
      </c>
      <c r="B479" s="103" t="s">
        <v>467</v>
      </c>
      <c r="C479" s="104" t="n">
        <v>45817</v>
      </c>
      <c r="D479" s="103" t="s">
        <v>104</v>
      </c>
      <c r="E479" s="103" t="n">
        <v>47</v>
      </c>
      <c r="F479" s="103" t="s">
        <v>170</v>
      </c>
      <c r="G479" s="103" t="s">
        <v>82</v>
      </c>
      <c r="H479" s="103" t="n">
        <v>2.8</v>
      </c>
      <c r="I479" s="103" t="n">
        <v>293</v>
      </c>
      <c r="J479" s="103" t="n">
        <v>0</v>
      </c>
      <c r="K479" s="103" t="n">
        <v>100</v>
      </c>
      <c r="L479" s="103" t="s">
        <v>94</v>
      </c>
      <c r="M479" s="103" t="s">
        <v>65</v>
      </c>
      <c r="N479" s="103" t="s">
        <v>77</v>
      </c>
      <c r="O479" s="103" t="n">
        <v>25</v>
      </c>
      <c r="P479" s="103" t="n">
        <v>1.3</v>
      </c>
      <c r="Q479" s="103" t="n">
        <v>4</v>
      </c>
      <c r="R479" s="103" t="s">
        <v>132</v>
      </c>
      <c r="S479" s="103" t="n">
        <v>293</v>
      </c>
      <c r="T479" s="103" t="n">
        <v>193</v>
      </c>
      <c r="U479" s="103" t="s">
        <v>1172</v>
      </c>
      <c r="V479" s="103" t="n">
        <v>2025</v>
      </c>
    </row>
    <row r="480" customFormat="false" ht="14.25" hidden="false" customHeight="false" outlineLevel="0" collapsed="false">
      <c r="A480" s="103" t="s">
        <v>1197</v>
      </c>
      <c r="B480" s="103" t="s">
        <v>468</v>
      </c>
      <c r="C480" s="104" t="n">
        <v>45817</v>
      </c>
      <c r="D480" s="103" t="s">
        <v>104</v>
      </c>
      <c r="E480" s="103" t="n">
        <v>56</v>
      </c>
      <c r="F480" s="103" t="s">
        <v>170</v>
      </c>
      <c r="G480" s="103" t="s">
        <v>89</v>
      </c>
      <c r="H480" s="103" t="n">
        <v>2.8</v>
      </c>
      <c r="I480" s="103" t="n">
        <v>1103</v>
      </c>
      <c r="J480" s="103" t="n">
        <v>20</v>
      </c>
      <c r="K480" s="103" t="n">
        <v>150</v>
      </c>
      <c r="L480" s="103" t="s">
        <v>95</v>
      </c>
      <c r="M480" s="103" t="s">
        <v>65</v>
      </c>
      <c r="N480" s="103" t="s">
        <v>78</v>
      </c>
      <c r="O480" s="103" t="n">
        <v>29</v>
      </c>
      <c r="P480" s="103" t="n">
        <v>2.3</v>
      </c>
      <c r="Q480" s="103" t="n">
        <v>3</v>
      </c>
      <c r="R480" s="103" t="s">
        <v>141</v>
      </c>
      <c r="S480" s="103" t="n">
        <v>1123</v>
      </c>
      <c r="T480" s="103" t="n">
        <v>973</v>
      </c>
      <c r="U480" s="103" t="s">
        <v>1172</v>
      </c>
      <c r="V480" s="103" t="n">
        <v>2025</v>
      </c>
    </row>
    <row r="481" customFormat="false" ht="14.25" hidden="false" customHeight="false" outlineLevel="0" collapsed="false">
      <c r="A481" s="103" t="s">
        <v>1198</v>
      </c>
      <c r="B481" s="103" t="s">
        <v>469</v>
      </c>
      <c r="C481" s="104" t="n">
        <v>45817</v>
      </c>
      <c r="D481" s="103" t="s">
        <v>100</v>
      </c>
      <c r="E481" s="103" t="n">
        <v>48</v>
      </c>
      <c r="F481" s="103" t="s">
        <v>170</v>
      </c>
      <c r="G481" s="103" t="s">
        <v>86</v>
      </c>
      <c r="H481" s="103" t="n">
        <v>3</v>
      </c>
      <c r="I481" s="103" t="n">
        <v>941</v>
      </c>
      <c r="J481" s="103" t="n">
        <v>60</v>
      </c>
      <c r="K481" s="103" t="n">
        <v>75</v>
      </c>
      <c r="L481" s="103" t="s">
        <v>96</v>
      </c>
      <c r="M481" s="103" t="s">
        <v>66</v>
      </c>
      <c r="N481" s="103" t="s">
        <v>78</v>
      </c>
      <c r="O481" s="103" t="n">
        <v>24</v>
      </c>
      <c r="P481" s="103" t="n">
        <v>7.7</v>
      </c>
      <c r="Q481" s="103" t="n">
        <v>2</v>
      </c>
      <c r="R481" s="103" t="s">
        <v>138</v>
      </c>
      <c r="S481" s="103" t="n">
        <v>1001</v>
      </c>
      <c r="T481" s="103" t="n">
        <v>926</v>
      </c>
      <c r="U481" s="103" t="s">
        <v>1172</v>
      </c>
      <c r="V481" s="103" t="n">
        <v>2025</v>
      </c>
    </row>
    <row r="482" customFormat="false" ht="14.25" hidden="false" customHeight="false" outlineLevel="0" collapsed="false">
      <c r="A482" s="103" t="s">
        <v>1199</v>
      </c>
      <c r="B482" s="103" t="s">
        <v>470</v>
      </c>
      <c r="C482" s="104" t="n">
        <v>45818</v>
      </c>
      <c r="D482" s="103" t="s">
        <v>110</v>
      </c>
      <c r="E482" s="103" t="n">
        <v>35</v>
      </c>
      <c r="F482" s="103" t="s">
        <v>171</v>
      </c>
      <c r="G482" s="103" t="s">
        <v>83</v>
      </c>
      <c r="H482" s="103" t="n">
        <v>3.6</v>
      </c>
      <c r="I482" s="103" t="n">
        <v>1001</v>
      </c>
      <c r="J482" s="103" t="n">
        <v>40</v>
      </c>
      <c r="K482" s="103" t="n">
        <v>100</v>
      </c>
      <c r="L482" s="103" t="s">
        <v>96</v>
      </c>
      <c r="M482" s="103" t="s">
        <v>65</v>
      </c>
      <c r="N482" s="103" t="s">
        <v>77</v>
      </c>
      <c r="O482" s="103" t="n">
        <v>57</v>
      </c>
      <c r="P482" s="103" t="n">
        <v>5.4</v>
      </c>
      <c r="Q482" s="103" t="n">
        <v>5</v>
      </c>
      <c r="R482" s="103" t="s">
        <v>139</v>
      </c>
      <c r="S482" s="103" t="n">
        <v>1041</v>
      </c>
      <c r="T482" s="103" t="n">
        <v>941</v>
      </c>
      <c r="U482" s="103" t="s">
        <v>1172</v>
      </c>
      <c r="V482" s="103" t="n">
        <v>2025</v>
      </c>
    </row>
    <row r="483" customFormat="false" ht="14.25" hidden="false" customHeight="false" outlineLevel="0" collapsed="false">
      <c r="A483" s="103" t="s">
        <v>1200</v>
      </c>
      <c r="B483" s="103" t="s">
        <v>471</v>
      </c>
      <c r="C483" s="104" t="n">
        <v>45818</v>
      </c>
      <c r="D483" s="103" t="s">
        <v>107</v>
      </c>
      <c r="E483" s="103" t="n">
        <v>53</v>
      </c>
      <c r="F483" s="103" t="s">
        <v>170</v>
      </c>
      <c r="G483" s="103" t="s">
        <v>84</v>
      </c>
      <c r="H483" s="103" t="n">
        <v>4.4</v>
      </c>
      <c r="I483" s="103" t="n">
        <v>1240</v>
      </c>
      <c r="J483" s="103" t="n">
        <v>20</v>
      </c>
      <c r="K483" s="103" t="n">
        <v>10</v>
      </c>
      <c r="L483" s="103" t="s">
        <v>94</v>
      </c>
      <c r="M483" s="103" t="s">
        <v>67</v>
      </c>
      <c r="N483" s="103" t="s">
        <v>78</v>
      </c>
      <c r="O483" s="103" t="n">
        <v>37</v>
      </c>
      <c r="P483" s="103" t="n">
        <v>4.8</v>
      </c>
      <c r="Q483" s="103" t="n">
        <v>5</v>
      </c>
      <c r="R483" s="103" t="s">
        <v>139</v>
      </c>
      <c r="S483" s="103" t="n">
        <v>1260</v>
      </c>
      <c r="T483" s="103" t="n">
        <v>1250</v>
      </c>
      <c r="U483" s="103" t="s">
        <v>1172</v>
      </c>
      <c r="V483" s="103" t="n">
        <v>2025</v>
      </c>
    </row>
    <row r="484" customFormat="false" ht="14.25" hidden="false" customHeight="false" outlineLevel="0" collapsed="false">
      <c r="A484" s="103" t="s">
        <v>1201</v>
      </c>
      <c r="B484" s="103" t="s">
        <v>472</v>
      </c>
      <c r="C484" s="104" t="n">
        <v>45818</v>
      </c>
      <c r="D484" s="103" t="s">
        <v>109</v>
      </c>
      <c r="E484" s="103" t="n">
        <v>19</v>
      </c>
      <c r="F484" s="103" t="s">
        <v>171</v>
      </c>
      <c r="G484" s="103" t="s">
        <v>82</v>
      </c>
      <c r="H484" s="103" t="n">
        <v>4.8</v>
      </c>
      <c r="I484" s="103" t="n">
        <v>569</v>
      </c>
      <c r="J484" s="103" t="n">
        <v>20</v>
      </c>
      <c r="K484" s="103" t="n">
        <v>150</v>
      </c>
      <c r="L484" s="103" t="s">
        <v>95</v>
      </c>
      <c r="M484" s="103" t="s">
        <v>65</v>
      </c>
      <c r="N484" s="103" t="s">
        <v>77</v>
      </c>
      <c r="O484" s="103" t="n">
        <v>17</v>
      </c>
      <c r="P484" s="103" t="n">
        <v>1.5</v>
      </c>
      <c r="Q484" s="103" t="n">
        <v>3</v>
      </c>
      <c r="R484" s="103" t="s">
        <v>139</v>
      </c>
      <c r="S484" s="103" t="n">
        <v>589</v>
      </c>
      <c r="T484" s="103" t="n">
        <v>439</v>
      </c>
      <c r="U484" s="103" t="s">
        <v>1172</v>
      </c>
      <c r="V484" s="103" t="n">
        <v>2025</v>
      </c>
    </row>
    <row r="485" customFormat="false" ht="14.25" hidden="false" customHeight="false" outlineLevel="0" collapsed="false">
      <c r="A485" s="103" t="s">
        <v>1202</v>
      </c>
      <c r="B485" s="103" t="s">
        <v>473</v>
      </c>
      <c r="C485" s="104" t="n">
        <v>45819</v>
      </c>
      <c r="D485" s="103" t="s">
        <v>105</v>
      </c>
      <c r="E485" s="103" t="n">
        <v>31</v>
      </c>
      <c r="F485" s="103" t="s">
        <v>172</v>
      </c>
      <c r="G485" s="103" t="s">
        <v>86</v>
      </c>
      <c r="H485" s="103" t="n">
        <v>4.6</v>
      </c>
      <c r="I485" s="103" t="n">
        <v>1650</v>
      </c>
      <c r="J485" s="103" t="n">
        <v>60</v>
      </c>
      <c r="K485" s="103" t="n">
        <v>50</v>
      </c>
      <c r="L485" s="103" t="s">
        <v>93</v>
      </c>
      <c r="M485" s="103" t="s">
        <v>65</v>
      </c>
      <c r="N485" s="103" t="s">
        <v>77</v>
      </c>
      <c r="O485" s="103" t="n">
        <v>17</v>
      </c>
      <c r="P485" s="103" t="n">
        <v>13.5</v>
      </c>
      <c r="Q485" s="103" t="n">
        <v>2</v>
      </c>
      <c r="R485" s="103" t="s">
        <v>132</v>
      </c>
      <c r="S485" s="103" t="n">
        <v>1710</v>
      </c>
      <c r="T485" s="103" t="n">
        <v>1660</v>
      </c>
      <c r="U485" s="103" t="s">
        <v>1172</v>
      </c>
      <c r="V485" s="103" t="n">
        <v>2025</v>
      </c>
    </row>
    <row r="486" customFormat="false" ht="14.25" hidden="false" customHeight="false" outlineLevel="0" collapsed="false">
      <c r="A486" s="103" t="s">
        <v>1203</v>
      </c>
      <c r="B486" s="103" t="s">
        <v>474</v>
      </c>
      <c r="C486" s="104" t="n">
        <v>45819</v>
      </c>
      <c r="D486" s="103" t="s">
        <v>103</v>
      </c>
      <c r="E486" s="103" t="n">
        <v>30</v>
      </c>
      <c r="F486" s="103" t="s">
        <v>170</v>
      </c>
      <c r="G486" s="103" t="s">
        <v>89</v>
      </c>
      <c r="H486" s="103" t="n">
        <v>3</v>
      </c>
      <c r="I486" s="103" t="n">
        <v>852</v>
      </c>
      <c r="J486" s="103" t="n">
        <v>60</v>
      </c>
      <c r="K486" s="103" t="n">
        <v>100</v>
      </c>
      <c r="L486" s="103" t="s">
        <v>94</v>
      </c>
      <c r="M486" s="103" t="s">
        <v>67</v>
      </c>
      <c r="N486" s="103" t="s">
        <v>77</v>
      </c>
      <c r="O486" s="103" t="n">
        <v>32</v>
      </c>
      <c r="P486" s="103" t="n">
        <v>10.5</v>
      </c>
      <c r="Q486" s="103" t="n">
        <v>4</v>
      </c>
      <c r="R486" s="103" t="s">
        <v>140</v>
      </c>
      <c r="S486" s="103" t="n">
        <v>912</v>
      </c>
      <c r="T486" s="103" t="n">
        <v>812</v>
      </c>
      <c r="U486" s="103" t="s">
        <v>1172</v>
      </c>
      <c r="V486" s="103" t="n">
        <v>2025</v>
      </c>
    </row>
    <row r="487" customFormat="false" ht="14.25" hidden="false" customHeight="false" outlineLevel="0" collapsed="false">
      <c r="A487" s="103" t="s">
        <v>1204</v>
      </c>
      <c r="B487" s="103" t="s">
        <v>475</v>
      </c>
      <c r="C487" s="104" t="n">
        <v>45819</v>
      </c>
      <c r="D487" s="103" t="s">
        <v>100</v>
      </c>
      <c r="E487" s="103" t="n">
        <v>46</v>
      </c>
      <c r="F487" s="103" t="s">
        <v>171</v>
      </c>
      <c r="G487" s="103" t="s">
        <v>84</v>
      </c>
      <c r="H487" s="103" t="n">
        <v>3.6</v>
      </c>
      <c r="I487" s="103" t="n">
        <v>337</v>
      </c>
      <c r="J487" s="103" t="n">
        <v>0</v>
      </c>
      <c r="K487" s="103" t="n">
        <v>0</v>
      </c>
      <c r="L487" s="103" t="s">
        <v>93</v>
      </c>
      <c r="M487" s="103" t="s">
        <v>67</v>
      </c>
      <c r="N487" s="103" t="s">
        <v>77</v>
      </c>
      <c r="O487" s="103" t="n">
        <v>39</v>
      </c>
      <c r="P487" s="103" t="n">
        <v>2.3</v>
      </c>
      <c r="Q487" s="103" t="n">
        <v>4</v>
      </c>
      <c r="R487" s="103" t="s">
        <v>131</v>
      </c>
      <c r="S487" s="103" t="n">
        <v>337</v>
      </c>
      <c r="T487" s="103" t="n">
        <v>337</v>
      </c>
      <c r="U487" s="103" t="s">
        <v>1172</v>
      </c>
      <c r="V487" s="103" t="n">
        <v>2025</v>
      </c>
    </row>
    <row r="488" customFormat="false" ht="14.25" hidden="false" customHeight="false" outlineLevel="0" collapsed="false">
      <c r="A488" s="103" t="s">
        <v>1205</v>
      </c>
      <c r="B488" s="103" t="s">
        <v>476</v>
      </c>
      <c r="C488" s="104" t="n">
        <v>45820</v>
      </c>
      <c r="D488" s="103" t="s">
        <v>108</v>
      </c>
      <c r="E488" s="103" t="n">
        <v>29</v>
      </c>
      <c r="F488" s="103" t="s">
        <v>170</v>
      </c>
      <c r="G488" s="103" t="s">
        <v>82</v>
      </c>
      <c r="H488" s="103" t="n">
        <v>3</v>
      </c>
      <c r="I488" s="103" t="n">
        <v>1367</v>
      </c>
      <c r="J488" s="103" t="n">
        <v>30</v>
      </c>
      <c r="K488" s="103" t="n">
        <v>50</v>
      </c>
      <c r="L488" s="103" t="s">
        <v>93</v>
      </c>
      <c r="M488" s="103" t="s">
        <v>67</v>
      </c>
      <c r="N488" s="103" t="s">
        <v>77</v>
      </c>
      <c r="O488" s="103" t="n">
        <v>57</v>
      </c>
      <c r="P488" s="103" t="n">
        <v>1.4</v>
      </c>
      <c r="Q488" s="103" t="n">
        <v>3</v>
      </c>
      <c r="R488" s="103" t="s">
        <v>139</v>
      </c>
      <c r="S488" s="103" t="n">
        <v>1397</v>
      </c>
      <c r="T488" s="103" t="n">
        <v>1347</v>
      </c>
      <c r="U488" s="103" t="s">
        <v>1172</v>
      </c>
      <c r="V488" s="103" t="n">
        <v>2025</v>
      </c>
    </row>
    <row r="489" customFormat="false" ht="14.25" hidden="false" customHeight="false" outlineLevel="0" collapsed="false">
      <c r="A489" s="103" t="s">
        <v>1206</v>
      </c>
      <c r="B489" s="103" t="s">
        <v>477</v>
      </c>
      <c r="C489" s="104" t="n">
        <v>45820</v>
      </c>
      <c r="D489" s="103" t="s">
        <v>103</v>
      </c>
      <c r="E489" s="103" t="n">
        <v>56</v>
      </c>
      <c r="F489" s="103" t="s">
        <v>171</v>
      </c>
      <c r="G489" s="103" t="s">
        <v>85</v>
      </c>
      <c r="H489" s="103" t="n">
        <v>3.2</v>
      </c>
      <c r="I489" s="103" t="n">
        <v>1200</v>
      </c>
      <c r="J489" s="103" t="n">
        <v>50</v>
      </c>
      <c r="K489" s="103" t="n">
        <v>0</v>
      </c>
      <c r="L489" s="103" t="s">
        <v>93</v>
      </c>
      <c r="M489" s="103" t="s">
        <v>67</v>
      </c>
      <c r="N489" s="103" t="s">
        <v>77</v>
      </c>
      <c r="O489" s="103" t="n">
        <v>34</v>
      </c>
      <c r="P489" s="103" t="n">
        <v>14.6</v>
      </c>
      <c r="Q489" s="103" t="n">
        <v>4</v>
      </c>
      <c r="R489" s="103" t="s">
        <v>140</v>
      </c>
      <c r="S489" s="103" t="n">
        <v>1250</v>
      </c>
      <c r="T489" s="103" t="n">
        <v>1250</v>
      </c>
      <c r="U489" s="103" t="s">
        <v>1172</v>
      </c>
      <c r="V489" s="103" t="n">
        <v>2025</v>
      </c>
    </row>
    <row r="490" customFormat="false" ht="14.25" hidden="false" customHeight="false" outlineLevel="0" collapsed="false">
      <c r="A490" s="103" t="s">
        <v>1207</v>
      </c>
      <c r="B490" s="103" t="s">
        <v>478</v>
      </c>
      <c r="C490" s="104" t="n">
        <v>45820</v>
      </c>
      <c r="D490" s="103" t="s">
        <v>107</v>
      </c>
      <c r="E490" s="103" t="n">
        <v>19</v>
      </c>
      <c r="F490" s="103" t="s">
        <v>170</v>
      </c>
      <c r="G490" s="103" t="s">
        <v>86</v>
      </c>
      <c r="H490" s="103" t="n">
        <v>3.8</v>
      </c>
      <c r="I490" s="103" t="n">
        <v>650</v>
      </c>
      <c r="J490" s="103" t="n">
        <v>0</v>
      </c>
      <c r="K490" s="103" t="n">
        <v>150</v>
      </c>
      <c r="L490" s="103" t="s">
        <v>94</v>
      </c>
      <c r="M490" s="103" t="s">
        <v>65</v>
      </c>
      <c r="N490" s="103" t="s">
        <v>78</v>
      </c>
      <c r="O490" s="103" t="n">
        <v>43</v>
      </c>
      <c r="P490" s="103" t="n">
        <v>10.4</v>
      </c>
      <c r="Q490" s="103" t="n">
        <v>3</v>
      </c>
      <c r="R490" s="103" t="s">
        <v>141</v>
      </c>
      <c r="S490" s="103" t="n">
        <v>650</v>
      </c>
      <c r="T490" s="103" t="n">
        <v>500</v>
      </c>
      <c r="U490" s="103" t="s">
        <v>1172</v>
      </c>
      <c r="V490" s="103" t="n">
        <v>2025</v>
      </c>
    </row>
    <row r="491" customFormat="false" ht="14.25" hidden="false" customHeight="false" outlineLevel="0" collapsed="false">
      <c r="A491" s="103" t="s">
        <v>1208</v>
      </c>
      <c r="B491" s="103" t="s">
        <v>479</v>
      </c>
      <c r="C491" s="104" t="n">
        <v>45821</v>
      </c>
      <c r="D491" s="103" t="s">
        <v>108</v>
      </c>
      <c r="E491" s="103" t="n">
        <v>49</v>
      </c>
      <c r="F491" s="103" t="s">
        <v>171</v>
      </c>
      <c r="G491" s="103" t="s">
        <v>84</v>
      </c>
      <c r="H491" s="103" t="n">
        <v>2.7</v>
      </c>
      <c r="I491" s="103" t="n">
        <v>1164</v>
      </c>
      <c r="J491" s="103" t="n">
        <v>50</v>
      </c>
      <c r="K491" s="103" t="n">
        <v>30</v>
      </c>
      <c r="L491" s="103" t="s">
        <v>94</v>
      </c>
      <c r="M491" s="103" t="s">
        <v>65</v>
      </c>
      <c r="N491" s="103" t="s">
        <v>77</v>
      </c>
      <c r="O491" s="103" t="n">
        <v>36</v>
      </c>
      <c r="P491" s="103" t="n">
        <v>6.6</v>
      </c>
      <c r="Q491" s="103" t="n">
        <v>5</v>
      </c>
      <c r="R491" s="103" t="s">
        <v>139</v>
      </c>
      <c r="S491" s="103" t="n">
        <v>1214</v>
      </c>
      <c r="T491" s="103" t="n">
        <v>1184</v>
      </c>
      <c r="U491" s="103" t="s">
        <v>1172</v>
      </c>
      <c r="V491" s="103" t="n">
        <v>2025</v>
      </c>
    </row>
    <row r="492" customFormat="false" ht="14.25" hidden="false" customHeight="false" outlineLevel="0" collapsed="false">
      <c r="A492" s="103" t="s">
        <v>1209</v>
      </c>
      <c r="B492" s="103" t="s">
        <v>480</v>
      </c>
      <c r="C492" s="104" t="n">
        <v>45821</v>
      </c>
      <c r="D492" s="103" t="s">
        <v>102</v>
      </c>
      <c r="E492" s="103" t="n">
        <v>30</v>
      </c>
      <c r="F492" s="103" t="s">
        <v>171</v>
      </c>
      <c r="G492" s="103" t="s">
        <v>82</v>
      </c>
      <c r="H492" s="103" t="n">
        <v>3</v>
      </c>
      <c r="I492" s="103" t="n">
        <v>489</v>
      </c>
      <c r="J492" s="103" t="n">
        <v>20</v>
      </c>
      <c r="K492" s="103" t="n">
        <v>30</v>
      </c>
      <c r="L492" s="103" t="s">
        <v>96</v>
      </c>
      <c r="M492" s="103" t="s">
        <v>66</v>
      </c>
      <c r="N492" s="103" t="s">
        <v>77</v>
      </c>
      <c r="O492" s="103" t="n">
        <v>64</v>
      </c>
      <c r="P492" s="103" t="n">
        <v>10.7</v>
      </c>
      <c r="Q492" s="103" t="n">
        <v>5</v>
      </c>
      <c r="R492" s="103" t="s">
        <v>138</v>
      </c>
      <c r="S492" s="103" t="n">
        <v>509</v>
      </c>
      <c r="T492" s="103" t="n">
        <v>479</v>
      </c>
      <c r="U492" s="103" t="s">
        <v>1172</v>
      </c>
      <c r="V492" s="103" t="n">
        <v>2025</v>
      </c>
    </row>
    <row r="493" customFormat="false" ht="14.25" hidden="false" customHeight="false" outlineLevel="0" collapsed="false">
      <c r="A493" s="103" t="s">
        <v>1210</v>
      </c>
      <c r="B493" s="103" t="s">
        <v>481</v>
      </c>
      <c r="C493" s="104" t="n">
        <v>45821</v>
      </c>
      <c r="D493" s="103" t="s">
        <v>101</v>
      </c>
      <c r="E493" s="103" t="n">
        <v>44</v>
      </c>
      <c r="F493" s="103" t="s">
        <v>170</v>
      </c>
      <c r="G493" s="103" t="s">
        <v>86</v>
      </c>
      <c r="H493" s="103" t="n">
        <v>4.8</v>
      </c>
      <c r="I493" s="103" t="n">
        <v>867</v>
      </c>
      <c r="J493" s="103" t="n">
        <v>50</v>
      </c>
      <c r="K493" s="103" t="n">
        <v>10</v>
      </c>
      <c r="L493" s="103" t="s">
        <v>93</v>
      </c>
      <c r="M493" s="103" t="s">
        <v>65</v>
      </c>
      <c r="N493" s="103" t="s">
        <v>77</v>
      </c>
      <c r="O493" s="103" t="n">
        <v>29</v>
      </c>
      <c r="P493" s="103" t="n">
        <v>11.5</v>
      </c>
      <c r="Q493" s="103" t="n">
        <v>5</v>
      </c>
      <c r="R493" s="103" t="s">
        <v>137</v>
      </c>
      <c r="S493" s="103" t="n">
        <v>917</v>
      </c>
      <c r="T493" s="103" t="n">
        <v>907</v>
      </c>
      <c r="U493" s="103" t="s">
        <v>1172</v>
      </c>
      <c r="V493" s="103" t="n">
        <v>2025</v>
      </c>
    </row>
    <row r="494" customFormat="false" ht="14.25" hidden="false" customHeight="false" outlineLevel="0" collapsed="false">
      <c r="A494" s="103" t="s">
        <v>1211</v>
      </c>
      <c r="B494" s="103" t="s">
        <v>482</v>
      </c>
      <c r="C494" s="104" t="n">
        <v>45822</v>
      </c>
      <c r="D494" s="103" t="s">
        <v>104</v>
      </c>
      <c r="E494" s="103" t="n">
        <v>58</v>
      </c>
      <c r="F494" s="103" t="s">
        <v>171</v>
      </c>
      <c r="G494" s="103" t="s">
        <v>89</v>
      </c>
      <c r="H494" s="103" t="n">
        <v>3.7</v>
      </c>
      <c r="I494" s="103" t="n">
        <v>1631</v>
      </c>
      <c r="J494" s="103" t="n">
        <v>30</v>
      </c>
      <c r="K494" s="103" t="n">
        <v>50</v>
      </c>
      <c r="L494" s="103" t="s">
        <v>97</v>
      </c>
      <c r="M494" s="103" t="s">
        <v>67</v>
      </c>
      <c r="N494" s="103" t="s">
        <v>77</v>
      </c>
      <c r="O494" s="103" t="n">
        <v>53</v>
      </c>
      <c r="P494" s="103" t="n">
        <v>11.8</v>
      </c>
      <c r="Q494" s="103" t="n">
        <v>4</v>
      </c>
      <c r="R494" s="103" t="s">
        <v>135</v>
      </c>
      <c r="S494" s="103" t="n">
        <v>1661</v>
      </c>
      <c r="T494" s="103" t="n">
        <v>1611</v>
      </c>
      <c r="U494" s="103" t="s">
        <v>1172</v>
      </c>
      <c r="V494" s="103" t="n">
        <v>2025</v>
      </c>
    </row>
    <row r="495" customFormat="false" ht="14.25" hidden="false" customHeight="false" outlineLevel="0" collapsed="false">
      <c r="A495" s="103" t="s">
        <v>1212</v>
      </c>
      <c r="B495" s="103" t="s">
        <v>483</v>
      </c>
      <c r="C495" s="104" t="n">
        <v>45822</v>
      </c>
      <c r="D495" s="103" t="s">
        <v>102</v>
      </c>
      <c r="E495" s="103" t="n">
        <v>34</v>
      </c>
      <c r="F495" s="103" t="s">
        <v>170</v>
      </c>
      <c r="G495" s="103" t="s">
        <v>82</v>
      </c>
      <c r="H495" s="103" t="n">
        <v>3.6</v>
      </c>
      <c r="I495" s="103" t="n">
        <v>344</v>
      </c>
      <c r="J495" s="103" t="n">
        <v>0</v>
      </c>
      <c r="K495" s="103" t="n">
        <v>0</v>
      </c>
      <c r="L495" s="103" t="s">
        <v>95</v>
      </c>
      <c r="M495" s="103" t="s">
        <v>65</v>
      </c>
      <c r="N495" s="103" t="s">
        <v>77</v>
      </c>
      <c r="O495" s="103" t="n">
        <v>24</v>
      </c>
      <c r="P495" s="103" t="n">
        <v>7.4</v>
      </c>
      <c r="Q495" s="103" t="n">
        <v>5</v>
      </c>
      <c r="R495" s="103" t="s">
        <v>133</v>
      </c>
      <c r="S495" s="103" t="n">
        <v>344</v>
      </c>
      <c r="T495" s="103" t="n">
        <v>344</v>
      </c>
      <c r="U495" s="103" t="s">
        <v>1172</v>
      </c>
      <c r="V495" s="103" t="n">
        <v>2025</v>
      </c>
    </row>
    <row r="496" customFormat="false" ht="14.25" hidden="false" customHeight="false" outlineLevel="0" collapsed="false">
      <c r="A496" s="103" t="s">
        <v>1213</v>
      </c>
      <c r="B496" s="103" t="s">
        <v>484</v>
      </c>
      <c r="C496" s="104" t="n">
        <v>45822</v>
      </c>
      <c r="D496" s="103" t="s">
        <v>103</v>
      </c>
      <c r="E496" s="103" t="n">
        <v>57</v>
      </c>
      <c r="F496" s="103" t="s">
        <v>171</v>
      </c>
      <c r="G496" s="103" t="s">
        <v>82</v>
      </c>
      <c r="H496" s="103" t="n">
        <v>2.5</v>
      </c>
      <c r="I496" s="103" t="n">
        <v>770</v>
      </c>
      <c r="J496" s="103" t="n">
        <v>60</v>
      </c>
      <c r="K496" s="103" t="n">
        <v>200</v>
      </c>
      <c r="L496" s="103" t="s">
        <v>94</v>
      </c>
      <c r="M496" s="103" t="s">
        <v>65</v>
      </c>
      <c r="N496" s="103" t="s">
        <v>77</v>
      </c>
      <c r="O496" s="103" t="n">
        <v>35</v>
      </c>
      <c r="P496" s="103" t="n">
        <v>6.7</v>
      </c>
      <c r="Q496" s="103" t="n">
        <v>5</v>
      </c>
      <c r="R496" s="103" t="s">
        <v>135</v>
      </c>
      <c r="S496" s="103" t="n">
        <v>830</v>
      </c>
      <c r="T496" s="103" t="n">
        <v>630</v>
      </c>
      <c r="U496" s="103" t="s">
        <v>1172</v>
      </c>
      <c r="V496" s="103" t="n">
        <v>2025</v>
      </c>
    </row>
    <row r="497" customFormat="false" ht="14.25" hidden="false" customHeight="false" outlineLevel="0" collapsed="false">
      <c r="A497" s="103" t="s">
        <v>1214</v>
      </c>
      <c r="B497" s="103" t="s">
        <v>485</v>
      </c>
      <c r="C497" s="104" t="n">
        <v>45823</v>
      </c>
      <c r="D497" s="103" t="s">
        <v>107</v>
      </c>
      <c r="E497" s="103" t="n">
        <v>48</v>
      </c>
      <c r="F497" s="103" t="s">
        <v>170</v>
      </c>
      <c r="G497" s="103" t="s">
        <v>82</v>
      </c>
      <c r="H497" s="103" t="n">
        <v>3.1</v>
      </c>
      <c r="I497" s="103" t="n">
        <v>1500</v>
      </c>
      <c r="J497" s="103" t="n">
        <v>30</v>
      </c>
      <c r="K497" s="103" t="n">
        <v>50</v>
      </c>
      <c r="L497" s="103" t="s">
        <v>95</v>
      </c>
      <c r="M497" s="103" t="s">
        <v>67</v>
      </c>
      <c r="N497" s="103" t="s">
        <v>77</v>
      </c>
      <c r="O497" s="103" t="n">
        <v>69</v>
      </c>
      <c r="P497" s="103" t="n">
        <v>0.7</v>
      </c>
      <c r="Q497" s="103" t="n">
        <v>3</v>
      </c>
      <c r="R497" s="103" t="s">
        <v>139</v>
      </c>
      <c r="S497" s="103" t="n">
        <v>1530</v>
      </c>
      <c r="T497" s="103" t="n">
        <v>1480</v>
      </c>
      <c r="U497" s="103" t="s">
        <v>1172</v>
      </c>
      <c r="V497" s="103" t="n">
        <v>2025</v>
      </c>
    </row>
    <row r="498" customFormat="false" ht="14.25" hidden="false" customHeight="false" outlineLevel="0" collapsed="false">
      <c r="A498" s="103" t="s">
        <v>1215</v>
      </c>
      <c r="B498" s="103" t="s">
        <v>486</v>
      </c>
      <c r="C498" s="104" t="n">
        <v>45823</v>
      </c>
      <c r="D498" s="103" t="s">
        <v>109</v>
      </c>
      <c r="E498" s="103" t="n">
        <v>51</v>
      </c>
      <c r="F498" s="103" t="s">
        <v>170</v>
      </c>
      <c r="G498" s="103" t="s">
        <v>88</v>
      </c>
      <c r="H498" s="103" t="n">
        <v>4.7</v>
      </c>
      <c r="I498" s="103" t="n">
        <v>1749</v>
      </c>
      <c r="J498" s="103" t="n">
        <v>30</v>
      </c>
      <c r="K498" s="103" t="n">
        <v>75</v>
      </c>
      <c r="L498" s="103" t="s">
        <v>93</v>
      </c>
      <c r="M498" s="103" t="s">
        <v>65</v>
      </c>
      <c r="N498" s="103" t="s">
        <v>78</v>
      </c>
      <c r="O498" s="103" t="n">
        <v>66</v>
      </c>
      <c r="P498" s="103" t="n">
        <v>13.9</v>
      </c>
      <c r="Q498" s="103" t="n">
        <v>3</v>
      </c>
      <c r="R498" s="103" t="s">
        <v>131</v>
      </c>
      <c r="S498" s="103" t="n">
        <v>1779</v>
      </c>
      <c r="T498" s="103" t="n">
        <v>1704</v>
      </c>
      <c r="U498" s="103" t="s">
        <v>1172</v>
      </c>
      <c r="V498" s="103" t="n">
        <v>2025</v>
      </c>
    </row>
    <row r="499" customFormat="false" ht="14.25" hidden="false" customHeight="false" outlineLevel="0" collapsed="false">
      <c r="A499" s="103" t="s">
        <v>1216</v>
      </c>
      <c r="B499" s="103" t="s">
        <v>487</v>
      </c>
      <c r="C499" s="104" t="n">
        <v>45823</v>
      </c>
      <c r="D499" s="103" t="s">
        <v>101</v>
      </c>
      <c r="E499" s="103" t="n">
        <v>41</v>
      </c>
      <c r="F499" s="103" t="s">
        <v>170</v>
      </c>
      <c r="G499" s="103" t="s">
        <v>85</v>
      </c>
      <c r="H499" s="103" t="n">
        <v>2.9</v>
      </c>
      <c r="I499" s="103" t="n">
        <v>883</v>
      </c>
      <c r="J499" s="103" t="n">
        <v>0</v>
      </c>
      <c r="K499" s="103" t="n">
        <v>10</v>
      </c>
      <c r="L499" s="103" t="s">
        <v>96</v>
      </c>
      <c r="M499" s="103" t="s">
        <v>65</v>
      </c>
      <c r="N499" s="103" t="s">
        <v>77</v>
      </c>
      <c r="O499" s="103" t="n">
        <v>43</v>
      </c>
      <c r="P499" s="103" t="n">
        <v>9.2</v>
      </c>
      <c r="Q499" s="103" t="n">
        <v>4</v>
      </c>
      <c r="R499" s="103" t="s">
        <v>135</v>
      </c>
      <c r="S499" s="103" t="n">
        <v>883</v>
      </c>
      <c r="T499" s="103" t="n">
        <v>873</v>
      </c>
      <c r="U499" s="103" t="s">
        <v>1172</v>
      </c>
      <c r="V499" s="103" t="n">
        <v>2025</v>
      </c>
    </row>
    <row r="500" customFormat="false" ht="14.25" hidden="false" customHeight="false" outlineLevel="0" collapsed="false">
      <c r="A500" s="103" t="s">
        <v>1217</v>
      </c>
      <c r="B500" s="103" t="s">
        <v>488</v>
      </c>
      <c r="C500" s="104" t="n">
        <v>45824</v>
      </c>
      <c r="D500" s="103" t="s">
        <v>103</v>
      </c>
      <c r="E500" s="103" t="n">
        <v>52</v>
      </c>
      <c r="F500" s="103" t="s">
        <v>171</v>
      </c>
      <c r="G500" s="103" t="s">
        <v>89</v>
      </c>
      <c r="H500" s="103" t="n">
        <v>3.5</v>
      </c>
      <c r="I500" s="103" t="n">
        <v>972</v>
      </c>
      <c r="J500" s="103" t="n">
        <v>60</v>
      </c>
      <c r="K500" s="103" t="n">
        <v>0</v>
      </c>
      <c r="L500" s="103" t="s">
        <v>94</v>
      </c>
      <c r="M500" s="103" t="s">
        <v>65</v>
      </c>
      <c r="N500" s="103" t="s">
        <v>77</v>
      </c>
      <c r="O500" s="103" t="n">
        <v>46</v>
      </c>
      <c r="P500" s="103" t="n">
        <v>3.4</v>
      </c>
      <c r="Q500" s="103" t="n">
        <v>2</v>
      </c>
      <c r="R500" s="103" t="s">
        <v>137</v>
      </c>
      <c r="S500" s="103" t="n">
        <v>1032</v>
      </c>
      <c r="T500" s="103" t="n">
        <v>1032</v>
      </c>
      <c r="U500" s="103" t="s">
        <v>1172</v>
      </c>
      <c r="V500" s="103" t="n">
        <v>2025</v>
      </c>
    </row>
    <row r="501" customFormat="false" ht="14.25" hidden="false" customHeight="false" outlineLevel="0" collapsed="false">
      <c r="A501" s="103" t="s">
        <v>1218</v>
      </c>
      <c r="B501" s="103" t="s">
        <v>489</v>
      </c>
      <c r="C501" s="104" t="n">
        <v>45824</v>
      </c>
      <c r="D501" s="103" t="s">
        <v>100</v>
      </c>
      <c r="E501" s="103" t="n">
        <v>23</v>
      </c>
      <c r="F501" s="103" t="s">
        <v>171</v>
      </c>
      <c r="G501" s="103" t="s">
        <v>84</v>
      </c>
      <c r="H501" s="103" t="n">
        <v>2.5</v>
      </c>
      <c r="I501" s="103" t="n">
        <v>1081</v>
      </c>
      <c r="J501" s="103" t="n">
        <v>30</v>
      </c>
      <c r="K501" s="103" t="n">
        <v>30</v>
      </c>
      <c r="L501" s="103" t="s">
        <v>97</v>
      </c>
      <c r="M501" s="103" t="s">
        <v>65</v>
      </c>
      <c r="N501" s="103" t="s">
        <v>78</v>
      </c>
      <c r="O501" s="103" t="n">
        <v>24</v>
      </c>
      <c r="P501" s="103" t="n">
        <v>13.8</v>
      </c>
      <c r="Q501" s="103" t="n">
        <v>4</v>
      </c>
      <c r="R501" s="103" t="s">
        <v>138</v>
      </c>
      <c r="S501" s="103" t="n">
        <v>1111</v>
      </c>
      <c r="T501" s="103" t="n">
        <v>1081</v>
      </c>
      <c r="U501" s="103" t="s">
        <v>1172</v>
      </c>
      <c r="V501" s="103" t="n">
        <v>2025</v>
      </c>
    </row>
    <row r="502" customFormat="false" ht="14.25" hidden="false" customHeight="false" outlineLevel="0" collapsed="false">
      <c r="A502" s="103" t="s">
        <v>1219</v>
      </c>
      <c r="B502" s="103" t="s">
        <v>490</v>
      </c>
      <c r="C502" s="104" t="n">
        <v>45824</v>
      </c>
      <c r="D502" s="103" t="s">
        <v>106</v>
      </c>
      <c r="E502" s="103" t="n">
        <v>36</v>
      </c>
      <c r="F502" s="103" t="s">
        <v>171</v>
      </c>
      <c r="G502" s="103" t="s">
        <v>88</v>
      </c>
      <c r="H502" s="103" t="n">
        <v>3.7</v>
      </c>
      <c r="I502" s="103" t="n">
        <v>1686</v>
      </c>
      <c r="J502" s="103" t="n">
        <v>60</v>
      </c>
      <c r="K502" s="103" t="n">
        <v>100</v>
      </c>
      <c r="L502" s="103" t="s">
        <v>95</v>
      </c>
      <c r="M502" s="103" t="s">
        <v>66</v>
      </c>
      <c r="N502" s="103" t="s">
        <v>77</v>
      </c>
      <c r="O502" s="103" t="n">
        <v>27</v>
      </c>
      <c r="P502" s="103" t="n">
        <v>13.8</v>
      </c>
      <c r="Q502" s="103" t="n">
        <v>5</v>
      </c>
      <c r="R502" s="103" t="s">
        <v>132</v>
      </c>
      <c r="S502" s="103" t="n">
        <v>1746</v>
      </c>
      <c r="T502" s="103" t="n">
        <v>1646</v>
      </c>
      <c r="U502" s="103" t="s">
        <v>1172</v>
      </c>
      <c r="V502" s="103" t="n">
        <v>2025</v>
      </c>
    </row>
    <row r="503" customFormat="false" ht="14.25" hidden="false" customHeight="false" outlineLevel="0" collapsed="false">
      <c r="A503" s="103" t="s">
        <v>1220</v>
      </c>
      <c r="B503" s="103" t="s">
        <v>491</v>
      </c>
      <c r="C503" s="104" t="n">
        <v>45825</v>
      </c>
      <c r="D503" s="103" t="s">
        <v>103</v>
      </c>
      <c r="E503" s="103" t="n">
        <v>47</v>
      </c>
      <c r="F503" s="103" t="s">
        <v>171</v>
      </c>
      <c r="G503" s="103" t="s">
        <v>81</v>
      </c>
      <c r="H503" s="103" t="n">
        <v>2.6</v>
      </c>
      <c r="I503" s="103" t="n">
        <v>1562</v>
      </c>
      <c r="J503" s="103" t="n">
        <v>40</v>
      </c>
      <c r="K503" s="103" t="n">
        <v>75</v>
      </c>
      <c r="L503" s="103" t="s">
        <v>96</v>
      </c>
      <c r="M503" s="103" t="s">
        <v>67</v>
      </c>
      <c r="N503" s="103" t="s">
        <v>77</v>
      </c>
      <c r="O503" s="103" t="n">
        <v>61</v>
      </c>
      <c r="P503" s="103" t="n">
        <v>14.8</v>
      </c>
      <c r="Q503" s="103" t="n">
        <v>4</v>
      </c>
      <c r="R503" s="103" t="s">
        <v>133</v>
      </c>
      <c r="S503" s="103" t="n">
        <v>1602</v>
      </c>
      <c r="T503" s="103" t="n">
        <v>1527</v>
      </c>
      <c r="U503" s="103" t="s">
        <v>1172</v>
      </c>
      <c r="V503" s="103" t="n">
        <v>2025</v>
      </c>
    </row>
    <row r="504" customFormat="false" ht="14.25" hidden="false" customHeight="false" outlineLevel="0" collapsed="false">
      <c r="A504" s="103" t="s">
        <v>1221</v>
      </c>
      <c r="B504" s="103" t="s">
        <v>492</v>
      </c>
      <c r="C504" s="104" t="n">
        <v>45825</v>
      </c>
      <c r="D504" s="103" t="s">
        <v>101</v>
      </c>
      <c r="E504" s="103" t="n">
        <v>24</v>
      </c>
      <c r="F504" s="103" t="s">
        <v>170</v>
      </c>
      <c r="G504" s="103" t="s">
        <v>88</v>
      </c>
      <c r="H504" s="103" t="n">
        <v>4.5</v>
      </c>
      <c r="I504" s="103" t="n">
        <v>407</v>
      </c>
      <c r="J504" s="103" t="n">
        <v>40</v>
      </c>
      <c r="K504" s="103" t="n">
        <v>0</v>
      </c>
      <c r="L504" s="103" t="s">
        <v>95</v>
      </c>
      <c r="M504" s="103" t="s">
        <v>65</v>
      </c>
      <c r="N504" s="103" t="s">
        <v>77</v>
      </c>
      <c r="O504" s="103" t="n">
        <v>37</v>
      </c>
      <c r="P504" s="103" t="n">
        <v>13.2</v>
      </c>
      <c r="Q504" s="103" t="n">
        <v>4</v>
      </c>
      <c r="R504" s="103" t="s">
        <v>132</v>
      </c>
      <c r="S504" s="103" t="n">
        <v>447</v>
      </c>
      <c r="T504" s="103" t="n">
        <v>447</v>
      </c>
      <c r="U504" s="103" t="s">
        <v>1172</v>
      </c>
      <c r="V504" s="103" t="n">
        <v>2025</v>
      </c>
    </row>
    <row r="505" customFormat="false" ht="14.25" hidden="false" customHeight="false" outlineLevel="0" collapsed="false">
      <c r="A505" s="103" t="s">
        <v>1222</v>
      </c>
      <c r="B505" s="103" t="s">
        <v>493</v>
      </c>
      <c r="C505" s="104" t="n">
        <v>45825</v>
      </c>
      <c r="D505" s="103" t="s">
        <v>104</v>
      </c>
      <c r="E505" s="103" t="n">
        <v>27</v>
      </c>
      <c r="F505" s="103" t="s">
        <v>170</v>
      </c>
      <c r="G505" s="103" t="s">
        <v>83</v>
      </c>
      <c r="H505" s="103" t="n">
        <v>4.6</v>
      </c>
      <c r="I505" s="103" t="n">
        <v>854</v>
      </c>
      <c r="J505" s="103" t="n">
        <v>40</v>
      </c>
      <c r="K505" s="103" t="n">
        <v>0</v>
      </c>
      <c r="L505" s="103" t="s">
        <v>93</v>
      </c>
      <c r="M505" s="103" t="s">
        <v>65</v>
      </c>
      <c r="N505" s="103" t="s">
        <v>78</v>
      </c>
      <c r="O505" s="103" t="n">
        <v>64</v>
      </c>
      <c r="P505" s="103" t="n">
        <v>15</v>
      </c>
      <c r="Q505" s="103" t="n">
        <v>4</v>
      </c>
      <c r="R505" s="103" t="s">
        <v>131</v>
      </c>
      <c r="S505" s="103" t="n">
        <v>894</v>
      </c>
      <c r="T505" s="103" t="n">
        <v>894</v>
      </c>
      <c r="U505" s="103" t="s">
        <v>1172</v>
      </c>
      <c r="V505" s="103" t="n">
        <v>2025</v>
      </c>
    </row>
    <row r="506" customFormat="false" ht="14.25" hidden="false" customHeight="false" outlineLevel="0" collapsed="false">
      <c r="A506" s="103" t="s">
        <v>1223</v>
      </c>
      <c r="B506" s="103" t="s">
        <v>494</v>
      </c>
      <c r="C506" s="104" t="n">
        <v>45826</v>
      </c>
      <c r="D506" s="103" t="s">
        <v>104</v>
      </c>
      <c r="E506" s="103" t="n">
        <v>58</v>
      </c>
      <c r="F506" s="103" t="s">
        <v>170</v>
      </c>
      <c r="G506" s="103" t="s">
        <v>83</v>
      </c>
      <c r="H506" s="103" t="n">
        <v>4.5</v>
      </c>
      <c r="I506" s="103" t="n">
        <v>900</v>
      </c>
      <c r="J506" s="103" t="n">
        <v>50</v>
      </c>
      <c r="K506" s="103" t="n">
        <v>150</v>
      </c>
      <c r="L506" s="103" t="s">
        <v>93</v>
      </c>
      <c r="M506" s="103" t="s">
        <v>65</v>
      </c>
      <c r="N506" s="103" t="s">
        <v>77</v>
      </c>
      <c r="O506" s="103" t="n">
        <v>37</v>
      </c>
      <c r="P506" s="103" t="n">
        <v>4</v>
      </c>
      <c r="Q506" s="103" t="n">
        <v>5</v>
      </c>
      <c r="R506" s="103" t="s">
        <v>133</v>
      </c>
      <c r="S506" s="103" t="n">
        <v>950</v>
      </c>
      <c r="T506" s="103" t="n">
        <v>800</v>
      </c>
      <c r="U506" s="103" t="s">
        <v>1172</v>
      </c>
      <c r="V506" s="103" t="n">
        <v>2025</v>
      </c>
    </row>
    <row r="507" customFormat="false" ht="14.25" hidden="false" customHeight="false" outlineLevel="0" collapsed="false">
      <c r="A507" s="103" t="s">
        <v>1224</v>
      </c>
      <c r="B507" s="103" t="s">
        <v>495</v>
      </c>
      <c r="C507" s="104" t="n">
        <v>45826</v>
      </c>
      <c r="D507" s="103" t="s">
        <v>103</v>
      </c>
      <c r="E507" s="103" t="n">
        <v>49</v>
      </c>
      <c r="F507" s="103" t="s">
        <v>170</v>
      </c>
      <c r="G507" s="103" t="s">
        <v>82</v>
      </c>
      <c r="H507" s="103" t="n">
        <v>3.2</v>
      </c>
      <c r="I507" s="103" t="n">
        <v>1446</v>
      </c>
      <c r="J507" s="103" t="n">
        <v>30</v>
      </c>
      <c r="K507" s="103" t="n">
        <v>30</v>
      </c>
      <c r="L507" s="103" t="s">
        <v>94</v>
      </c>
      <c r="M507" s="103" t="s">
        <v>65</v>
      </c>
      <c r="N507" s="103" t="s">
        <v>78</v>
      </c>
      <c r="O507" s="103" t="n">
        <v>45</v>
      </c>
      <c r="P507" s="103" t="n">
        <v>12.7</v>
      </c>
      <c r="Q507" s="103" t="n">
        <v>3</v>
      </c>
      <c r="R507" s="103" t="s">
        <v>131</v>
      </c>
      <c r="S507" s="103" t="n">
        <v>1476</v>
      </c>
      <c r="T507" s="103" t="n">
        <v>1446</v>
      </c>
      <c r="U507" s="103" t="s">
        <v>1172</v>
      </c>
      <c r="V507" s="103" t="n">
        <v>2025</v>
      </c>
    </row>
    <row r="508" customFormat="false" ht="14.25" hidden="false" customHeight="false" outlineLevel="0" collapsed="false">
      <c r="A508" s="103" t="s">
        <v>1225</v>
      </c>
      <c r="B508" s="103" t="s">
        <v>496</v>
      </c>
      <c r="C508" s="104" t="n">
        <v>45826</v>
      </c>
      <c r="D508" s="103" t="s">
        <v>108</v>
      </c>
      <c r="E508" s="103" t="n">
        <v>51</v>
      </c>
      <c r="F508" s="103" t="s">
        <v>170</v>
      </c>
      <c r="G508" s="103" t="s">
        <v>88</v>
      </c>
      <c r="H508" s="103" t="n">
        <v>4.6</v>
      </c>
      <c r="I508" s="103" t="n">
        <v>1133</v>
      </c>
      <c r="J508" s="103" t="n">
        <v>0</v>
      </c>
      <c r="K508" s="103" t="n">
        <v>50</v>
      </c>
      <c r="L508" s="103" t="s">
        <v>94</v>
      </c>
      <c r="M508" s="103" t="s">
        <v>65</v>
      </c>
      <c r="N508" s="103" t="s">
        <v>77</v>
      </c>
      <c r="O508" s="103" t="n">
        <v>18</v>
      </c>
      <c r="P508" s="103" t="n">
        <v>12.4</v>
      </c>
      <c r="Q508" s="103" t="n">
        <v>5</v>
      </c>
      <c r="R508" s="103" t="s">
        <v>132</v>
      </c>
      <c r="S508" s="103" t="n">
        <v>1133</v>
      </c>
      <c r="T508" s="103" t="n">
        <v>1083</v>
      </c>
      <c r="U508" s="103" t="s">
        <v>1172</v>
      </c>
      <c r="V508" s="103" t="n">
        <v>2025</v>
      </c>
    </row>
    <row r="509" customFormat="false" ht="14.25" hidden="false" customHeight="false" outlineLevel="0" collapsed="false">
      <c r="A509" s="103" t="s">
        <v>1226</v>
      </c>
      <c r="B509" s="103" t="s">
        <v>497</v>
      </c>
      <c r="C509" s="104" t="n">
        <v>45827</v>
      </c>
      <c r="D509" s="103" t="s">
        <v>106</v>
      </c>
      <c r="E509" s="103" t="n">
        <v>45</v>
      </c>
      <c r="F509" s="103" t="s">
        <v>170</v>
      </c>
      <c r="G509" s="103" t="s">
        <v>81</v>
      </c>
      <c r="H509" s="103" t="n">
        <v>3.9</v>
      </c>
      <c r="I509" s="103" t="n">
        <v>1219</v>
      </c>
      <c r="J509" s="103" t="n">
        <v>0</v>
      </c>
      <c r="K509" s="103" t="n">
        <v>100</v>
      </c>
      <c r="L509" s="103" t="s">
        <v>93</v>
      </c>
      <c r="M509" s="103" t="s">
        <v>65</v>
      </c>
      <c r="N509" s="103" t="s">
        <v>77</v>
      </c>
      <c r="O509" s="103" t="n">
        <v>66</v>
      </c>
      <c r="P509" s="103" t="n">
        <v>3.8</v>
      </c>
      <c r="Q509" s="103" t="n">
        <v>2</v>
      </c>
      <c r="R509" s="103" t="s">
        <v>138</v>
      </c>
      <c r="S509" s="103" t="n">
        <v>1219</v>
      </c>
      <c r="T509" s="103" t="n">
        <v>1119</v>
      </c>
      <c r="U509" s="103" t="s">
        <v>1172</v>
      </c>
      <c r="V509" s="103" t="n">
        <v>2025</v>
      </c>
    </row>
    <row r="510" customFormat="false" ht="14.25" hidden="false" customHeight="false" outlineLevel="0" collapsed="false">
      <c r="A510" s="103" t="s">
        <v>1227</v>
      </c>
      <c r="B510" s="103" t="s">
        <v>498</v>
      </c>
      <c r="C510" s="104" t="n">
        <v>45827</v>
      </c>
      <c r="D510" s="103" t="s">
        <v>100</v>
      </c>
      <c r="E510" s="103" t="n">
        <v>32</v>
      </c>
      <c r="F510" s="103" t="s">
        <v>171</v>
      </c>
      <c r="G510" s="103" t="s">
        <v>88</v>
      </c>
      <c r="H510" s="103" t="n">
        <v>3.4</v>
      </c>
      <c r="I510" s="103" t="n">
        <v>1797</v>
      </c>
      <c r="J510" s="103" t="n">
        <v>50</v>
      </c>
      <c r="K510" s="103" t="n">
        <v>150</v>
      </c>
      <c r="L510" s="103" t="s">
        <v>96</v>
      </c>
      <c r="M510" s="103" t="s">
        <v>66</v>
      </c>
      <c r="N510" s="103" t="s">
        <v>77</v>
      </c>
      <c r="O510" s="103" t="n">
        <v>63</v>
      </c>
      <c r="P510" s="103" t="n">
        <v>1.9</v>
      </c>
      <c r="Q510" s="103" t="n">
        <v>2</v>
      </c>
      <c r="R510" s="103" t="s">
        <v>133</v>
      </c>
      <c r="S510" s="103" t="n">
        <v>1847</v>
      </c>
      <c r="T510" s="103" t="n">
        <v>1697</v>
      </c>
      <c r="U510" s="103" t="s">
        <v>1172</v>
      </c>
      <c r="V510" s="103" t="n">
        <v>2025</v>
      </c>
    </row>
    <row r="511" customFormat="false" ht="14.25" hidden="false" customHeight="false" outlineLevel="0" collapsed="false">
      <c r="A511" s="103" t="s">
        <v>1228</v>
      </c>
      <c r="B511" s="103" t="s">
        <v>499</v>
      </c>
      <c r="C511" s="104" t="n">
        <v>45827</v>
      </c>
      <c r="D511" s="103" t="s">
        <v>103</v>
      </c>
      <c r="E511" s="103" t="n">
        <v>47</v>
      </c>
      <c r="F511" s="103" t="s">
        <v>170</v>
      </c>
      <c r="G511" s="103" t="s">
        <v>85</v>
      </c>
      <c r="H511" s="103" t="n">
        <v>4.1</v>
      </c>
      <c r="I511" s="103" t="n">
        <v>246</v>
      </c>
      <c r="J511" s="103" t="n">
        <v>0</v>
      </c>
      <c r="K511" s="103" t="n">
        <v>100</v>
      </c>
      <c r="L511" s="103" t="s">
        <v>94</v>
      </c>
      <c r="M511" s="103" t="s">
        <v>65</v>
      </c>
      <c r="N511" s="103" t="s">
        <v>77</v>
      </c>
      <c r="O511" s="103" t="n">
        <v>17</v>
      </c>
      <c r="P511" s="103" t="n">
        <v>14.7</v>
      </c>
      <c r="Q511" s="103" t="n">
        <v>5</v>
      </c>
      <c r="R511" s="103" t="s">
        <v>134</v>
      </c>
      <c r="S511" s="103" t="n">
        <v>246</v>
      </c>
      <c r="T511" s="103" t="n">
        <v>146</v>
      </c>
      <c r="U511" s="103" t="s">
        <v>1172</v>
      </c>
      <c r="V511" s="103" t="n">
        <v>2025</v>
      </c>
    </row>
    <row r="512" customFormat="false" ht="14.25" hidden="false" customHeight="false" outlineLevel="0" collapsed="false">
      <c r="A512" s="103" t="s">
        <v>1229</v>
      </c>
      <c r="B512" s="103" t="s">
        <v>500</v>
      </c>
      <c r="C512" s="104" t="n">
        <v>45828</v>
      </c>
      <c r="D512" s="103" t="s">
        <v>108</v>
      </c>
      <c r="E512" s="103" t="n">
        <v>54</v>
      </c>
      <c r="F512" s="103" t="s">
        <v>170</v>
      </c>
      <c r="G512" s="103" t="s">
        <v>85</v>
      </c>
      <c r="H512" s="103" t="n">
        <v>2.5</v>
      </c>
      <c r="I512" s="103" t="n">
        <v>495</v>
      </c>
      <c r="J512" s="103" t="n">
        <v>40</v>
      </c>
      <c r="K512" s="103" t="n">
        <v>10</v>
      </c>
      <c r="L512" s="103" t="s">
        <v>97</v>
      </c>
      <c r="M512" s="103" t="s">
        <v>66</v>
      </c>
      <c r="N512" s="103" t="s">
        <v>77</v>
      </c>
      <c r="O512" s="103" t="n">
        <v>35</v>
      </c>
      <c r="P512" s="103" t="n">
        <v>4.8</v>
      </c>
      <c r="Q512" s="103" t="n">
        <v>2</v>
      </c>
      <c r="R512" s="103" t="s">
        <v>140</v>
      </c>
      <c r="S512" s="103" t="n">
        <v>535</v>
      </c>
      <c r="T512" s="103" t="n">
        <v>525</v>
      </c>
      <c r="U512" s="103" t="s">
        <v>1172</v>
      </c>
      <c r="V512" s="103" t="n">
        <v>2025</v>
      </c>
    </row>
    <row r="513" customFormat="false" ht="14.25" hidden="false" customHeight="false" outlineLevel="0" collapsed="false">
      <c r="A513" s="103" t="s">
        <v>1230</v>
      </c>
      <c r="B513" s="103" t="s">
        <v>501</v>
      </c>
      <c r="C513" s="104" t="n">
        <v>45828</v>
      </c>
      <c r="D513" s="103" t="s">
        <v>104</v>
      </c>
      <c r="E513" s="103" t="n">
        <v>46</v>
      </c>
      <c r="F513" s="103" t="s">
        <v>170</v>
      </c>
      <c r="G513" s="103" t="s">
        <v>81</v>
      </c>
      <c r="H513" s="103" t="n">
        <v>2.9</v>
      </c>
      <c r="I513" s="103" t="n">
        <v>805</v>
      </c>
      <c r="J513" s="103" t="n">
        <v>30</v>
      </c>
      <c r="K513" s="103" t="n">
        <v>30</v>
      </c>
      <c r="L513" s="103" t="s">
        <v>96</v>
      </c>
      <c r="M513" s="103" t="s">
        <v>65</v>
      </c>
      <c r="N513" s="103" t="s">
        <v>77</v>
      </c>
      <c r="O513" s="103" t="n">
        <v>67</v>
      </c>
      <c r="P513" s="103" t="n">
        <v>13.1</v>
      </c>
      <c r="Q513" s="103" t="n">
        <v>1</v>
      </c>
      <c r="R513" s="103" t="s">
        <v>138</v>
      </c>
      <c r="S513" s="103" t="n">
        <v>835</v>
      </c>
      <c r="T513" s="103" t="n">
        <v>805</v>
      </c>
      <c r="U513" s="103" t="s">
        <v>1172</v>
      </c>
      <c r="V513" s="103" t="n">
        <v>2025</v>
      </c>
    </row>
    <row r="514" customFormat="false" ht="14.25" hidden="false" customHeight="false" outlineLevel="0" collapsed="false">
      <c r="A514" s="103" t="s">
        <v>1231</v>
      </c>
      <c r="B514" s="103" t="s">
        <v>502</v>
      </c>
      <c r="C514" s="104" t="n">
        <v>45828</v>
      </c>
      <c r="D514" s="103" t="s">
        <v>104</v>
      </c>
      <c r="E514" s="103" t="n">
        <v>39</v>
      </c>
      <c r="F514" s="103" t="s">
        <v>171</v>
      </c>
      <c r="G514" s="103" t="s">
        <v>88</v>
      </c>
      <c r="H514" s="103" t="n">
        <v>4.4</v>
      </c>
      <c r="I514" s="103" t="n">
        <v>704</v>
      </c>
      <c r="J514" s="103" t="n">
        <v>0</v>
      </c>
      <c r="K514" s="103" t="n">
        <v>0</v>
      </c>
      <c r="L514" s="103" t="s">
        <v>94</v>
      </c>
      <c r="M514" s="103" t="s">
        <v>67</v>
      </c>
      <c r="N514" s="103" t="s">
        <v>78</v>
      </c>
      <c r="O514" s="103" t="n">
        <v>16</v>
      </c>
      <c r="P514" s="103" t="n">
        <v>0.6</v>
      </c>
      <c r="Q514" s="103" t="n">
        <v>3</v>
      </c>
      <c r="R514" s="103" t="s">
        <v>133</v>
      </c>
      <c r="S514" s="103" t="n">
        <v>704</v>
      </c>
      <c r="T514" s="103" t="n">
        <v>704</v>
      </c>
      <c r="U514" s="103" t="s">
        <v>1172</v>
      </c>
      <c r="V514" s="103" t="n">
        <v>2025</v>
      </c>
    </row>
    <row r="515" customFormat="false" ht="14.25" hidden="false" customHeight="false" outlineLevel="0" collapsed="false">
      <c r="A515" s="103" t="s">
        <v>1232</v>
      </c>
      <c r="B515" s="103" t="s">
        <v>503</v>
      </c>
      <c r="C515" s="104" t="n">
        <v>45829</v>
      </c>
      <c r="D515" s="103" t="s">
        <v>107</v>
      </c>
      <c r="E515" s="103" t="n">
        <v>21</v>
      </c>
      <c r="F515" s="103" t="s">
        <v>171</v>
      </c>
      <c r="G515" s="103" t="s">
        <v>86</v>
      </c>
      <c r="H515" s="103" t="n">
        <v>3.1</v>
      </c>
      <c r="I515" s="103" t="n">
        <v>156</v>
      </c>
      <c r="J515" s="103" t="n">
        <v>0</v>
      </c>
      <c r="K515" s="103" t="n">
        <v>200</v>
      </c>
      <c r="L515" s="103" t="s">
        <v>97</v>
      </c>
      <c r="M515" s="103" t="s">
        <v>65</v>
      </c>
      <c r="N515" s="103" t="s">
        <v>77</v>
      </c>
      <c r="O515" s="103" t="n">
        <v>18</v>
      </c>
      <c r="P515" s="103" t="n">
        <v>0.8</v>
      </c>
      <c r="Q515" s="103" t="n">
        <v>5</v>
      </c>
      <c r="R515" s="103" t="s">
        <v>131</v>
      </c>
      <c r="S515" s="103" t="n">
        <v>156</v>
      </c>
      <c r="T515" s="103" t="n">
        <v>0</v>
      </c>
      <c r="U515" s="103" t="s">
        <v>1172</v>
      </c>
      <c r="V515" s="103" t="n">
        <v>2025</v>
      </c>
    </row>
    <row r="516" customFormat="false" ht="14.25" hidden="false" customHeight="false" outlineLevel="0" collapsed="false">
      <c r="A516" s="103" t="s">
        <v>1233</v>
      </c>
      <c r="B516" s="103" t="s">
        <v>504</v>
      </c>
      <c r="C516" s="104" t="n">
        <v>45829</v>
      </c>
      <c r="D516" s="103" t="s">
        <v>103</v>
      </c>
      <c r="E516" s="103" t="n">
        <v>37</v>
      </c>
      <c r="F516" s="103" t="s">
        <v>171</v>
      </c>
      <c r="G516" s="103" t="s">
        <v>85</v>
      </c>
      <c r="H516" s="103" t="n">
        <v>4</v>
      </c>
      <c r="I516" s="103" t="n">
        <v>274</v>
      </c>
      <c r="J516" s="103" t="n">
        <v>20</v>
      </c>
      <c r="K516" s="103" t="n">
        <v>20</v>
      </c>
      <c r="L516" s="103" t="s">
        <v>94</v>
      </c>
      <c r="M516" s="103" t="s">
        <v>65</v>
      </c>
      <c r="N516" s="103" t="s">
        <v>77</v>
      </c>
      <c r="O516" s="103" t="n">
        <v>15</v>
      </c>
      <c r="P516" s="103" t="n">
        <v>7.3</v>
      </c>
      <c r="Q516" s="103" t="n">
        <v>5</v>
      </c>
      <c r="R516" s="103" t="s">
        <v>131</v>
      </c>
      <c r="S516" s="103" t="n">
        <v>294</v>
      </c>
      <c r="T516" s="103" t="n">
        <v>274</v>
      </c>
      <c r="U516" s="103" t="s">
        <v>1172</v>
      </c>
      <c r="V516" s="103" t="n">
        <v>2025</v>
      </c>
    </row>
    <row r="517" customFormat="false" ht="14.25" hidden="false" customHeight="false" outlineLevel="0" collapsed="false">
      <c r="A517" s="103" t="s">
        <v>1234</v>
      </c>
      <c r="B517" s="103" t="s">
        <v>505</v>
      </c>
      <c r="C517" s="104" t="n">
        <v>45829</v>
      </c>
      <c r="D517" s="103" t="s">
        <v>106</v>
      </c>
      <c r="E517" s="103" t="n">
        <v>49</v>
      </c>
      <c r="F517" s="103" t="s">
        <v>170</v>
      </c>
      <c r="G517" s="103" t="s">
        <v>85</v>
      </c>
      <c r="H517" s="103" t="n">
        <v>3.5</v>
      </c>
      <c r="I517" s="103" t="n">
        <v>1264</v>
      </c>
      <c r="J517" s="103" t="n">
        <v>20</v>
      </c>
      <c r="K517" s="103" t="n">
        <v>20</v>
      </c>
      <c r="L517" s="103" t="s">
        <v>96</v>
      </c>
      <c r="M517" s="103" t="s">
        <v>65</v>
      </c>
      <c r="N517" s="103" t="s">
        <v>77</v>
      </c>
      <c r="O517" s="103" t="n">
        <v>29</v>
      </c>
      <c r="P517" s="103" t="n">
        <v>4</v>
      </c>
      <c r="Q517" s="103" t="n">
        <v>3</v>
      </c>
      <c r="R517" s="103" t="s">
        <v>141</v>
      </c>
      <c r="S517" s="103" t="n">
        <v>1284</v>
      </c>
      <c r="T517" s="103" t="n">
        <v>1264</v>
      </c>
      <c r="U517" s="103" t="s">
        <v>1172</v>
      </c>
      <c r="V517" s="103" t="n">
        <v>2025</v>
      </c>
    </row>
    <row r="518" customFormat="false" ht="14.25" hidden="false" customHeight="false" outlineLevel="0" collapsed="false">
      <c r="A518" s="103" t="s">
        <v>1235</v>
      </c>
      <c r="B518" s="103" t="s">
        <v>506</v>
      </c>
      <c r="C518" s="104" t="n">
        <v>45830</v>
      </c>
      <c r="D518" s="103" t="s">
        <v>110</v>
      </c>
      <c r="E518" s="103" t="n">
        <v>53</v>
      </c>
      <c r="F518" s="103" t="s">
        <v>170</v>
      </c>
      <c r="G518" s="103" t="s">
        <v>90</v>
      </c>
      <c r="H518" s="103" t="n">
        <v>4.6</v>
      </c>
      <c r="I518" s="103" t="n">
        <v>1597</v>
      </c>
      <c r="J518" s="103" t="n">
        <v>20</v>
      </c>
      <c r="K518" s="103" t="n">
        <v>200</v>
      </c>
      <c r="L518" s="103" t="s">
        <v>93</v>
      </c>
      <c r="M518" s="103" t="s">
        <v>65</v>
      </c>
      <c r="N518" s="103" t="s">
        <v>77</v>
      </c>
      <c r="O518" s="103" t="n">
        <v>47</v>
      </c>
      <c r="P518" s="103" t="n">
        <v>10.5</v>
      </c>
      <c r="Q518" s="103" t="n">
        <v>5</v>
      </c>
      <c r="R518" s="103" t="s">
        <v>138</v>
      </c>
      <c r="S518" s="103" t="n">
        <v>1617</v>
      </c>
      <c r="T518" s="103" t="n">
        <v>1417</v>
      </c>
      <c r="U518" s="103" t="s">
        <v>1172</v>
      </c>
      <c r="V518" s="103" t="n">
        <v>2025</v>
      </c>
    </row>
    <row r="519" customFormat="false" ht="14.25" hidden="false" customHeight="false" outlineLevel="0" collapsed="false">
      <c r="A519" s="103" t="s">
        <v>1236</v>
      </c>
      <c r="B519" s="103" t="s">
        <v>507</v>
      </c>
      <c r="C519" s="104" t="n">
        <v>45830</v>
      </c>
      <c r="D519" s="103" t="s">
        <v>106</v>
      </c>
      <c r="E519" s="103" t="n">
        <v>21</v>
      </c>
      <c r="F519" s="103" t="s">
        <v>171</v>
      </c>
      <c r="G519" s="103" t="s">
        <v>88</v>
      </c>
      <c r="H519" s="103" t="n">
        <v>4.9</v>
      </c>
      <c r="I519" s="103" t="n">
        <v>984</v>
      </c>
      <c r="J519" s="103" t="n">
        <v>30</v>
      </c>
      <c r="K519" s="103" t="n">
        <v>20</v>
      </c>
      <c r="L519" s="103" t="s">
        <v>93</v>
      </c>
      <c r="M519" s="103" t="s">
        <v>66</v>
      </c>
      <c r="N519" s="103" t="s">
        <v>78</v>
      </c>
      <c r="O519" s="103" t="n">
        <v>20</v>
      </c>
      <c r="P519" s="103" t="n">
        <v>8.7</v>
      </c>
      <c r="Q519" s="103" t="n">
        <v>3</v>
      </c>
      <c r="R519" s="103" t="s">
        <v>131</v>
      </c>
      <c r="S519" s="103" t="n">
        <v>1014</v>
      </c>
      <c r="T519" s="103" t="n">
        <v>994</v>
      </c>
      <c r="U519" s="103" t="s">
        <v>1172</v>
      </c>
      <c r="V519" s="103" t="n">
        <v>2025</v>
      </c>
    </row>
    <row r="520" customFormat="false" ht="14.25" hidden="false" customHeight="false" outlineLevel="0" collapsed="false">
      <c r="A520" s="103" t="s">
        <v>1237</v>
      </c>
      <c r="B520" s="103" t="s">
        <v>508</v>
      </c>
      <c r="C520" s="104" t="n">
        <v>45830</v>
      </c>
      <c r="D520" s="103" t="s">
        <v>104</v>
      </c>
      <c r="E520" s="103" t="n">
        <v>44</v>
      </c>
      <c r="F520" s="103" t="s">
        <v>172</v>
      </c>
      <c r="G520" s="103" t="s">
        <v>85</v>
      </c>
      <c r="H520" s="103" t="n">
        <v>4.7</v>
      </c>
      <c r="I520" s="103" t="n">
        <v>1026</v>
      </c>
      <c r="J520" s="103" t="n">
        <v>40</v>
      </c>
      <c r="K520" s="103" t="n">
        <v>150</v>
      </c>
      <c r="L520" s="103" t="s">
        <v>93</v>
      </c>
      <c r="M520" s="103" t="s">
        <v>67</v>
      </c>
      <c r="N520" s="103" t="s">
        <v>78</v>
      </c>
      <c r="O520" s="103" t="n">
        <v>21</v>
      </c>
      <c r="P520" s="103" t="n">
        <v>1.6</v>
      </c>
      <c r="Q520" s="103" t="n">
        <v>5</v>
      </c>
      <c r="R520" s="103" t="s">
        <v>136</v>
      </c>
      <c r="S520" s="103" t="n">
        <v>1066</v>
      </c>
      <c r="T520" s="103" t="n">
        <v>916</v>
      </c>
      <c r="U520" s="103" t="s">
        <v>1172</v>
      </c>
      <c r="V520" s="103" t="n">
        <v>2025</v>
      </c>
    </row>
    <row r="521" customFormat="false" ht="14.25" hidden="false" customHeight="false" outlineLevel="0" collapsed="false">
      <c r="A521" s="103" t="s">
        <v>1238</v>
      </c>
      <c r="B521" s="103" t="s">
        <v>509</v>
      </c>
      <c r="C521" s="104" t="n">
        <v>45831</v>
      </c>
      <c r="D521" s="103" t="s">
        <v>104</v>
      </c>
      <c r="E521" s="103" t="n">
        <v>34</v>
      </c>
      <c r="F521" s="103" t="s">
        <v>171</v>
      </c>
      <c r="G521" s="103" t="s">
        <v>89</v>
      </c>
      <c r="H521" s="103" t="n">
        <v>3.2</v>
      </c>
      <c r="I521" s="103" t="n">
        <v>549</v>
      </c>
      <c r="J521" s="103" t="n">
        <v>60</v>
      </c>
      <c r="K521" s="103" t="n">
        <v>10</v>
      </c>
      <c r="L521" s="103" t="s">
        <v>94</v>
      </c>
      <c r="M521" s="103" t="s">
        <v>65</v>
      </c>
      <c r="N521" s="103" t="s">
        <v>78</v>
      </c>
      <c r="O521" s="103" t="n">
        <v>33</v>
      </c>
      <c r="P521" s="103" t="n">
        <v>2.9</v>
      </c>
      <c r="Q521" s="103" t="n">
        <v>4</v>
      </c>
      <c r="R521" s="103" t="s">
        <v>140</v>
      </c>
      <c r="S521" s="103" t="n">
        <v>609</v>
      </c>
      <c r="T521" s="103" t="n">
        <v>599</v>
      </c>
      <c r="U521" s="103" t="s">
        <v>1172</v>
      </c>
      <c r="V521" s="103" t="n">
        <v>2025</v>
      </c>
    </row>
    <row r="522" customFormat="false" ht="14.25" hidden="false" customHeight="false" outlineLevel="0" collapsed="false">
      <c r="A522" s="103" t="s">
        <v>1239</v>
      </c>
      <c r="B522" s="103" t="s">
        <v>510</v>
      </c>
      <c r="C522" s="104" t="n">
        <v>45831</v>
      </c>
      <c r="D522" s="103" t="s">
        <v>102</v>
      </c>
      <c r="E522" s="103" t="n">
        <v>29</v>
      </c>
      <c r="F522" s="103" t="s">
        <v>171</v>
      </c>
      <c r="G522" s="103" t="s">
        <v>88</v>
      </c>
      <c r="H522" s="103" t="n">
        <v>3</v>
      </c>
      <c r="I522" s="103" t="n">
        <v>1410</v>
      </c>
      <c r="J522" s="103" t="n">
        <v>40</v>
      </c>
      <c r="K522" s="103" t="n">
        <v>20</v>
      </c>
      <c r="L522" s="103" t="s">
        <v>94</v>
      </c>
      <c r="M522" s="103" t="s">
        <v>65</v>
      </c>
      <c r="N522" s="103" t="s">
        <v>77</v>
      </c>
      <c r="O522" s="103" t="n">
        <v>58</v>
      </c>
      <c r="P522" s="103" t="n">
        <v>6.1</v>
      </c>
      <c r="Q522" s="103" t="n">
        <v>5</v>
      </c>
      <c r="R522" s="103" t="s">
        <v>132</v>
      </c>
      <c r="S522" s="103" t="n">
        <v>1450</v>
      </c>
      <c r="T522" s="103" t="n">
        <v>1430</v>
      </c>
      <c r="U522" s="103" t="s">
        <v>1172</v>
      </c>
      <c r="V522" s="103" t="n">
        <v>2025</v>
      </c>
    </row>
    <row r="523" customFormat="false" ht="14.25" hidden="false" customHeight="false" outlineLevel="0" collapsed="false">
      <c r="A523" s="103" t="s">
        <v>1240</v>
      </c>
      <c r="B523" s="103" t="s">
        <v>511</v>
      </c>
      <c r="C523" s="104" t="n">
        <v>45831</v>
      </c>
      <c r="D523" s="103" t="s">
        <v>104</v>
      </c>
      <c r="E523" s="103" t="n">
        <v>39</v>
      </c>
      <c r="F523" s="103" t="s">
        <v>171</v>
      </c>
      <c r="G523" s="103" t="s">
        <v>83</v>
      </c>
      <c r="H523" s="103" t="n">
        <v>3.7</v>
      </c>
      <c r="I523" s="103" t="n">
        <v>1383</v>
      </c>
      <c r="J523" s="103" t="n">
        <v>40</v>
      </c>
      <c r="K523" s="103" t="n">
        <v>10</v>
      </c>
      <c r="L523" s="103" t="s">
        <v>94</v>
      </c>
      <c r="M523" s="103" t="s">
        <v>66</v>
      </c>
      <c r="N523" s="103" t="s">
        <v>77</v>
      </c>
      <c r="O523" s="103" t="n">
        <v>15</v>
      </c>
      <c r="P523" s="103" t="n">
        <v>3.2</v>
      </c>
      <c r="Q523" s="103" t="n">
        <v>5</v>
      </c>
      <c r="R523" s="103" t="s">
        <v>137</v>
      </c>
      <c r="S523" s="103" t="n">
        <v>1423</v>
      </c>
      <c r="T523" s="103" t="n">
        <v>1413</v>
      </c>
      <c r="U523" s="103" t="s">
        <v>1172</v>
      </c>
      <c r="V523" s="103" t="n">
        <v>2025</v>
      </c>
    </row>
    <row r="524" customFormat="false" ht="14.25" hidden="false" customHeight="false" outlineLevel="0" collapsed="false">
      <c r="A524" s="103" t="s">
        <v>1241</v>
      </c>
      <c r="B524" s="103" t="s">
        <v>512</v>
      </c>
      <c r="C524" s="104" t="n">
        <v>45832</v>
      </c>
      <c r="D524" s="103" t="s">
        <v>100</v>
      </c>
      <c r="E524" s="103" t="n">
        <v>34</v>
      </c>
      <c r="F524" s="103" t="s">
        <v>170</v>
      </c>
      <c r="G524" s="103" t="s">
        <v>90</v>
      </c>
      <c r="H524" s="103" t="n">
        <v>2.5</v>
      </c>
      <c r="I524" s="103" t="n">
        <v>1108</v>
      </c>
      <c r="J524" s="103" t="n">
        <v>30</v>
      </c>
      <c r="K524" s="103" t="n">
        <v>0</v>
      </c>
      <c r="L524" s="103" t="s">
        <v>93</v>
      </c>
      <c r="M524" s="103" t="s">
        <v>67</v>
      </c>
      <c r="N524" s="103" t="s">
        <v>77</v>
      </c>
      <c r="O524" s="103" t="n">
        <v>53</v>
      </c>
      <c r="P524" s="103" t="n">
        <v>12</v>
      </c>
      <c r="Q524" s="103" t="n">
        <v>5</v>
      </c>
      <c r="R524" s="103" t="s">
        <v>141</v>
      </c>
      <c r="S524" s="103" t="n">
        <v>1138</v>
      </c>
      <c r="T524" s="103" t="n">
        <v>1138</v>
      </c>
      <c r="U524" s="103" t="s">
        <v>1172</v>
      </c>
      <c r="V524" s="103" t="n">
        <v>2025</v>
      </c>
    </row>
    <row r="525" customFormat="false" ht="14.25" hidden="false" customHeight="false" outlineLevel="0" collapsed="false">
      <c r="A525" s="103" t="s">
        <v>1242</v>
      </c>
      <c r="B525" s="103" t="s">
        <v>513</v>
      </c>
      <c r="C525" s="104" t="n">
        <v>45832</v>
      </c>
      <c r="D525" s="103" t="s">
        <v>105</v>
      </c>
      <c r="E525" s="103" t="n">
        <v>27</v>
      </c>
      <c r="F525" s="103" t="s">
        <v>170</v>
      </c>
      <c r="G525" s="103" t="s">
        <v>85</v>
      </c>
      <c r="H525" s="103" t="n">
        <v>2.6</v>
      </c>
      <c r="I525" s="103" t="n">
        <v>477</v>
      </c>
      <c r="J525" s="103" t="n">
        <v>30</v>
      </c>
      <c r="K525" s="103" t="n">
        <v>10</v>
      </c>
      <c r="L525" s="103" t="s">
        <v>97</v>
      </c>
      <c r="M525" s="103" t="s">
        <v>65</v>
      </c>
      <c r="N525" s="103" t="s">
        <v>77</v>
      </c>
      <c r="O525" s="103" t="n">
        <v>33</v>
      </c>
      <c r="P525" s="103" t="n">
        <v>6.5</v>
      </c>
      <c r="Q525" s="103" t="n">
        <v>1</v>
      </c>
      <c r="R525" s="103" t="s">
        <v>131</v>
      </c>
      <c r="S525" s="103" t="n">
        <v>507</v>
      </c>
      <c r="T525" s="103" t="n">
        <v>497</v>
      </c>
      <c r="U525" s="103" t="s">
        <v>1172</v>
      </c>
      <c r="V525" s="103" t="n">
        <v>2025</v>
      </c>
    </row>
    <row r="526" customFormat="false" ht="14.25" hidden="false" customHeight="false" outlineLevel="0" collapsed="false">
      <c r="A526" s="103" t="s">
        <v>1243</v>
      </c>
      <c r="B526" s="103" t="s">
        <v>514</v>
      </c>
      <c r="C526" s="104" t="n">
        <v>45832</v>
      </c>
      <c r="D526" s="103" t="s">
        <v>103</v>
      </c>
      <c r="E526" s="103" t="n">
        <v>18</v>
      </c>
      <c r="F526" s="103" t="s">
        <v>171</v>
      </c>
      <c r="G526" s="103" t="s">
        <v>90</v>
      </c>
      <c r="H526" s="103" t="n">
        <v>3.9</v>
      </c>
      <c r="I526" s="103" t="n">
        <v>283</v>
      </c>
      <c r="J526" s="103" t="n">
        <v>20</v>
      </c>
      <c r="K526" s="103" t="n">
        <v>150</v>
      </c>
      <c r="L526" s="103" t="s">
        <v>94</v>
      </c>
      <c r="M526" s="103" t="s">
        <v>67</v>
      </c>
      <c r="N526" s="103" t="s">
        <v>77</v>
      </c>
      <c r="O526" s="103" t="n">
        <v>59</v>
      </c>
      <c r="P526" s="103" t="n">
        <v>1.9</v>
      </c>
      <c r="Q526" s="103" t="n">
        <v>5</v>
      </c>
      <c r="R526" s="103" t="s">
        <v>136</v>
      </c>
      <c r="S526" s="103" t="n">
        <v>303</v>
      </c>
      <c r="T526" s="103" t="n">
        <v>153</v>
      </c>
      <c r="U526" s="103" t="s">
        <v>1172</v>
      </c>
      <c r="V526" s="103" t="n">
        <v>2025</v>
      </c>
    </row>
    <row r="527" customFormat="false" ht="14.25" hidden="false" customHeight="false" outlineLevel="0" collapsed="false">
      <c r="A527" s="103" t="s">
        <v>1244</v>
      </c>
      <c r="B527" s="103" t="s">
        <v>515</v>
      </c>
      <c r="C527" s="104" t="n">
        <v>45833</v>
      </c>
      <c r="D527" s="103" t="s">
        <v>106</v>
      </c>
      <c r="E527" s="103" t="n">
        <v>39</v>
      </c>
      <c r="F527" s="103" t="s">
        <v>170</v>
      </c>
      <c r="G527" s="103" t="s">
        <v>83</v>
      </c>
      <c r="H527" s="103" t="n">
        <v>3.8</v>
      </c>
      <c r="I527" s="103" t="n">
        <v>228</v>
      </c>
      <c r="J527" s="103" t="n">
        <v>0</v>
      </c>
      <c r="K527" s="103" t="n">
        <v>200</v>
      </c>
      <c r="L527" s="103" t="s">
        <v>93</v>
      </c>
      <c r="M527" s="103" t="s">
        <v>65</v>
      </c>
      <c r="N527" s="103" t="s">
        <v>77</v>
      </c>
      <c r="O527" s="103" t="n">
        <v>40</v>
      </c>
      <c r="P527" s="103" t="n">
        <v>7.5</v>
      </c>
      <c r="Q527" s="103" t="n">
        <v>2</v>
      </c>
      <c r="R527" s="103" t="s">
        <v>141</v>
      </c>
      <c r="S527" s="103" t="n">
        <v>228</v>
      </c>
      <c r="T527" s="103" t="n">
        <v>28</v>
      </c>
      <c r="U527" s="103" t="s">
        <v>1172</v>
      </c>
      <c r="V527" s="103" t="n">
        <v>2025</v>
      </c>
    </row>
    <row r="528" customFormat="false" ht="14.25" hidden="false" customHeight="false" outlineLevel="0" collapsed="false">
      <c r="A528" s="103" t="s">
        <v>1245</v>
      </c>
      <c r="B528" s="103" t="s">
        <v>516</v>
      </c>
      <c r="C528" s="104" t="n">
        <v>45833</v>
      </c>
      <c r="D528" s="103" t="s">
        <v>105</v>
      </c>
      <c r="E528" s="103" t="n">
        <v>43</v>
      </c>
      <c r="F528" s="103" t="s">
        <v>171</v>
      </c>
      <c r="G528" s="103" t="s">
        <v>81</v>
      </c>
      <c r="H528" s="103" t="n">
        <v>5</v>
      </c>
      <c r="I528" s="103" t="n">
        <v>1116</v>
      </c>
      <c r="J528" s="103" t="n">
        <v>50</v>
      </c>
      <c r="K528" s="103" t="n">
        <v>10</v>
      </c>
      <c r="L528" s="103" t="s">
        <v>95</v>
      </c>
      <c r="M528" s="103" t="s">
        <v>65</v>
      </c>
      <c r="N528" s="103" t="s">
        <v>77</v>
      </c>
      <c r="O528" s="103" t="n">
        <v>58</v>
      </c>
      <c r="P528" s="103" t="n">
        <v>1.8</v>
      </c>
      <c r="Q528" s="103" t="n">
        <v>5</v>
      </c>
      <c r="R528" s="103" t="s">
        <v>136</v>
      </c>
      <c r="S528" s="103" t="n">
        <v>1166</v>
      </c>
      <c r="T528" s="103" t="n">
        <v>1156</v>
      </c>
      <c r="U528" s="103" t="s">
        <v>1172</v>
      </c>
      <c r="V528" s="103" t="n">
        <v>2025</v>
      </c>
    </row>
    <row r="529" customFormat="false" ht="14.25" hidden="false" customHeight="false" outlineLevel="0" collapsed="false">
      <c r="A529" s="103" t="s">
        <v>1246</v>
      </c>
      <c r="B529" s="103" t="s">
        <v>517</v>
      </c>
      <c r="C529" s="104" t="n">
        <v>45833</v>
      </c>
      <c r="D529" s="103" t="s">
        <v>108</v>
      </c>
      <c r="E529" s="103" t="n">
        <v>35</v>
      </c>
      <c r="F529" s="103" t="s">
        <v>170</v>
      </c>
      <c r="G529" s="103" t="s">
        <v>81</v>
      </c>
      <c r="H529" s="103" t="n">
        <v>3</v>
      </c>
      <c r="I529" s="103" t="n">
        <v>1506</v>
      </c>
      <c r="J529" s="103" t="n">
        <v>50</v>
      </c>
      <c r="K529" s="103" t="n">
        <v>100</v>
      </c>
      <c r="L529" s="103" t="s">
        <v>95</v>
      </c>
      <c r="M529" s="103" t="s">
        <v>66</v>
      </c>
      <c r="N529" s="103" t="s">
        <v>78</v>
      </c>
      <c r="O529" s="103" t="n">
        <v>26</v>
      </c>
      <c r="P529" s="103" t="n">
        <v>2.4</v>
      </c>
      <c r="Q529" s="103" t="n">
        <v>4</v>
      </c>
      <c r="R529" s="103" t="s">
        <v>141</v>
      </c>
      <c r="S529" s="103" t="n">
        <v>1556</v>
      </c>
      <c r="T529" s="103" t="n">
        <v>1456</v>
      </c>
      <c r="U529" s="103" t="s">
        <v>1172</v>
      </c>
      <c r="V529" s="103" t="n">
        <v>2025</v>
      </c>
    </row>
    <row r="530" customFormat="false" ht="14.25" hidden="false" customHeight="false" outlineLevel="0" collapsed="false">
      <c r="A530" s="103" t="s">
        <v>1247</v>
      </c>
      <c r="B530" s="103" t="s">
        <v>518</v>
      </c>
      <c r="C530" s="104" t="n">
        <v>45834</v>
      </c>
      <c r="D530" s="103" t="s">
        <v>110</v>
      </c>
      <c r="E530" s="103" t="n">
        <v>31</v>
      </c>
      <c r="F530" s="103" t="s">
        <v>170</v>
      </c>
      <c r="G530" s="103" t="s">
        <v>88</v>
      </c>
      <c r="H530" s="103" t="n">
        <v>3.1</v>
      </c>
      <c r="I530" s="103" t="n">
        <v>1562</v>
      </c>
      <c r="J530" s="103" t="n">
        <v>60</v>
      </c>
      <c r="K530" s="103" t="n">
        <v>50</v>
      </c>
      <c r="L530" s="103" t="s">
        <v>97</v>
      </c>
      <c r="M530" s="103" t="s">
        <v>67</v>
      </c>
      <c r="N530" s="103" t="s">
        <v>78</v>
      </c>
      <c r="O530" s="103" t="n">
        <v>36</v>
      </c>
      <c r="P530" s="103" t="n">
        <v>4</v>
      </c>
      <c r="Q530" s="103" t="n">
        <v>4</v>
      </c>
      <c r="R530" s="103" t="s">
        <v>131</v>
      </c>
      <c r="S530" s="103" t="n">
        <v>1622</v>
      </c>
      <c r="T530" s="103" t="n">
        <v>1572</v>
      </c>
      <c r="U530" s="103" t="s">
        <v>1172</v>
      </c>
      <c r="V530" s="103" t="n">
        <v>2025</v>
      </c>
    </row>
    <row r="531" customFormat="false" ht="14.25" hidden="false" customHeight="false" outlineLevel="0" collapsed="false">
      <c r="A531" s="103" t="s">
        <v>1248</v>
      </c>
      <c r="B531" s="103" t="s">
        <v>519</v>
      </c>
      <c r="C531" s="104" t="n">
        <v>45834</v>
      </c>
      <c r="D531" s="103" t="s">
        <v>100</v>
      </c>
      <c r="E531" s="103" t="n">
        <v>46</v>
      </c>
      <c r="F531" s="103" t="s">
        <v>170</v>
      </c>
      <c r="G531" s="103" t="s">
        <v>83</v>
      </c>
      <c r="H531" s="103" t="n">
        <v>2.8</v>
      </c>
      <c r="I531" s="103" t="n">
        <v>899</v>
      </c>
      <c r="J531" s="103" t="n">
        <v>0</v>
      </c>
      <c r="K531" s="103" t="n">
        <v>20</v>
      </c>
      <c r="L531" s="103" t="s">
        <v>94</v>
      </c>
      <c r="M531" s="103" t="s">
        <v>65</v>
      </c>
      <c r="N531" s="103" t="s">
        <v>78</v>
      </c>
      <c r="O531" s="103" t="n">
        <v>27</v>
      </c>
      <c r="P531" s="103" t="n">
        <v>13</v>
      </c>
      <c r="Q531" s="103" t="n">
        <v>2</v>
      </c>
      <c r="R531" s="103" t="s">
        <v>136</v>
      </c>
      <c r="S531" s="103" t="n">
        <v>899</v>
      </c>
      <c r="T531" s="103" t="n">
        <v>879</v>
      </c>
      <c r="U531" s="103" t="s">
        <v>1172</v>
      </c>
      <c r="V531" s="103" t="n">
        <v>2025</v>
      </c>
    </row>
    <row r="532" customFormat="false" ht="14.25" hidden="false" customHeight="false" outlineLevel="0" collapsed="false">
      <c r="A532" s="103" t="s">
        <v>1249</v>
      </c>
      <c r="B532" s="103" t="s">
        <v>520</v>
      </c>
      <c r="C532" s="104" t="n">
        <v>45834</v>
      </c>
      <c r="D532" s="103" t="s">
        <v>101</v>
      </c>
      <c r="E532" s="103" t="n">
        <v>29</v>
      </c>
      <c r="F532" s="103" t="s">
        <v>171</v>
      </c>
      <c r="G532" s="103" t="s">
        <v>87</v>
      </c>
      <c r="H532" s="103" t="n">
        <v>4.8</v>
      </c>
      <c r="I532" s="103" t="n">
        <v>1438</v>
      </c>
      <c r="J532" s="103" t="n">
        <v>60</v>
      </c>
      <c r="K532" s="103" t="n">
        <v>200</v>
      </c>
      <c r="L532" s="103" t="s">
        <v>93</v>
      </c>
      <c r="M532" s="103" t="s">
        <v>65</v>
      </c>
      <c r="N532" s="103" t="s">
        <v>77</v>
      </c>
      <c r="O532" s="103" t="n">
        <v>42</v>
      </c>
      <c r="P532" s="103" t="n">
        <v>13.9</v>
      </c>
      <c r="Q532" s="103" t="n">
        <v>3</v>
      </c>
      <c r="R532" s="103" t="s">
        <v>135</v>
      </c>
      <c r="S532" s="103" t="n">
        <v>1498</v>
      </c>
      <c r="T532" s="103" t="n">
        <v>1298</v>
      </c>
      <c r="U532" s="103" t="s">
        <v>1172</v>
      </c>
      <c r="V532" s="103" t="n">
        <v>2025</v>
      </c>
    </row>
    <row r="533" customFormat="false" ht="14.25" hidden="false" customHeight="false" outlineLevel="0" collapsed="false">
      <c r="A533" s="103" t="s">
        <v>1250</v>
      </c>
      <c r="B533" s="103" t="s">
        <v>521</v>
      </c>
      <c r="C533" s="104" t="n">
        <v>45835</v>
      </c>
      <c r="D533" s="103" t="s">
        <v>111</v>
      </c>
      <c r="E533" s="103" t="n">
        <v>53</v>
      </c>
      <c r="F533" s="103" t="s">
        <v>170</v>
      </c>
      <c r="G533" s="103" t="s">
        <v>87</v>
      </c>
      <c r="H533" s="103" t="n">
        <v>4.4</v>
      </c>
      <c r="I533" s="103" t="n">
        <v>1711</v>
      </c>
      <c r="J533" s="103" t="n">
        <v>20</v>
      </c>
      <c r="K533" s="103" t="n">
        <v>75</v>
      </c>
      <c r="L533" s="103" t="s">
        <v>94</v>
      </c>
      <c r="M533" s="103" t="s">
        <v>65</v>
      </c>
      <c r="N533" s="103" t="s">
        <v>77</v>
      </c>
      <c r="O533" s="103" t="n">
        <v>28</v>
      </c>
      <c r="P533" s="103" t="n">
        <v>12.5</v>
      </c>
      <c r="Q533" s="103" t="n">
        <v>5</v>
      </c>
      <c r="R533" s="103" t="s">
        <v>133</v>
      </c>
      <c r="S533" s="103" t="n">
        <v>1731</v>
      </c>
      <c r="T533" s="103" t="n">
        <v>1656</v>
      </c>
      <c r="U533" s="103" t="s">
        <v>1172</v>
      </c>
      <c r="V533" s="103" t="n">
        <v>2025</v>
      </c>
    </row>
    <row r="534" customFormat="false" ht="14.25" hidden="false" customHeight="false" outlineLevel="0" collapsed="false">
      <c r="A534" s="103" t="s">
        <v>1251</v>
      </c>
      <c r="B534" s="103" t="s">
        <v>522</v>
      </c>
      <c r="C534" s="104" t="n">
        <v>45835</v>
      </c>
      <c r="D534" s="103" t="s">
        <v>106</v>
      </c>
      <c r="E534" s="103" t="n">
        <v>52</v>
      </c>
      <c r="F534" s="103" t="s">
        <v>170</v>
      </c>
      <c r="G534" s="103" t="s">
        <v>88</v>
      </c>
      <c r="H534" s="103" t="n">
        <v>4.6</v>
      </c>
      <c r="I534" s="103" t="n">
        <v>582</v>
      </c>
      <c r="J534" s="103" t="n">
        <v>60</v>
      </c>
      <c r="K534" s="103" t="n">
        <v>0</v>
      </c>
      <c r="L534" s="103" t="s">
        <v>94</v>
      </c>
      <c r="M534" s="103" t="s">
        <v>66</v>
      </c>
      <c r="N534" s="103" t="s">
        <v>77</v>
      </c>
      <c r="O534" s="103" t="n">
        <v>36</v>
      </c>
      <c r="P534" s="103" t="n">
        <v>5.3</v>
      </c>
      <c r="Q534" s="103" t="n">
        <v>5</v>
      </c>
      <c r="R534" s="103" t="s">
        <v>138</v>
      </c>
      <c r="S534" s="103" t="n">
        <v>642</v>
      </c>
      <c r="T534" s="103" t="n">
        <v>642</v>
      </c>
      <c r="U534" s="103" t="s">
        <v>1172</v>
      </c>
      <c r="V534" s="103" t="n">
        <v>2025</v>
      </c>
    </row>
    <row r="535" customFormat="false" ht="14.25" hidden="false" customHeight="false" outlineLevel="0" collapsed="false">
      <c r="A535" s="103" t="s">
        <v>1252</v>
      </c>
      <c r="B535" s="103" t="s">
        <v>523</v>
      </c>
      <c r="C535" s="104" t="n">
        <v>45835</v>
      </c>
      <c r="D535" s="103" t="s">
        <v>105</v>
      </c>
      <c r="E535" s="103" t="n">
        <v>29</v>
      </c>
      <c r="F535" s="103" t="s">
        <v>171</v>
      </c>
      <c r="G535" s="103" t="s">
        <v>82</v>
      </c>
      <c r="H535" s="103" t="n">
        <v>4.8</v>
      </c>
      <c r="I535" s="103" t="n">
        <v>789</v>
      </c>
      <c r="J535" s="103" t="n">
        <v>0</v>
      </c>
      <c r="K535" s="103" t="n">
        <v>50</v>
      </c>
      <c r="L535" s="103" t="s">
        <v>96</v>
      </c>
      <c r="M535" s="103" t="s">
        <v>65</v>
      </c>
      <c r="N535" s="103" t="s">
        <v>77</v>
      </c>
      <c r="O535" s="103" t="n">
        <v>44</v>
      </c>
      <c r="P535" s="103" t="n">
        <v>4.5</v>
      </c>
      <c r="Q535" s="103" t="n">
        <v>5</v>
      </c>
      <c r="R535" s="103" t="s">
        <v>137</v>
      </c>
      <c r="S535" s="103" t="n">
        <v>789</v>
      </c>
      <c r="T535" s="103" t="n">
        <v>739</v>
      </c>
      <c r="U535" s="103" t="s">
        <v>1172</v>
      </c>
      <c r="V535" s="103" t="n">
        <v>2025</v>
      </c>
    </row>
    <row r="536" customFormat="false" ht="14.25" hidden="false" customHeight="false" outlineLevel="0" collapsed="false">
      <c r="A536" s="103" t="s">
        <v>1253</v>
      </c>
      <c r="B536" s="103" t="s">
        <v>524</v>
      </c>
      <c r="C536" s="104" t="n">
        <v>45836</v>
      </c>
      <c r="D536" s="103" t="s">
        <v>101</v>
      </c>
      <c r="E536" s="103" t="n">
        <v>24</v>
      </c>
      <c r="F536" s="103" t="s">
        <v>170</v>
      </c>
      <c r="G536" s="103" t="s">
        <v>90</v>
      </c>
      <c r="H536" s="103" t="n">
        <v>3.8</v>
      </c>
      <c r="I536" s="103" t="n">
        <v>1685</v>
      </c>
      <c r="J536" s="103" t="n">
        <v>0</v>
      </c>
      <c r="K536" s="103" t="n">
        <v>100</v>
      </c>
      <c r="L536" s="103" t="s">
        <v>93</v>
      </c>
      <c r="M536" s="103" t="s">
        <v>65</v>
      </c>
      <c r="N536" s="103" t="s">
        <v>77</v>
      </c>
      <c r="O536" s="103" t="n">
        <v>58</v>
      </c>
      <c r="P536" s="103" t="n">
        <v>8.5</v>
      </c>
      <c r="Q536" s="103" t="n">
        <v>5</v>
      </c>
      <c r="R536" s="103" t="s">
        <v>132</v>
      </c>
      <c r="S536" s="103" t="n">
        <v>1685</v>
      </c>
      <c r="T536" s="103" t="n">
        <v>1585</v>
      </c>
      <c r="U536" s="103" t="s">
        <v>1172</v>
      </c>
      <c r="V536" s="103" t="n">
        <v>2025</v>
      </c>
    </row>
    <row r="537" customFormat="false" ht="14.25" hidden="false" customHeight="false" outlineLevel="0" collapsed="false">
      <c r="A537" s="103" t="s">
        <v>1254</v>
      </c>
      <c r="B537" s="103" t="s">
        <v>525</v>
      </c>
      <c r="C537" s="104" t="n">
        <v>45836</v>
      </c>
      <c r="D537" s="103" t="s">
        <v>110</v>
      </c>
      <c r="E537" s="103" t="n">
        <v>46</v>
      </c>
      <c r="F537" s="103" t="s">
        <v>171</v>
      </c>
      <c r="G537" s="103" t="s">
        <v>90</v>
      </c>
      <c r="H537" s="103" t="n">
        <v>3.6</v>
      </c>
      <c r="I537" s="103" t="n">
        <v>688</v>
      </c>
      <c r="J537" s="103" t="n">
        <v>50</v>
      </c>
      <c r="K537" s="103" t="n">
        <v>30</v>
      </c>
      <c r="L537" s="103" t="s">
        <v>97</v>
      </c>
      <c r="M537" s="103" t="s">
        <v>65</v>
      </c>
      <c r="N537" s="103" t="s">
        <v>78</v>
      </c>
      <c r="O537" s="103" t="n">
        <v>34</v>
      </c>
      <c r="P537" s="103" t="n">
        <v>11</v>
      </c>
      <c r="Q537" s="103" t="n">
        <v>5</v>
      </c>
      <c r="R537" s="103" t="s">
        <v>137</v>
      </c>
      <c r="S537" s="103" t="n">
        <v>738</v>
      </c>
      <c r="T537" s="103" t="n">
        <v>708</v>
      </c>
      <c r="U537" s="103" t="s">
        <v>1172</v>
      </c>
      <c r="V537" s="103" t="n">
        <v>2025</v>
      </c>
    </row>
    <row r="538" customFormat="false" ht="14.25" hidden="false" customHeight="false" outlineLevel="0" collapsed="false">
      <c r="A538" s="103" t="s">
        <v>1255</v>
      </c>
      <c r="B538" s="103" t="s">
        <v>526</v>
      </c>
      <c r="C538" s="104" t="n">
        <v>45836</v>
      </c>
      <c r="D538" s="103" t="s">
        <v>102</v>
      </c>
      <c r="E538" s="103" t="n">
        <v>28</v>
      </c>
      <c r="F538" s="103" t="s">
        <v>170</v>
      </c>
      <c r="G538" s="103" t="s">
        <v>81</v>
      </c>
      <c r="H538" s="103" t="n">
        <v>3.3</v>
      </c>
      <c r="I538" s="103" t="n">
        <v>1655</v>
      </c>
      <c r="J538" s="103" t="n">
        <v>20</v>
      </c>
      <c r="K538" s="103" t="n">
        <v>150</v>
      </c>
      <c r="L538" s="103" t="s">
        <v>94</v>
      </c>
      <c r="M538" s="103" t="s">
        <v>67</v>
      </c>
      <c r="N538" s="103" t="s">
        <v>78</v>
      </c>
      <c r="O538" s="103" t="n">
        <v>58</v>
      </c>
      <c r="P538" s="103" t="n">
        <v>14.9</v>
      </c>
      <c r="Q538" s="103" t="n">
        <v>4</v>
      </c>
      <c r="R538" s="103" t="s">
        <v>132</v>
      </c>
      <c r="S538" s="103" t="n">
        <v>1675</v>
      </c>
      <c r="T538" s="103" t="n">
        <v>1525</v>
      </c>
      <c r="U538" s="103" t="s">
        <v>1172</v>
      </c>
      <c r="V538" s="103" t="n">
        <v>2025</v>
      </c>
    </row>
    <row r="539" customFormat="false" ht="14.25" hidden="false" customHeight="false" outlineLevel="0" collapsed="false">
      <c r="A539" s="103" t="s">
        <v>1256</v>
      </c>
      <c r="B539" s="103" t="s">
        <v>527</v>
      </c>
      <c r="C539" s="104" t="n">
        <v>45837</v>
      </c>
      <c r="D539" s="103" t="s">
        <v>101</v>
      </c>
      <c r="E539" s="103" t="n">
        <v>50</v>
      </c>
      <c r="F539" s="103" t="s">
        <v>171</v>
      </c>
      <c r="G539" s="103" t="s">
        <v>87</v>
      </c>
      <c r="H539" s="103" t="n">
        <v>4</v>
      </c>
      <c r="I539" s="103" t="n">
        <v>1768</v>
      </c>
      <c r="J539" s="103" t="n">
        <v>30</v>
      </c>
      <c r="K539" s="103" t="n">
        <v>50</v>
      </c>
      <c r="L539" s="103" t="s">
        <v>97</v>
      </c>
      <c r="M539" s="103" t="s">
        <v>65</v>
      </c>
      <c r="N539" s="103" t="s">
        <v>78</v>
      </c>
      <c r="O539" s="103" t="n">
        <v>41</v>
      </c>
      <c r="P539" s="103" t="n">
        <v>2.4</v>
      </c>
      <c r="Q539" s="103" t="n">
        <v>2</v>
      </c>
      <c r="R539" s="103" t="s">
        <v>134</v>
      </c>
      <c r="S539" s="103" t="n">
        <v>1798</v>
      </c>
      <c r="T539" s="103" t="n">
        <v>1748</v>
      </c>
      <c r="U539" s="103" t="s">
        <v>1172</v>
      </c>
      <c r="V539" s="103" t="n">
        <v>2025</v>
      </c>
    </row>
    <row r="540" customFormat="false" ht="14.25" hidden="false" customHeight="false" outlineLevel="0" collapsed="false">
      <c r="A540" s="103" t="s">
        <v>1257</v>
      </c>
      <c r="B540" s="103" t="s">
        <v>528</v>
      </c>
      <c r="C540" s="104" t="n">
        <v>45837</v>
      </c>
      <c r="D540" s="103" t="s">
        <v>100</v>
      </c>
      <c r="E540" s="103" t="n">
        <v>23</v>
      </c>
      <c r="F540" s="103" t="s">
        <v>170</v>
      </c>
      <c r="G540" s="103" t="s">
        <v>84</v>
      </c>
      <c r="H540" s="103" t="n">
        <v>3.6</v>
      </c>
      <c r="I540" s="103" t="n">
        <v>1232</v>
      </c>
      <c r="J540" s="103" t="n">
        <v>60</v>
      </c>
      <c r="K540" s="103" t="n">
        <v>200</v>
      </c>
      <c r="L540" s="103" t="s">
        <v>93</v>
      </c>
      <c r="M540" s="103" t="s">
        <v>65</v>
      </c>
      <c r="N540" s="103" t="s">
        <v>78</v>
      </c>
      <c r="O540" s="103" t="n">
        <v>52</v>
      </c>
      <c r="P540" s="103" t="n">
        <v>1.2</v>
      </c>
      <c r="Q540" s="103" t="n">
        <v>1</v>
      </c>
      <c r="R540" s="103" t="s">
        <v>142</v>
      </c>
      <c r="S540" s="103" t="n">
        <v>1292</v>
      </c>
      <c r="T540" s="103" t="n">
        <v>1092</v>
      </c>
      <c r="U540" s="103" t="s">
        <v>1172</v>
      </c>
      <c r="V540" s="103" t="n">
        <v>2025</v>
      </c>
    </row>
    <row r="541" customFormat="false" ht="14.25" hidden="false" customHeight="false" outlineLevel="0" collapsed="false">
      <c r="A541" s="103" t="s">
        <v>1258</v>
      </c>
      <c r="B541" s="103" t="s">
        <v>529</v>
      </c>
      <c r="C541" s="104" t="n">
        <v>45837</v>
      </c>
      <c r="D541" s="103" t="s">
        <v>100</v>
      </c>
      <c r="E541" s="103" t="n">
        <v>32</v>
      </c>
      <c r="F541" s="103" t="s">
        <v>170</v>
      </c>
      <c r="G541" s="103" t="s">
        <v>85</v>
      </c>
      <c r="H541" s="103" t="n">
        <v>3.6</v>
      </c>
      <c r="I541" s="103" t="n">
        <v>1492</v>
      </c>
      <c r="J541" s="103" t="n">
        <v>50</v>
      </c>
      <c r="K541" s="103" t="n">
        <v>200</v>
      </c>
      <c r="L541" s="103" t="s">
        <v>96</v>
      </c>
      <c r="M541" s="103" t="s">
        <v>65</v>
      </c>
      <c r="N541" s="103" t="s">
        <v>78</v>
      </c>
      <c r="O541" s="103" t="n">
        <v>56</v>
      </c>
      <c r="P541" s="103" t="n">
        <v>10.6</v>
      </c>
      <c r="Q541" s="103" t="n">
        <v>4</v>
      </c>
      <c r="R541" s="103" t="s">
        <v>140</v>
      </c>
      <c r="S541" s="103" t="n">
        <v>1542</v>
      </c>
      <c r="T541" s="103" t="n">
        <v>1342</v>
      </c>
      <c r="U541" s="103" t="s">
        <v>1172</v>
      </c>
      <c r="V541" s="103" t="n">
        <v>2025</v>
      </c>
    </row>
    <row r="542" customFormat="false" ht="14.25" hidden="false" customHeight="false" outlineLevel="0" collapsed="false">
      <c r="A542" s="103" t="s">
        <v>1259</v>
      </c>
      <c r="B542" s="103" t="s">
        <v>530</v>
      </c>
      <c r="C542" s="104" t="n">
        <v>45838</v>
      </c>
      <c r="D542" s="103" t="s">
        <v>102</v>
      </c>
      <c r="E542" s="103" t="n">
        <v>49</v>
      </c>
      <c r="F542" s="103" t="s">
        <v>171</v>
      </c>
      <c r="G542" s="103" t="s">
        <v>85</v>
      </c>
      <c r="H542" s="103" t="n">
        <v>4.8</v>
      </c>
      <c r="I542" s="103" t="n">
        <v>1379</v>
      </c>
      <c r="J542" s="103" t="n">
        <v>60</v>
      </c>
      <c r="K542" s="103" t="n">
        <v>200</v>
      </c>
      <c r="L542" s="103" t="s">
        <v>97</v>
      </c>
      <c r="M542" s="103" t="s">
        <v>66</v>
      </c>
      <c r="N542" s="103" t="s">
        <v>78</v>
      </c>
      <c r="O542" s="103" t="n">
        <v>66</v>
      </c>
      <c r="P542" s="103" t="n">
        <v>12.6</v>
      </c>
      <c r="Q542" s="103" t="n">
        <v>3</v>
      </c>
      <c r="R542" s="103" t="s">
        <v>134</v>
      </c>
      <c r="S542" s="103" t="n">
        <v>1439</v>
      </c>
      <c r="T542" s="103" t="n">
        <v>1239</v>
      </c>
      <c r="U542" s="103" t="s">
        <v>1172</v>
      </c>
      <c r="V542" s="103" t="n">
        <v>2025</v>
      </c>
    </row>
    <row r="543" customFormat="false" ht="14.25" hidden="false" customHeight="false" outlineLevel="0" collapsed="false">
      <c r="A543" s="103" t="s">
        <v>1260</v>
      </c>
      <c r="B543" s="103" t="s">
        <v>531</v>
      </c>
      <c r="C543" s="104" t="n">
        <v>45838</v>
      </c>
      <c r="D543" s="103" t="s">
        <v>111</v>
      </c>
      <c r="E543" s="103" t="n">
        <v>28</v>
      </c>
      <c r="F543" s="103" t="s">
        <v>171</v>
      </c>
      <c r="G543" s="103" t="s">
        <v>85</v>
      </c>
      <c r="H543" s="103" t="n">
        <v>5</v>
      </c>
      <c r="I543" s="103" t="n">
        <v>1295</v>
      </c>
      <c r="J543" s="103" t="n">
        <v>60</v>
      </c>
      <c r="K543" s="103" t="n">
        <v>0</v>
      </c>
      <c r="L543" s="103" t="s">
        <v>97</v>
      </c>
      <c r="M543" s="103" t="s">
        <v>65</v>
      </c>
      <c r="N543" s="103" t="s">
        <v>77</v>
      </c>
      <c r="O543" s="103" t="n">
        <v>70</v>
      </c>
      <c r="P543" s="103" t="n">
        <v>12.8</v>
      </c>
      <c r="Q543" s="103" t="n">
        <v>2</v>
      </c>
      <c r="R543" s="103" t="s">
        <v>139</v>
      </c>
      <c r="S543" s="103" t="n">
        <v>1355</v>
      </c>
      <c r="T543" s="103" t="n">
        <v>1355</v>
      </c>
      <c r="U543" s="103" t="s">
        <v>1172</v>
      </c>
      <c r="V543" s="103" t="n">
        <v>2025</v>
      </c>
    </row>
    <row r="544" customFormat="false" ht="14.25" hidden="false" customHeight="false" outlineLevel="0" collapsed="false">
      <c r="A544" s="103" t="s">
        <v>1261</v>
      </c>
      <c r="B544" s="103" t="s">
        <v>532</v>
      </c>
      <c r="C544" s="104" t="n">
        <v>45838</v>
      </c>
      <c r="D544" s="103" t="s">
        <v>103</v>
      </c>
      <c r="E544" s="103" t="n">
        <v>40</v>
      </c>
      <c r="F544" s="103" t="s">
        <v>171</v>
      </c>
      <c r="G544" s="103" t="s">
        <v>81</v>
      </c>
      <c r="H544" s="103" t="n">
        <v>4.5</v>
      </c>
      <c r="I544" s="103" t="n">
        <v>636</v>
      </c>
      <c r="J544" s="103" t="n">
        <v>30</v>
      </c>
      <c r="K544" s="103" t="n">
        <v>10</v>
      </c>
      <c r="L544" s="103" t="s">
        <v>93</v>
      </c>
      <c r="M544" s="103" t="s">
        <v>65</v>
      </c>
      <c r="N544" s="103" t="s">
        <v>77</v>
      </c>
      <c r="O544" s="103" t="n">
        <v>55</v>
      </c>
      <c r="P544" s="103" t="n">
        <v>10.3</v>
      </c>
      <c r="Q544" s="103" t="n">
        <v>3</v>
      </c>
      <c r="R544" s="103" t="s">
        <v>131</v>
      </c>
      <c r="S544" s="103" t="n">
        <v>666</v>
      </c>
      <c r="T544" s="103" t="n">
        <v>656</v>
      </c>
      <c r="U544" s="103" t="s">
        <v>1172</v>
      </c>
      <c r="V544" s="103" t="n">
        <v>2025</v>
      </c>
    </row>
    <row r="545" customFormat="false" ht="14.25" hidden="false" customHeight="false" outlineLevel="0" collapsed="false">
      <c r="A545" s="103" t="s">
        <v>1262</v>
      </c>
      <c r="B545" s="103" t="s">
        <v>533</v>
      </c>
      <c r="C545" s="104" t="n">
        <v>45839</v>
      </c>
      <c r="D545" s="103" t="s">
        <v>101</v>
      </c>
      <c r="E545" s="103" t="n">
        <v>43</v>
      </c>
      <c r="F545" s="103" t="s">
        <v>171</v>
      </c>
      <c r="G545" s="103" t="s">
        <v>83</v>
      </c>
      <c r="H545" s="103" t="n">
        <v>4.4</v>
      </c>
      <c r="I545" s="103" t="n">
        <v>216</v>
      </c>
      <c r="J545" s="103" t="n">
        <v>20</v>
      </c>
      <c r="K545" s="103" t="n">
        <v>20</v>
      </c>
      <c r="L545" s="103" t="s">
        <v>93</v>
      </c>
      <c r="M545" s="103" t="s">
        <v>67</v>
      </c>
      <c r="N545" s="103" t="s">
        <v>78</v>
      </c>
      <c r="O545" s="103" t="n">
        <v>48</v>
      </c>
      <c r="P545" s="103" t="n">
        <v>14.3</v>
      </c>
      <c r="Q545" s="103" t="n">
        <v>3</v>
      </c>
      <c r="R545" s="103" t="s">
        <v>133</v>
      </c>
      <c r="S545" s="103" t="n">
        <v>236</v>
      </c>
      <c r="T545" s="103" t="n">
        <v>216</v>
      </c>
      <c r="U545" s="103" t="s">
        <v>1263</v>
      </c>
      <c r="V545" s="103" t="n">
        <v>2025</v>
      </c>
    </row>
    <row r="546" customFormat="false" ht="14.25" hidden="false" customHeight="false" outlineLevel="0" collapsed="false">
      <c r="A546" s="103" t="s">
        <v>1264</v>
      </c>
      <c r="B546" s="103" t="s">
        <v>534</v>
      </c>
      <c r="C546" s="104" t="n">
        <v>45839</v>
      </c>
      <c r="D546" s="103" t="s">
        <v>102</v>
      </c>
      <c r="E546" s="103" t="n">
        <v>51</v>
      </c>
      <c r="F546" s="103" t="s">
        <v>171</v>
      </c>
      <c r="G546" s="103" t="s">
        <v>86</v>
      </c>
      <c r="H546" s="103" t="n">
        <v>4.2</v>
      </c>
      <c r="I546" s="103" t="n">
        <v>696</v>
      </c>
      <c r="J546" s="103" t="n">
        <v>0</v>
      </c>
      <c r="K546" s="103" t="n">
        <v>30</v>
      </c>
      <c r="L546" s="103" t="s">
        <v>95</v>
      </c>
      <c r="M546" s="103" t="s">
        <v>65</v>
      </c>
      <c r="N546" s="103" t="s">
        <v>77</v>
      </c>
      <c r="O546" s="103" t="n">
        <v>53</v>
      </c>
      <c r="P546" s="103" t="n">
        <v>7.9</v>
      </c>
      <c r="Q546" s="103" t="n">
        <v>5</v>
      </c>
      <c r="R546" s="103" t="s">
        <v>142</v>
      </c>
      <c r="S546" s="103" t="n">
        <v>696</v>
      </c>
      <c r="T546" s="103" t="n">
        <v>666</v>
      </c>
      <c r="U546" s="103" t="s">
        <v>1263</v>
      </c>
      <c r="V546" s="103" t="n">
        <v>2025</v>
      </c>
    </row>
    <row r="547" customFormat="false" ht="14.25" hidden="false" customHeight="false" outlineLevel="0" collapsed="false">
      <c r="A547" s="103" t="s">
        <v>1265</v>
      </c>
      <c r="B547" s="103" t="s">
        <v>535</v>
      </c>
      <c r="C547" s="104" t="n">
        <v>45839</v>
      </c>
      <c r="D547" s="103" t="s">
        <v>100</v>
      </c>
      <c r="E547" s="103" t="n">
        <v>51</v>
      </c>
      <c r="F547" s="103" t="s">
        <v>170</v>
      </c>
      <c r="G547" s="103" t="s">
        <v>87</v>
      </c>
      <c r="H547" s="103" t="n">
        <v>2.9</v>
      </c>
      <c r="I547" s="103" t="n">
        <v>1240</v>
      </c>
      <c r="J547" s="103" t="n">
        <v>40</v>
      </c>
      <c r="K547" s="103" t="n">
        <v>200</v>
      </c>
      <c r="L547" s="103" t="s">
        <v>93</v>
      </c>
      <c r="M547" s="103" t="s">
        <v>65</v>
      </c>
      <c r="N547" s="103" t="s">
        <v>78</v>
      </c>
      <c r="O547" s="103" t="n">
        <v>55</v>
      </c>
      <c r="P547" s="103" t="n">
        <v>13.8</v>
      </c>
      <c r="Q547" s="103" t="n">
        <v>3</v>
      </c>
      <c r="R547" s="103" t="s">
        <v>138</v>
      </c>
      <c r="S547" s="103" t="n">
        <v>1280</v>
      </c>
      <c r="T547" s="103" t="n">
        <v>1080</v>
      </c>
      <c r="U547" s="103" t="s">
        <v>1263</v>
      </c>
      <c r="V547" s="103" t="n">
        <v>2025</v>
      </c>
    </row>
    <row r="548" customFormat="false" ht="14.25" hidden="false" customHeight="false" outlineLevel="0" collapsed="false">
      <c r="A548" s="103" t="s">
        <v>1266</v>
      </c>
      <c r="B548" s="103" t="s">
        <v>536</v>
      </c>
      <c r="C548" s="104" t="n">
        <v>45840</v>
      </c>
      <c r="D548" s="103" t="s">
        <v>100</v>
      </c>
      <c r="E548" s="103" t="n">
        <v>46</v>
      </c>
      <c r="F548" s="103" t="s">
        <v>171</v>
      </c>
      <c r="G548" s="103" t="s">
        <v>87</v>
      </c>
      <c r="H548" s="103" t="n">
        <v>2.6</v>
      </c>
      <c r="I548" s="103" t="n">
        <v>292</v>
      </c>
      <c r="J548" s="103" t="n">
        <v>60</v>
      </c>
      <c r="K548" s="103" t="n">
        <v>75</v>
      </c>
      <c r="L548" s="103" t="s">
        <v>93</v>
      </c>
      <c r="M548" s="103" t="s">
        <v>65</v>
      </c>
      <c r="N548" s="103" t="s">
        <v>77</v>
      </c>
      <c r="O548" s="103" t="n">
        <v>58</v>
      </c>
      <c r="P548" s="103" t="n">
        <v>14.5</v>
      </c>
      <c r="Q548" s="103" t="n">
        <v>4</v>
      </c>
      <c r="R548" s="103" t="s">
        <v>133</v>
      </c>
      <c r="S548" s="103" t="n">
        <v>352</v>
      </c>
      <c r="T548" s="103" t="n">
        <v>277</v>
      </c>
      <c r="U548" s="103" t="s">
        <v>1263</v>
      </c>
      <c r="V548" s="103" t="n">
        <v>2025</v>
      </c>
    </row>
    <row r="549" customFormat="false" ht="14.25" hidden="false" customHeight="false" outlineLevel="0" collapsed="false">
      <c r="A549" s="103" t="s">
        <v>1267</v>
      </c>
      <c r="B549" s="103" t="s">
        <v>537</v>
      </c>
      <c r="C549" s="104" t="n">
        <v>45840</v>
      </c>
      <c r="D549" s="103" t="s">
        <v>105</v>
      </c>
      <c r="E549" s="103" t="n">
        <v>21</v>
      </c>
      <c r="F549" s="103" t="s">
        <v>171</v>
      </c>
      <c r="G549" s="103" t="s">
        <v>84</v>
      </c>
      <c r="H549" s="103" t="n">
        <v>4.2</v>
      </c>
      <c r="I549" s="103" t="n">
        <v>140</v>
      </c>
      <c r="J549" s="103" t="n">
        <v>40</v>
      </c>
      <c r="K549" s="103" t="n">
        <v>0</v>
      </c>
      <c r="L549" s="103" t="s">
        <v>93</v>
      </c>
      <c r="M549" s="103" t="s">
        <v>65</v>
      </c>
      <c r="N549" s="103" t="s">
        <v>77</v>
      </c>
      <c r="O549" s="103" t="n">
        <v>51</v>
      </c>
      <c r="P549" s="103" t="n">
        <v>12.8</v>
      </c>
      <c r="Q549" s="103" t="n">
        <v>5</v>
      </c>
      <c r="R549" s="103" t="s">
        <v>137</v>
      </c>
      <c r="S549" s="103" t="n">
        <v>180</v>
      </c>
      <c r="T549" s="103" t="n">
        <v>180</v>
      </c>
      <c r="U549" s="103" t="s">
        <v>1263</v>
      </c>
      <c r="V549" s="103" t="n">
        <v>2025</v>
      </c>
    </row>
    <row r="550" customFormat="false" ht="14.25" hidden="false" customHeight="false" outlineLevel="0" collapsed="false">
      <c r="A550" s="103" t="s">
        <v>1268</v>
      </c>
      <c r="B550" s="103" t="s">
        <v>538</v>
      </c>
      <c r="C550" s="104" t="n">
        <v>45840</v>
      </c>
      <c r="D550" s="103" t="s">
        <v>104</v>
      </c>
      <c r="E550" s="103" t="n">
        <v>34</v>
      </c>
      <c r="F550" s="103" t="s">
        <v>170</v>
      </c>
      <c r="G550" s="103" t="s">
        <v>90</v>
      </c>
      <c r="H550" s="103" t="n">
        <v>4.3</v>
      </c>
      <c r="I550" s="103" t="n">
        <v>355</v>
      </c>
      <c r="J550" s="103" t="n">
        <v>20</v>
      </c>
      <c r="K550" s="103" t="n">
        <v>200</v>
      </c>
      <c r="L550" s="103" t="s">
        <v>94</v>
      </c>
      <c r="M550" s="103" t="s">
        <v>66</v>
      </c>
      <c r="N550" s="103" t="s">
        <v>77</v>
      </c>
      <c r="O550" s="103" t="n">
        <v>15</v>
      </c>
      <c r="P550" s="103" t="n">
        <v>5</v>
      </c>
      <c r="Q550" s="103" t="n">
        <v>4</v>
      </c>
      <c r="R550" s="103" t="s">
        <v>132</v>
      </c>
      <c r="S550" s="103" t="n">
        <v>375</v>
      </c>
      <c r="T550" s="103" t="n">
        <v>175</v>
      </c>
      <c r="U550" s="103" t="s">
        <v>1263</v>
      </c>
      <c r="V550" s="103" t="n">
        <v>2025</v>
      </c>
    </row>
    <row r="551" customFormat="false" ht="14.25" hidden="false" customHeight="false" outlineLevel="0" collapsed="false">
      <c r="A551" s="103" t="s">
        <v>1269</v>
      </c>
      <c r="B551" s="103" t="s">
        <v>539</v>
      </c>
      <c r="C551" s="104" t="n">
        <v>45841</v>
      </c>
      <c r="D551" s="103" t="s">
        <v>111</v>
      </c>
      <c r="E551" s="103" t="n">
        <v>52</v>
      </c>
      <c r="F551" s="103" t="s">
        <v>171</v>
      </c>
      <c r="G551" s="103" t="s">
        <v>82</v>
      </c>
      <c r="H551" s="103" t="n">
        <v>2.6</v>
      </c>
      <c r="I551" s="103" t="n">
        <v>1322</v>
      </c>
      <c r="J551" s="103" t="n">
        <v>40</v>
      </c>
      <c r="K551" s="103" t="n">
        <v>75</v>
      </c>
      <c r="L551" s="103" t="s">
        <v>94</v>
      </c>
      <c r="M551" s="103" t="s">
        <v>65</v>
      </c>
      <c r="N551" s="103" t="s">
        <v>77</v>
      </c>
      <c r="O551" s="103" t="n">
        <v>68</v>
      </c>
      <c r="P551" s="103" t="n">
        <v>3.3</v>
      </c>
      <c r="Q551" s="103" t="n">
        <v>2</v>
      </c>
      <c r="R551" s="103" t="s">
        <v>134</v>
      </c>
      <c r="S551" s="103" t="n">
        <v>1362</v>
      </c>
      <c r="T551" s="103" t="n">
        <v>1287</v>
      </c>
      <c r="U551" s="103" t="s">
        <v>1263</v>
      </c>
      <c r="V551" s="103" t="n">
        <v>2025</v>
      </c>
    </row>
    <row r="552" customFormat="false" ht="14.25" hidden="false" customHeight="false" outlineLevel="0" collapsed="false">
      <c r="A552" s="103" t="s">
        <v>1270</v>
      </c>
      <c r="B552" s="103" t="s">
        <v>540</v>
      </c>
      <c r="C552" s="104" t="n">
        <v>45841</v>
      </c>
      <c r="D552" s="103" t="s">
        <v>101</v>
      </c>
      <c r="E552" s="103" t="n">
        <v>30</v>
      </c>
      <c r="F552" s="103" t="s">
        <v>170</v>
      </c>
      <c r="G552" s="103" t="s">
        <v>88</v>
      </c>
      <c r="H552" s="103" t="n">
        <v>4.8</v>
      </c>
      <c r="I552" s="103" t="n">
        <v>1754</v>
      </c>
      <c r="J552" s="103" t="n">
        <v>60</v>
      </c>
      <c r="K552" s="103" t="n">
        <v>30</v>
      </c>
      <c r="L552" s="103" t="s">
        <v>93</v>
      </c>
      <c r="M552" s="103" t="s">
        <v>65</v>
      </c>
      <c r="N552" s="103" t="s">
        <v>77</v>
      </c>
      <c r="O552" s="103" t="n">
        <v>29</v>
      </c>
      <c r="P552" s="103" t="n">
        <v>8.4</v>
      </c>
      <c r="Q552" s="103" t="n">
        <v>4</v>
      </c>
      <c r="R552" s="103" t="s">
        <v>133</v>
      </c>
      <c r="S552" s="103" t="n">
        <v>1814</v>
      </c>
      <c r="T552" s="103" t="n">
        <v>1784</v>
      </c>
      <c r="U552" s="103" t="s">
        <v>1263</v>
      </c>
      <c r="V552" s="103" t="n">
        <v>2025</v>
      </c>
    </row>
    <row r="553" customFormat="false" ht="14.25" hidden="false" customHeight="false" outlineLevel="0" collapsed="false">
      <c r="A553" s="103" t="s">
        <v>1271</v>
      </c>
      <c r="B553" s="103" t="s">
        <v>541</v>
      </c>
      <c r="C553" s="104" t="n">
        <v>45841</v>
      </c>
      <c r="D553" s="103" t="s">
        <v>101</v>
      </c>
      <c r="E553" s="103" t="n">
        <v>58</v>
      </c>
      <c r="F553" s="103" t="s">
        <v>170</v>
      </c>
      <c r="G553" s="103" t="s">
        <v>90</v>
      </c>
      <c r="H553" s="103" t="n">
        <v>2.7</v>
      </c>
      <c r="I553" s="103" t="n">
        <v>1772</v>
      </c>
      <c r="J553" s="103" t="n">
        <v>30</v>
      </c>
      <c r="K553" s="103" t="n">
        <v>30</v>
      </c>
      <c r="L553" s="103" t="s">
        <v>93</v>
      </c>
      <c r="M553" s="103" t="s">
        <v>65</v>
      </c>
      <c r="N553" s="103" t="s">
        <v>77</v>
      </c>
      <c r="O553" s="103" t="n">
        <v>46</v>
      </c>
      <c r="P553" s="103" t="n">
        <v>7.1</v>
      </c>
      <c r="Q553" s="103" t="n">
        <v>2</v>
      </c>
      <c r="R553" s="103" t="s">
        <v>134</v>
      </c>
      <c r="S553" s="103" t="n">
        <v>1802</v>
      </c>
      <c r="T553" s="103" t="n">
        <v>1772</v>
      </c>
      <c r="U553" s="103" t="s">
        <v>1263</v>
      </c>
      <c r="V553" s="103" t="n">
        <v>2025</v>
      </c>
    </row>
    <row r="554" customFormat="false" ht="14.25" hidden="false" customHeight="false" outlineLevel="0" collapsed="false">
      <c r="A554" s="103" t="s">
        <v>1272</v>
      </c>
      <c r="B554" s="103" t="s">
        <v>542</v>
      </c>
      <c r="C554" s="104" t="n">
        <v>45842</v>
      </c>
      <c r="D554" s="103" t="s">
        <v>110</v>
      </c>
      <c r="E554" s="103" t="n">
        <v>56</v>
      </c>
      <c r="F554" s="103" t="s">
        <v>170</v>
      </c>
      <c r="G554" s="103" t="s">
        <v>83</v>
      </c>
      <c r="H554" s="103" t="n">
        <v>3.2</v>
      </c>
      <c r="I554" s="103" t="n">
        <v>950</v>
      </c>
      <c r="J554" s="103" t="n">
        <v>40</v>
      </c>
      <c r="K554" s="103" t="n">
        <v>20</v>
      </c>
      <c r="L554" s="103" t="s">
        <v>94</v>
      </c>
      <c r="M554" s="103" t="s">
        <v>65</v>
      </c>
      <c r="N554" s="103" t="s">
        <v>77</v>
      </c>
      <c r="O554" s="103" t="n">
        <v>22</v>
      </c>
      <c r="P554" s="103" t="n">
        <v>13.2</v>
      </c>
      <c r="Q554" s="103" t="n">
        <v>4</v>
      </c>
      <c r="R554" s="103" t="s">
        <v>140</v>
      </c>
      <c r="S554" s="103" t="n">
        <v>990</v>
      </c>
      <c r="T554" s="103" t="n">
        <v>970</v>
      </c>
      <c r="U554" s="103" t="s">
        <v>1263</v>
      </c>
      <c r="V554" s="103" t="n">
        <v>2025</v>
      </c>
    </row>
    <row r="555" customFormat="false" ht="14.25" hidden="false" customHeight="false" outlineLevel="0" collapsed="false">
      <c r="A555" s="103" t="s">
        <v>1273</v>
      </c>
      <c r="B555" s="103" t="s">
        <v>543</v>
      </c>
      <c r="C555" s="104" t="n">
        <v>45842</v>
      </c>
      <c r="D555" s="103" t="s">
        <v>102</v>
      </c>
      <c r="E555" s="103" t="n">
        <v>32</v>
      </c>
      <c r="F555" s="103" t="s">
        <v>170</v>
      </c>
      <c r="G555" s="103" t="s">
        <v>88</v>
      </c>
      <c r="H555" s="103" t="n">
        <v>4.2</v>
      </c>
      <c r="I555" s="103" t="n">
        <v>1581</v>
      </c>
      <c r="J555" s="103" t="n">
        <v>20</v>
      </c>
      <c r="K555" s="103" t="n">
        <v>100</v>
      </c>
      <c r="L555" s="103" t="s">
        <v>94</v>
      </c>
      <c r="M555" s="103" t="s">
        <v>65</v>
      </c>
      <c r="N555" s="103" t="s">
        <v>77</v>
      </c>
      <c r="O555" s="103" t="n">
        <v>47</v>
      </c>
      <c r="P555" s="103" t="n">
        <v>2</v>
      </c>
      <c r="Q555" s="103" t="n">
        <v>3</v>
      </c>
      <c r="R555" s="103" t="s">
        <v>140</v>
      </c>
      <c r="S555" s="103" t="n">
        <v>1601</v>
      </c>
      <c r="T555" s="103" t="n">
        <v>1501</v>
      </c>
      <c r="U555" s="103" t="s">
        <v>1263</v>
      </c>
      <c r="V555" s="103" t="n">
        <v>2025</v>
      </c>
    </row>
    <row r="556" customFormat="false" ht="14.25" hidden="false" customHeight="false" outlineLevel="0" collapsed="false">
      <c r="A556" s="103" t="s">
        <v>1274</v>
      </c>
      <c r="B556" s="103" t="s">
        <v>544</v>
      </c>
      <c r="C556" s="104" t="n">
        <v>45842</v>
      </c>
      <c r="D556" s="103" t="s">
        <v>110</v>
      </c>
      <c r="E556" s="103" t="n">
        <v>46</v>
      </c>
      <c r="F556" s="103" t="s">
        <v>170</v>
      </c>
      <c r="G556" s="103" t="s">
        <v>87</v>
      </c>
      <c r="H556" s="103" t="n">
        <v>2.9</v>
      </c>
      <c r="I556" s="103" t="n">
        <v>1358</v>
      </c>
      <c r="J556" s="103" t="n">
        <v>20</v>
      </c>
      <c r="K556" s="103" t="n">
        <v>20</v>
      </c>
      <c r="L556" s="103" t="s">
        <v>93</v>
      </c>
      <c r="M556" s="103" t="s">
        <v>66</v>
      </c>
      <c r="N556" s="103" t="s">
        <v>78</v>
      </c>
      <c r="O556" s="103" t="n">
        <v>32</v>
      </c>
      <c r="P556" s="103" t="n">
        <v>4.2</v>
      </c>
      <c r="Q556" s="103" t="n">
        <v>5</v>
      </c>
      <c r="R556" s="103" t="s">
        <v>135</v>
      </c>
      <c r="S556" s="103" t="n">
        <v>1378</v>
      </c>
      <c r="T556" s="103" t="n">
        <v>1358</v>
      </c>
      <c r="U556" s="103" t="s">
        <v>1263</v>
      </c>
      <c r="V556" s="103" t="n">
        <v>2025</v>
      </c>
    </row>
    <row r="557" customFormat="false" ht="14.25" hidden="false" customHeight="false" outlineLevel="0" collapsed="false">
      <c r="A557" s="103" t="s">
        <v>1275</v>
      </c>
      <c r="B557" s="103" t="s">
        <v>545</v>
      </c>
      <c r="C557" s="104" t="n">
        <v>45843</v>
      </c>
      <c r="D557" s="103" t="s">
        <v>102</v>
      </c>
      <c r="E557" s="103" t="n">
        <v>46</v>
      </c>
      <c r="F557" s="103" t="s">
        <v>171</v>
      </c>
      <c r="G557" s="103" t="s">
        <v>83</v>
      </c>
      <c r="H557" s="103" t="n">
        <v>2.6</v>
      </c>
      <c r="I557" s="103" t="n">
        <v>962</v>
      </c>
      <c r="J557" s="103" t="n">
        <v>30</v>
      </c>
      <c r="K557" s="103" t="n">
        <v>10</v>
      </c>
      <c r="L557" s="103" t="s">
        <v>93</v>
      </c>
      <c r="M557" s="103" t="s">
        <v>65</v>
      </c>
      <c r="N557" s="103" t="s">
        <v>77</v>
      </c>
      <c r="O557" s="103" t="n">
        <v>59</v>
      </c>
      <c r="P557" s="103" t="n">
        <v>11.4</v>
      </c>
      <c r="Q557" s="103" t="n">
        <v>5</v>
      </c>
      <c r="R557" s="103" t="s">
        <v>132</v>
      </c>
      <c r="S557" s="103" t="n">
        <v>992</v>
      </c>
      <c r="T557" s="103" t="n">
        <v>982</v>
      </c>
      <c r="U557" s="103" t="s">
        <v>1263</v>
      </c>
      <c r="V557" s="103" t="n">
        <v>2025</v>
      </c>
    </row>
    <row r="558" customFormat="false" ht="14.25" hidden="false" customHeight="false" outlineLevel="0" collapsed="false">
      <c r="A558" s="103" t="s">
        <v>1276</v>
      </c>
      <c r="B558" s="103" t="s">
        <v>546</v>
      </c>
      <c r="C558" s="104" t="n">
        <v>45843</v>
      </c>
      <c r="D558" s="103" t="s">
        <v>108</v>
      </c>
      <c r="E558" s="103" t="n">
        <v>28</v>
      </c>
      <c r="F558" s="103" t="s">
        <v>171</v>
      </c>
      <c r="G558" s="103" t="s">
        <v>88</v>
      </c>
      <c r="H558" s="103" t="n">
        <v>3.3</v>
      </c>
      <c r="I558" s="103" t="n">
        <v>1082</v>
      </c>
      <c r="J558" s="103" t="n">
        <v>40</v>
      </c>
      <c r="K558" s="103" t="n">
        <v>150</v>
      </c>
      <c r="L558" s="103" t="s">
        <v>96</v>
      </c>
      <c r="M558" s="103" t="s">
        <v>67</v>
      </c>
      <c r="N558" s="103" t="s">
        <v>77</v>
      </c>
      <c r="O558" s="103" t="n">
        <v>43</v>
      </c>
      <c r="P558" s="103" t="n">
        <v>1.9</v>
      </c>
      <c r="Q558" s="103" t="n">
        <v>4</v>
      </c>
      <c r="R558" s="103" t="s">
        <v>139</v>
      </c>
      <c r="S558" s="103" t="n">
        <v>1122</v>
      </c>
      <c r="T558" s="103" t="n">
        <v>972</v>
      </c>
      <c r="U558" s="103" t="s">
        <v>1263</v>
      </c>
      <c r="V558" s="103" t="n">
        <v>2025</v>
      </c>
    </row>
    <row r="559" customFormat="false" ht="14.25" hidden="false" customHeight="false" outlineLevel="0" collapsed="false">
      <c r="A559" s="103" t="s">
        <v>1277</v>
      </c>
      <c r="B559" s="103" t="s">
        <v>547</v>
      </c>
      <c r="C559" s="104" t="n">
        <v>45843</v>
      </c>
      <c r="D559" s="103" t="s">
        <v>100</v>
      </c>
      <c r="E559" s="103" t="n">
        <v>49</v>
      </c>
      <c r="F559" s="103" t="s">
        <v>171</v>
      </c>
      <c r="G559" s="103" t="s">
        <v>84</v>
      </c>
      <c r="H559" s="103" t="n">
        <v>4.4</v>
      </c>
      <c r="I559" s="103" t="n">
        <v>351</v>
      </c>
      <c r="J559" s="103" t="n">
        <v>40</v>
      </c>
      <c r="K559" s="103" t="n">
        <v>30</v>
      </c>
      <c r="L559" s="103" t="s">
        <v>97</v>
      </c>
      <c r="M559" s="103" t="s">
        <v>65</v>
      </c>
      <c r="N559" s="103" t="s">
        <v>77</v>
      </c>
      <c r="O559" s="103" t="n">
        <v>46</v>
      </c>
      <c r="P559" s="103" t="n">
        <v>5.2</v>
      </c>
      <c r="Q559" s="103" t="n">
        <v>4</v>
      </c>
      <c r="R559" s="103" t="s">
        <v>133</v>
      </c>
      <c r="S559" s="103" t="n">
        <v>391</v>
      </c>
      <c r="T559" s="103" t="n">
        <v>361</v>
      </c>
      <c r="U559" s="103" t="s">
        <v>1263</v>
      </c>
      <c r="V559" s="103" t="n">
        <v>2025</v>
      </c>
    </row>
    <row r="560" customFormat="false" ht="14.25" hidden="false" customHeight="false" outlineLevel="0" collapsed="false">
      <c r="A560" s="103" t="s">
        <v>1278</v>
      </c>
      <c r="B560" s="103" t="s">
        <v>548</v>
      </c>
      <c r="C560" s="104" t="n">
        <v>45844</v>
      </c>
      <c r="D560" s="103" t="s">
        <v>104</v>
      </c>
      <c r="E560" s="103" t="n">
        <v>19</v>
      </c>
      <c r="F560" s="103" t="s">
        <v>170</v>
      </c>
      <c r="G560" s="103" t="s">
        <v>84</v>
      </c>
      <c r="H560" s="103" t="n">
        <v>3.5</v>
      </c>
      <c r="I560" s="103" t="n">
        <v>1695</v>
      </c>
      <c r="J560" s="103" t="n">
        <v>0</v>
      </c>
      <c r="K560" s="103" t="n">
        <v>150</v>
      </c>
      <c r="L560" s="103" t="s">
        <v>97</v>
      </c>
      <c r="M560" s="103" t="s">
        <v>66</v>
      </c>
      <c r="N560" s="103" t="s">
        <v>78</v>
      </c>
      <c r="O560" s="103" t="n">
        <v>47</v>
      </c>
      <c r="P560" s="103" t="n">
        <v>6.1</v>
      </c>
      <c r="Q560" s="103" t="n">
        <v>4</v>
      </c>
      <c r="R560" s="103" t="s">
        <v>138</v>
      </c>
      <c r="S560" s="103" t="n">
        <v>1695</v>
      </c>
      <c r="T560" s="103" t="n">
        <v>1545</v>
      </c>
      <c r="U560" s="103" t="s">
        <v>1263</v>
      </c>
      <c r="V560" s="103" t="n">
        <v>2025</v>
      </c>
    </row>
    <row r="561" customFormat="false" ht="14.25" hidden="false" customHeight="false" outlineLevel="0" collapsed="false">
      <c r="A561" s="103" t="s">
        <v>1279</v>
      </c>
      <c r="B561" s="103" t="s">
        <v>549</v>
      </c>
      <c r="C561" s="104" t="n">
        <v>45844</v>
      </c>
      <c r="D561" s="103" t="s">
        <v>105</v>
      </c>
      <c r="E561" s="103" t="n">
        <v>31</v>
      </c>
      <c r="F561" s="103" t="s">
        <v>171</v>
      </c>
      <c r="G561" s="103" t="s">
        <v>89</v>
      </c>
      <c r="H561" s="103" t="n">
        <v>4.1</v>
      </c>
      <c r="I561" s="103" t="n">
        <v>711</v>
      </c>
      <c r="J561" s="103" t="n">
        <v>50</v>
      </c>
      <c r="K561" s="103" t="n">
        <v>0</v>
      </c>
      <c r="L561" s="103" t="s">
        <v>96</v>
      </c>
      <c r="M561" s="103" t="s">
        <v>67</v>
      </c>
      <c r="N561" s="103" t="s">
        <v>77</v>
      </c>
      <c r="O561" s="103" t="n">
        <v>19</v>
      </c>
      <c r="P561" s="103" t="n">
        <v>9.5</v>
      </c>
      <c r="Q561" s="103" t="n">
        <v>5</v>
      </c>
      <c r="R561" s="103" t="s">
        <v>134</v>
      </c>
      <c r="S561" s="103" t="n">
        <v>761</v>
      </c>
      <c r="T561" s="103" t="n">
        <v>761</v>
      </c>
      <c r="U561" s="103" t="s">
        <v>1263</v>
      </c>
      <c r="V561" s="103" t="n">
        <v>2025</v>
      </c>
    </row>
    <row r="562" customFormat="false" ht="14.25" hidden="false" customHeight="false" outlineLevel="0" collapsed="false">
      <c r="A562" s="103" t="s">
        <v>1280</v>
      </c>
      <c r="B562" s="103" t="s">
        <v>550</v>
      </c>
      <c r="C562" s="104" t="n">
        <v>45844</v>
      </c>
      <c r="D562" s="103" t="s">
        <v>104</v>
      </c>
      <c r="E562" s="103" t="n">
        <v>37</v>
      </c>
      <c r="F562" s="103" t="s">
        <v>170</v>
      </c>
      <c r="G562" s="103" t="s">
        <v>86</v>
      </c>
      <c r="H562" s="103" t="n">
        <v>3.9</v>
      </c>
      <c r="I562" s="103" t="n">
        <v>870</v>
      </c>
      <c r="J562" s="103" t="n">
        <v>20</v>
      </c>
      <c r="K562" s="103" t="n">
        <v>50</v>
      </c>
      <c r="L562" s="103" t="s">
        <v>93</v>
      </c>
      <c r="M562" s="103" t="s">
        <v>65</v>
      </c>
      <c r="N562" s="103" t="s">
        <v>77</v>
      </c>
      <c r="O562" s="103" t="n">
        <v>32</v>
      </c>
      <c r="P562" s="103" t="n">
        <v>2.8</v>
      </c>
      <c r="Q562" s="103" t="n">
        <v>3</v>
      </c>
      <c r="R562" s="103" t="s">
        <v>134</v>
      </c>
      <c r="S562" s="103" t="n">
        <v>890</v>
      </c>
      <c r="T562" s="103" t="n">
        <v>840</v>
      </c>
      <c r="U562" s="103" t="s">
        <v>1263</v>
      </c>
      <c r="V562" s="103" t="n">
        <v>2025</v>
      </c>
    </row>
    <row r="563" customFormat="false" ht="14.25" hidden="false" customHeight="false" outlineLevel="0" collapsed="false">
      <c r="A563" s="103" t="s">
        <v>1281</v>
      </c>
      <c r="B563" s="103" t="s">
        <v>551</v>
      </c>
      <c r="C563" s="104" t="n">
        <v>45845</v>
      </c>
      <c r="D563" s="103" t="s">
        <v>104</v>
      </c>
      <c r="E563" s="103" t="n">
        <v>39</v>
      </c>
      <c r="F563" s="103" t="s">
        <v>172</v>
      </c>
      <c r="G563" s="103" t="s">
        <v>84</v>
      </c>
      <c r="H563" s="103" t="n">
        <v>2.6</v>
      </c>
      <c r="I563" s="103" t="n">
        <v>1248</v>
      </c>
      <c r="J563" s="103" t="n">
        <v>0</v>
      </c>
      <c r="K563" s="103" t="n">
        <v>200</v>
      </c>
      <c r="L563" s="103" t="s">
        <v>95</v>
      </c>
      <c r="M563" s="103" t="s">
        <v>65</v>
      </c>
      <c r="N563" s="103" t="s">
        <v>77</v>
      </c>
      <c r="O563" s="103" t="n">
        <v>62</v>
      </c>
      <c r="P563" s="103" t="n">
        <v>13</v>
      </c>
      <c r="Q563" s="103" t="n">
        <v>5</v>
      </c>
      <c r="R563" s="103" t="s">
        <v>140</v>
      </c>
      <c r="S563" s="103" t="n">
        <v>1248</v>
      </c>
      <c r="T563" s="103" t="n">
        <v>1048</v>
      </c>
      <c r="U563" s="103" t="s">
        <v>1263</v>
      </c>
      <c r="V563" s="103" t="n">
        <v>2025</v>
      </c>
    </row>
    <row r="564" customFormat="false" ht="14.25" hidden="false" customHeight="false" outlineLevel="0" collapsed="false">
      <c r="A564" s="103" t="s">
        <v>1282</v>
      </c>
      <c r="B564" s="103" t="s">
        <v>552</v>
      </c>
      <c r="C564" s="104" t="n">
        <v>45845</v>
      </c>
      <c r="D564" s="103" t="s">
        <v>104</v>
      </c>
      <c r="E564" s="103" t="n">
        <v>28</v>
      </c>
      <c r="F564" s="103" t="s">
        <v>170</v>
      </c>
      <c r="G564" s="103" t="s">
        <v>87</v>
      </c>
      <c r="H564" s="103" t="n">
        <v>5</v>
      </c>
      <c r="I564" s="103" t="n">
        <v>681</v>
      </c>
      <c r="J564" s="103" t="n">
        <v>20</v>
      </c>
      <c r="K564" s="103" t="n">
        <v>0</v>
      </c>
      <c r="L564" s="103" t="s">
        <v>93</v>
      </c>
      <c r="M564" s="103" t="s">
        <v>65</v>
      </c>
      <c r="N564" s="103" t="s">
        <v>77</v>
      </c>
      <c r="O564" s="103" t="n">
        <v>24</v>
      </c>
      <c r="P564" s="103" t="n">
        <v>7</v>
      </c>
      <c r="Q564" s="103" t="n">
        <v>5</v>
      </c>
      <c r="R564" s="103" t="s">
        <v>131</v>
      </c>
      <c r="S564" s="103" t="n">
        <v>701</v>
      </c>
      <c r="T564" s="103" t="n">
        <v>701</v>
      </c>
      <c r="U564" s="103" t="s">
        <v>1263</v>
      </c>
      <c r="V564" s="103" t="n">
        <v>2025</v>
      </c>
    </row>
    <row r="565" customFormat="false" ht="14.25" hidden="false" customHeight="false" outlineLevel="0" collapsed="false">
      <c r="A565" s="103" t="s">
        <v>1283</v>
      </c>
      <c r="B565" s="103" t="s">
        <v>553</v>
      </c>
      <c r="C565" s="104" t="n">
        <v>45845</v>
      </c>
      <c r="D565" s="103" t="s">
        <v>110</v>
      </c>
      <c r="E565" s="103" t="n">
        <v>44</v>
      </c>
      <c r="F565" s="103" t="s">
        <v>170</v>
      </c>
      <c r="G565" s="103" t="s">
        <v>82</v>
      </c>
      <c r="H565" s="103" t="n">
        <v>2.6</v>
      </c>
      <c r="I565" s="103" t="n">
        <v>547</v>
      </c>
      <c r="J565" s="103" t="n">
        <v>0</v>
      </c>
      <c r="K565" s="103" t="n">
        <v>30</v>
      </c>
      <c r="L565" s="103" t="s">
        <v>95</v>
      </c>
      <c r="M565" s="103" t="s">
        <v>65</v>
      </c>
      <c r="N565" s="103" t="s">
        <v>78</v>
      </c>
      <c r="O565" s="103" t="n">
        <v>50</v>
      </c>
      <c r="P565" s="103" t="n">
        <v>13.8</v>
      </c>
      <c r="Q565" s="103" t="n">
        <v>4</v>
      </c>
      <c r="R565" s="103" t="s">
        <v>132</v>
      </c>
      <c r="S565" s="103" t="n">
        <v>547</v>
      </c>
      <c r="T565" s="103" t="n">
        <v>517</v>
      </c>
      <c r="U565" s="103" t="s">
        <v>1263</v>
      </c>
      <c r="V565" s="103" t="n">
        <v>2025</v>
      </c>
    </row>
    <row r="566" customFormat="false" ht="14.25" hidden="false" customHeight="false" outlineLevel="0" collapsed="false">
      <c r="A566" s="103" t="s">
        <v>1284</v>
      </c>
      <c r="B566" s="103" t="s">
        <v>554</v>
      </c>
      <c r="C566" s="104" t="n">
        <v>45846</v>
      </c>
      <c r="D566" s="103" t="s">
        <v>102</v>
      </c>
      <c r="E566" s="103" t="n">
        <v>20</v>
      </c>
      <c r="F566" s="103" t="s">
        <v>171</v>
      </c>
      <c r="G566" s="103" t="s">
        <v>85</v>
      </c>
      <c r="H566" s="103" t="n">
        <v>4.9</v>
      </c>
      <c r="I566" s="103" t="n">
        <v>1180</v>
      </c>
      <c r="J566" s="103" t="n">
        <v>50</v>
      </c>
      <c r="K566" s="103" t="n">
        <v>75</v>
      </c>
      <c r="L566" s="103" t="s">
        <v>93</v>
      </c>
      <c r="M566" s="103" t="s">
        <v>65</v>
      </c>
      <c r="N566" s="103" t="s">
        <v>77</v>
      </c>
      <c r="O566" s="103" t="n">
        <v>47</v>
      </c>
      <c r="P566" s="103" t="n">
        <v>7.3</v>
      </c>
      <c r="Q566" s="103" t="n">
        <v>4</v>
      </c>
      <c r="R566" s="103" t="s">
        <v>134</v>
      </c>
      <c r="S566" s="103" t="n">
        <v>1230</v>
      </c>
      <c r="T566" s="103" t="n">
        <v>1155</v>
      </c>
      <c r="U566" s="103" t="s">
        <v>1263</v>
      </c>
      <c r="V566" s="103" t="n">
        <v>2025</v>
      </c>
    </row>
    <row r="567" customFormat="false" ht="14.25" hidden="false" customHeight="false" outlineLevel="0" collapsed="false">
      <c r="A567" s="103" t="s">
        <v>1285</v>
      </c>
      <c r="B567" s="103" t="s">
        <v>555</v>
      </c>
      <c r="C567" s="104" t="n">
        <v>45846</v>
      </c>
      <c r="D567" s="103" t="s">
        <v>109</v>
      </c>
      <c r="E567" s="103" t="n">
        <v>34</v>
      </c>
      <c r="F567" s="103" t="s">
        <v>170</v>
      </c>
      <c r="G567" s="103" t="s">
        <v>89</v>
      </c>
      <c r="H567" s="103" t="n">
        <v>3.9</v>
      </c>
      <c r="I567" s="103" t="n">
        <v>162</v>
      </c>
      <c r="J567" s="103" t="n">
        <v>0</v>
      </c>
      <c r="K567" s="103" t="n">
        <v>150</v>
      </c>
      <c r="L567" s="103" t="s">
        <v>94</v>
      </c>
      <c r="M567" s="103" t="s">
        <v>65</v>
      </c>
      <c r="N567" s="103" t="s">
        <v>77</v>
      </c>
      <c r="O567" s="103" t="n">
        <v>37</v>
      </c>
      <c r="P567" s="103" t="n">
        <v>4.5</v>
      </c>
      <c r="Q567" s="103" t="n">
        <v>4</v>
      </c>
      <c r="R567" s="103" t="s">
        <v>140</v>
      </c>
      <c r="S567" s="103" t="n">
        <v>162</v>
      </c>
      <c r="T567" s="103" t="n">
        <v>12</v>
      </c>
      <c r="U567" s="103" t="s">
        <v>1263</v>
      </c>
      <c r="V567" s="103" t="n">
        <v>2025</v>
      </c>
    </row>
    <row r="568" customFormat="false" ht="14.25" hidden="false" customHeight="false" outlineLevel="0" collapsed="false">
      <c r="A568" s="103" t="s">
        <v>1286</v>
      </c>
      <c r="B568" s="103" t="s">
        <v>556</v>
      </c>
      <c r="C568" s="104" t="n">
        <v>45846</v>
      </c>
      <c r="D568" s="103" t="s">
        <v>108</v>
      </c>
      <c r="E568" s="103" t="n">
        <v>45</v>
      </c>
      <c r="F568" s="103" t="s">
        <v>170</v>
      </c>
      <c r="G568" s="103" t="s">
        <v>85</v>
      </c>
      <c r="H568" s="103" t="n">
        <v>4.9</v>
      </c>
      <c r="I568" s="103" t="n">
        <v>1331</v>
      </c>
      <c r="J568" s="103" t="n">
        <v>20</v>
      </c>
      <c r="K568" s="103" t="n">
        <v>20</v>
      </c>
      <c r="L568" s="103" t="s">
        <v>94</v>
      </c>
      <c r="M568" s="103" t="s">
        <v>65</v>
      </c>
      <c r="N568" s="103" t="s">
        <v>77</v>
      </c>
      <c r="O568" s="103" t="n">
        <v>54</v>
      </c>
      <c r="P568" s="103" t="n">
        <v>2.6</v>
      </c>
      <c r="Q568" s="103" t="n">
        <v>2</v>
      </c>
      <c r="R568" s="103" t="s">
        <v>140</v>
      </c>
      <c r="S568" s="103" t="n">
        <v>1351</v>
      </c>
      <c r="T568" s="103" t="n">
        <v>1331</v>
      </c>
      <c r="U568" s="103" t="s">
        <v>1263</v>
      </c>
      <c r="V568" s="103" t="n">
        <v>2025</v>
      </c>
    </row>
    <row r="569" customFormat="false" ht="14.25" hidden="false" customHeight="false" outlineLevel="0" collapsed="false">
      <c r="A569" s="103" t="s">
        <v>1287</v>
      </c>
      <c r="B569" s="103" t="s">
        <v>557</v>
      </c>
      <c r="C569" s="104" t="n">
        <v>45847</v>
      </c>
      <c r="D569" s="103" t="s">
        <v>106</v>
      </c>
      <c r="E569" s="103" t="n">
        <v>46</v>
      </c>
      <c r="F569" s="103" t="s">
        <v>171</v>
      </c>
      <c r="G569" s="103" t="s">
        <v>86</v>
      </c>
      <c r="H569" s="103" t="n">
        <v>2.8</v>
      </c>
      <c r="I569" s="103" t="n">
        <v>984</v>
      </c>
      <c r="J569" s="103" t="n">
        <v>40</v>
      </c>
      <c r="K569" s="103" t="n">
        <v>50</v>
      </c>
      <c r="L569" s="103" t="s">
        <v>93</v>
      </c>
      <c r="M569" s="103" t="s">
        <v>65</v>
      </c>
      <c r="N569" s="103" t="s">
        <v>78</v>
      </c>
      <c r="O569" s="103" t="n">
        <v>19</v>
      </c>
      <c r="P569" s="103" t="n">
        <v>0.6</v>
      </c>
      <c r="Q569" s="103" t="n">
        <v>2</v>
      </c>
      <c r="R569" s="103" t="s">
        <v>136</v>
      </c>
      <c r="S569" s="103" t="n">
        <v>1024</v>
      </c>
      <c r="T569" s="103" t="n">
        <v>974</v>
      </c>
      <c r="U569" s="103" t="s">
        <v>1263</v>
      </c>
      <c r="V569" s="103" t="n">
        <v>2025</v>
      </c>
    </row>
    <row r="570" customFormat="false" ht="14.25" hidden="false" customHeight="false" outlineLevel="0" collapsed="false">
      <c r="A570" s="103" t="s">
        <v>1288</v>
      </c>
      <c r="B570" s="103" t="s">
        <v>558</v>
      </c>
      <c r="C570" s="104" t="n">
        <v>45847</v>
      </c>
      <c r="D570" s="103" t="s">
        <v>104</v>
      </c>
      <c r="E570" s="103" t="n">
        <v>38</v>
      </c>
      <c r="F570" s="103" t="s">
        <v>171</v>
      </c>
      <c r="G570" s="103" t="s">
        <v>88</v>
      </c>
      <c r="H570" s="103" t="n">
        <v>3.7</v>
      </c>
      <c r="I570" s="103" t="n">
        <v>1138</v>
      </c>
      <c r="J570" s="103" t="n">
        <v>20</v>
      </c>
      <c r="K570" s="103" t="n">
        <v>100</v>
      </c>
      <c r="L570" s="103" t="s">
        <v>95</v>
      </c>
      <c r="M570" s="103" t="s">
        <v>65</v>
      </c>
      <c r="N570" s="103" t="s">
        <v>78</v>
      </c>
      <c r="O570" s="103" t="n">
        <v>48</v>
      </c>
      <c r="P570" s="103" t="n">
        <v>8.2</v>
      </c>
      <c r="Q570" s="103" t="n">
        <v>3</v>
      </c>
      <c r="R570" s="103" t="s">
        <v>135</v>
      </c>
      <c r="S570" s="103" t="n">
        <v>1158</v>
      </c>
      <c r="T570" s="103" t="n">
        <v>1058</v>
      </c>
      <c r="U570" s="103" t="s">
        <v>1263</v>
      </c>
      <c r="V570" s="103" t="n">
        <v>2025</v>
      </c>
    </row>
    <row r="571" customFormat="false" ht="14.25" hidden="false" customHeight="false" outlineLevel="0" collapsed="false">
      <c r="A571" s="103" t="s">
        <v>1289</v>
      </c>
      <c r="B571" s="103" t="s">
        <v>559</v>
      </c>
      <c r="C571" s="104" t="n">
        <v>45847</v>
      </c>
      <c r="D571" s="103" t="s">
        <v>103</v>
      </c>
      <c r="E571" s="103" t="n">
        <v>33</v>
      </c>
      <c r="F571" s="103" t="s">
        <v>170</v>
      </c>
      <c r="G571" s="103" t="s">
        <v>81</v>
      </c>
      <c r="H571" s="103" t="n">
        <v>2.9</v>
      </c>
      <c r="I571" s="103" t="n">
        <v>1182</v>
      </c>
      <c r="J571" s="103" t="n">
        <v>60</v>
      </c>
      <c r="K571" s="103" t="n">
        <v>0</v>
      </c>
      <c r="L571" s="103" t="s">
        <v>93</v>
      </c>
      <c r="M571" s="103" t="s">
        <v>67</v>
      </c>
      <c r="N571" s="103" t="s">
        <v>78</v>
      </c>
      <c r="O571" s="103" t="n">
        <v>38</v>
      </c>
      <c r="P571" s="103" t="n">
        <v>2.1</v>
      </c>
      <c r="Q571" s="103" t="n">
        <v>3</v>
      </c>
      <c r="R571" s="103" t="s">
        <v>134</v>
      </c>
      <c r="S571" s="103" t="n">
        <v>1242</v>
      </c>
      <c r="T571" s="103" t="n">
        <v>1242</v>
      </c>
      <c r="U571" s="103" t="s">
        <v>1263</v>
      </c>
      <c r="V571" s="103" t="n">
        <v>2025</v>
      </c>
    </row>
    <row r="572" customFormat="false" ht="14.25" hidden="false" customHeight="false" outlineLevel="0" collapsed="false">
      <c r="A572" s="103" t="s">
        <v>1290</v>
      </c>
      <c r="B572" s="103" t="s">
        <v>560</v>
      </c>
      <c r="C572" s="104" t="n">
        <v>45848</v>
      </c>
      <c r="D572" s="103" t="s">
        <v>110</v>
      </c>
      <c r="E572" s="103" t="n">
        <v>54</v>
      </c>
      <c r="F572" s="103" t="s">
        <v>170</v>
      </c>
      <c r="G572" s="103" t="s">
        <v>84</v>
      </c>
      <c r="H572" s="103" t="n">
        <v>2.6</v>
      </c>
      <c r="I572" s="103" t="n">
        <v>1005</v>
      </c>
      <c r="J572" s="103" t="n">
        <v>30</v>
      </c>
      <c r="K572" s="103" t="n">
        <v>100</v>
      </c>
      <c r="L572" s="103" t="s">
        <v>93</v>
      </c>
      <c r="M572" s="103" t="s">
        <v>65</v>
      </c>
      <c r="N572" s="103" t="s">
        <v>78</v>
      </c>
      <c r="O572" s="103" t="n">
        <v>31</v>
      </c>
      <c r="P572" s="103" t="n">
        <v>6.2</v>
      </c>
      <c r="Q572" s="103" t="n">
        <v>4</v>
      </c>
      <c r="R572" s="103" t="s">
        <v>136</v>
      </c>
      <c r="S572" s="103" t="n">
        <v>1035</v>
      </c>
      <c r="T572" s="103" t="n">
        <v>935</v>
      </c>
      <c r="U572" s="103" t="s">
        <v>1263</v>
      </c>
      <c r="V572" s="103" t="n">
        <v>2025</v>
      </c>
    </row>
    <row r="573" customFormat="false" ht="14.25" hidden="false" customHeight="false" outlineLevel="0" collapsed="false">
      <c r="A573" s="103" t="s">
        <v>1291</v>
      </c>
      <c r="B573" s="103" t="s">
        <v>561</v>
      </c>
      <c r="C573" s="104" t="n">
        <v>45848</v>
      </c>
      <c r="D573" s="103" t="s">
        <v>111</v>
      </c>
      <c r="E573" s="103" t="n">
        <v>37</v>
      </c>
      <c r="F573" s="103" t="s">
        <v>170</v>
      </c>
      <c r="G573" s="103" t="s">
        <v>82</v>
      </c>
      <c r="H573" s="103" t="n">
        <v>4</v>
      </c>
      <c r="I573" s="103" t="n">
        <v>1099</v>
      </c>
      <c r="J573" s="103" t="n">
        <v>30</v>
      </c>
      <c r="K573" s="103" t="n">
        <v>150</v>
      </c>
      <c r="L573" s="103" t="s">
        <v>93</v>
      </c>
      <c r="M573" s="103" t="s">
        <v>65</v>
      </c>
      <c r="N573" s="103" t="s">
        <v>78</v>
      </c>
      <c r="O573" s="103" t="n">
        <v>45</v>
      </c>
      <c r="P573" s="103" t="n">
        <v>9</v>
      </c>
      <c r="Q573" s="103" t="n">
        <v>5</v>
      </c>
      <c r="R573" s="103" t="s">
        <v>138</v>
      </c>
      <c r="S573" s="103" t="n">
        <v>1129</v>
      </c>
      <c r="T573" s="103" t="n">
        <v>979</v>
      </c>
      <c r="U573" s="103" t="s">
        <v>1263</v>
      </c>
      <c r="V573" s="103" t="n">
        <v>2025</v>
      </c>
    </row>
    <row r="574" customFormat="false" ht="14.25" hidden="false" customHeight="false" outlineLevel="0" collapsed="false">
      <c r="A574" s="103" t="s">
        <v>1292</v>
      </c>
      <c r="B574" s="103" t="s">
        <v>562</v>
      </c>
      <c r="C574" s="104" t="n">
        <v>45848</v>
      </c>
      <c r="D574" s="103" t="s">
        <v>105</v>
      </c>
      <c r="E574" s="103" t="n">
        <v>23</v>
      </c>
      <c r="F574" s="103" t="s">
        <v>170</v>
      </c>
      <c r="G574" s="103" t="s">
        <v>86</v>
      </c>
      <c r="H574" s="103" t="n">
        <v>3</v>
      </c>
      <c r="I574" s="103" t="n">
        <v>1269</v>
      </c>
      <c r="J574" s="103" t="n">
        <v>60</v>
      </c>
      <c r="K574" s="103" t="n">
        <v>150</v>
      </c>
      <c r="L574" s="103" t="s">
        <v>93</v>
      </c>
      <c r="M574" s="103" t="s">
        <v>65</v>
      </c>
      <c r="N574" s="103" t="s">
        <v>77</v>
      </c>
      <c r="O574" s="103" t="n">
        <v>21</v>
      </c>
      <c r="P574" s="103" t="n">
        <v>4.5</v>
      </c>
      <c r="Q574" s="103" t="n">
        <v>3</v>
      </c>
      <c r="R574" s="103" t="s">
        <v>138</v>
      </c>
      <c r="S574" s="103" t="n">
        <v>1329</v>
      </c>
      <c r="T574" s="103" t="n">
        <v>1179</v>
      </c>
      <c r="U574" s="103" t="s">
        <v>1263</v>
      </c>
      <c r="V574" s="103" t="n">
        <v>2025</v>
      </c>
    </row>
    <row r="575" customFormat="false" ht="14.25" hidden="false" customHeight="false" outlineLevel="0" collapsed="false">
      <c r="A575" s="103" t="s">
        <v>1293</v>
      </c>
      <c r="B575" s="103" t="s">
        <v>563</v>
      </c>
      <c r="C575" s="104" t="n">
        <v>45849</v>
      </c>
      <c r="D575" s="103" t="s">
        <v>106</v>
      </c>
      <c r="E575" s="103" t="n">
        <v>36</v>
      </c>
      <c r="F575" s="103" t="s">
        <v>170</v>
      </c>
      <c r="G575" s="103" t="s">
        <v>85</v>
      </c>
      <c r="H575" s="103" t="n">
        <v>4</v>
      </c>
      <c r="I575" s="103" t="n">
        <v>1385</v>
      </c>
      <c r="J575" s="103" t="n">
        <v>30</v>
      </c>
      <c r="K575" s="103" t="n">
        <v>200</v>
      </c>
      <c r="L575" s="103" t="s">
        <v>93</v>
      </c>
      <c r="M575" s="103" t="s">
        <v>65</v>
      </c>
      <c r="N575" s="103" t="s">
        <v>77</v>
      </c>
      <c r="O575" s="103" t="n">
        <v>31</v>
      </c>
      <c r="P575" s="103" t="n">
        <v>3</v>
      </c>
      <c r="Q575" s="103" t="n">
        <v>5</v>
      </c>
      <c r="R575" s="103" t="s">
        <v>140</v>
      </c>
      <c r="S575" s="103" t="n">
        <v>1415</v>
      </c>
      <c r="T575" s="103" t="n">
        <v>1215</v>
      </c>
      <c r="U575" s="103" t="s">
        <v>1263</v>
      </c>
      <c r="V575" s="103" t="n">
        <v>2025</v>
      </c>
    </row>
    <row r="576" customFormat="false" ht="14.25" hidden="false" customHeight="false" outlineLevel="0" collapsed="false">
      <c r="A576" s="103" t="s">
        <v>1294</v>
      </c>
      <c r="B576" s="103" t="s">
        <v>564</v>
      </c>
      <c r="C576" s="104" t="n">
        <v>45849</v>
      </c>
      <c r="D576" s="103" t="s">
        <v>109</v>
      </c>
      <c r="E576" s="103" t="n">
        <v>22</v>
      </c>
      <c r="F576" s="103" t="s">
        <v>170</v>
      </c>
      <c r="G576" s="103" t="s">
        <v>89</v>
      </c>
      <c r="H576" s="103" t="n">
        <v>2.8</v>
      </c>
      <c r="I576" s="103" t="n">
        <v>1342</v>
      </c>
      <c r="J576" s="103" t="n">
        <v>30</v>
      </c>
      <c r="K576" s="103" t="n">
        <v>75</v>
      </c>
      <c r="L576" s="103" t="s">
        <v>96</v>
      </c>
      <c r="M576" s="103" t="s">
        <v>67</v>
      </c>
      <c r="N576" s="103" t="s">
        <v>78</v>
      </c>
      <c r="O576" s="103" t="n">
        <v>42</v>
      </c>
      <c r="P576" s="103" t="n">
        <v>11.7</v>
      </c>
      <c r="Q576" s="103" t="n">
        <v>5</v>
      </c>
      <c r="R576" s="103" t="s">
        <v>135</v>
      </c>
      <c r="S576" s="103" t="n">
        <v>1372</v>
      </c>
      <c r="T576" s="103" t="n">
        <v>1297</v>
      </c>
      <c r="U576" s="103" t="s">
        <v>1263</v>
      </c>
      <c r="V576" s="103" t="n">
        <v>2025</v>
      </c>
    </row>
    <row r="577" customFormat="false" ht="14.25" hidden="false" customHeight="false" outlineLevel="0" collapsed="false">
      <c r="A577" s="103" t="s">
        <v>1295</v>
      </c>
      <c r="B577" s="103" t="s">
        <v>565</v>
      </c>
      <c r="C577" s="104" t="n">
        <v>45849</v>
      </c>
      <c r="D577" s="103" t="s">
        <v>103</v>
      </c>
      <c r="E577" s="103" t="n">
        <v>20</v>
      </c>
      <c r="F577" s="103" t="s">
        <v>171</v>
      </c>
      <c r="G577" s="103" t="s">
        <v>84</v>
      </c>
      <c r="H577" s="103" t="n">
        <v>3.3</v>
      </c>
      <c r="I577" s="103" t="n">
        <v>1581</v>
      </c>
      <c r="J577" s="103" t="n">
        <v>50</v>
      </c>
      <c r="K577" s="103" t="n">
        <v>75</v>
      </c>
      <c r="L577" s="103" t="s">
        <v>93</v>
      </c>
      <c r="M577" s="103" t="s">
        <v>66</v>
      </c>
      <c r="N577" s="103" t="s">
        <v>77</v>
      </c>
      <c r="O577" s="103" t="n">
        <v>52</v>
      </c>
      <c r="P577" s="103" t="n">
        <v>14.2</v>
      </c>
      <c r="Q577" s="103" t="n">
        <v>5</v>
      </c>
      <c r="R577" s="103" t="s">
        <v>131</v>
      </c>
      <c r="S577" s="103" t="n">
        <v>1631</v>
      </c>
      <c r="T577" s="103" t="n">
        <v>1556</v>
      </c>
      <c r="U577" s="103" t="s">
        <v>1263</v>
      </c>
      <c r="V577" s="103" t="n">
        <v>2025</v>
      </c>
    </row>
    <row r="578" customFormat="false" ht="14.25" hidden="false" customHeight="false" outlineLevel="0" collapsed="false">
      <c r="A578" s="103" t="s">
        <v>1296</v>
      </c>
      <c r="B578" s="103" t="s">
        <v>566</v>
      </c>
      <c r="C578" s="104" t="n">
        <v>45850</v>
      </c>
      <c r="D578" s="103" t="s">
        <v>109</v>
      </c>
      <c r="E578" s="103" t="n">
        <v>18</v>
      </c>
      <c r="F578" s="103" t="s">
        <v>171</v>
      </c>
      <c r="G578" s="103" t="s">
        <v>87</v>
      </c>
      <c r="H578" s="103" t="n">
        <v>4.5</v>
      </c>
      <c r="I578" s="103" t="n">
        <v>438</v>
      </c>
      <c r="J578" s="103" t="n">
        <v>40</v>
      </c>
      <c r="K578" s="103" t="n">
        <v>10</v>
      </c>
      <c r="L578" s="103" t="s">
        <v>94</v>
      </c>
      <c r="M578" s="103" t="s">
        <v>66</v>
      </c>
      <c r="N578" s="103" t="s">
        <v>77</v>
      </c>
      <c r="O578" s="103" t="n">
        <v>36</v>
      </c>
      <c r="P578" s="103" t="n">
        <v>2</v>
      </c>
      <c r="Q578" s="103" t="n">
        <v>5</v>
      </c>
      <c r="R578" s="103" t="s">
        <v>135</v>
      </c>
      <c r="S578" s="103" t="n">
        <v>478</v>
      </c>
      <c r="T578" s="103" t="n">
        <v>468</v>
      </c>
      <c r="U578" s="103" t="s">
        <v>1263</v>
      </c>
      <c r="V578" s="103" t="n">
        <v>2025</v>
      </c>
    </row>
    <row r="579" customFormat="false" ht="14.25" hidden="false" customHeight="false" outlineLevel="0" collapsed="false">
      <c r="A579" s="103" t="s">
        <v>1297</v>
      </c>
      <c r="B579" s="103" t="s">
        <v>567</v>
      </c>
      <c r="C579" s="104" t="n">
        <v>45850</v>
      </c>
      <c r="D579" s="103" t="s">
        <v>106</v>
      </c>
      <c r="E579" s="103" t="n">
        <v>55</v>
      </c>
      <c r="F579" s="103" t="s">
        <v>171</v>
      </c>
      <c r="G579" s="103" t="s">
        <v>84</v>
      </c>
      <c r="H579" s="103" t="n">
        <v>3.6</v>
      </c>
      <c r="I579" s="103" t="n">
        <v>794</v>
      </c>
      <c r="J579" s="103" t="n">
        <v>40</v>
      </c>
      <c r="K579" s="103" t="n">
        <v>20</v>
      </c>
      <c r="L579" s="103" t="s">
        <v>93</v>
      </c>
      <c r="M579" s="103" t="s">
        <v>66</v>
      </c>
      <c r="N579" s="103" t="s">
        <v>77</v>
      </c>
      <c r="O579" s="103" t="n">
        <v>29</v>
      </c>
      <c r="P579" s="103" t="n">
        <v>2.8</v>
      </c>
      <c r="Q579" s="103" t="n">
        <v>4</v>
      </c>
      <c r="R579" s="103" t="s">
        <v>131</v>
      </c>
      <c r="S579" s="103" t="n">
        <v>834</v>
      </c>
      <c r="T579" s="103" t="n">
        <v>814</v>
      </c>
      <c r="U579" s="103" t="s">
        <v>1263</v>
      </c>
      <c r="V579" s="103" t="n">
        <v>2025</v>
      </c>
    </row>
    <row r="580" customFormat="false" ht="14.25" hidden="false" customHeight="false" outlineLevel="0" collapsed="false">
      <c r="A580" s="103" t="s">
        <v>1298</v>
      </c>
      <c r="B580" s="103" t="s">
        <v>568</v>
      </c>
      <c r="C580" s="104" t="n">
        <v>45850</v>
      </c>
      <c r="D580" s="103" t="s">
        <v>104</v>
      </c>
      <c r="E580" s="103" t="n">
        <v>32</v>
      </c>
      <c r="F580" s="103" t="s">
        <v>170</v>
      </c>
      <c r="G580" s="103" t="s">
        <v>89</v>
      </c>
      <c r="H580" s="103" t="n">
        <v>4.1</v>
      </c>
      <c r="I580" s="103" t="n">
        <v>1712</v>
      </c>
      <c r="J580" s="103" t="n">
        <v>20</v>
      </c>
      <c r="K580" s="103" t="n">
        <v>30</v>
      </c>
      <c r="L580" s="103" t="s">
        <v>95</v>
      </c>
      <c r="M580" s="103" t="s">
        <v>65</v>
      </c>
      <c r="N580" s="103" t="s">
        <v>78</v>
      </c>
      <c r="O580" s="103" t="n">
        <v>51</v>
      </c>
      <c r="P580" s="103" t="n">
        <v>14.4</v>
      </c>
      <c r="Q580" s="103" t="n">
        <v>2</v>
      </c>
      <c r="R580" s="103" t="s">
        <v>142</v>
      </c>
      <c r="S580" s="103" t="n">
        <v>1732</v>
      </c>
      <c r="T580" s="103" t="n">
        <v>1702</v>
      </c>
      <c r="U580" s="103" t="s">
        <v>1263</v>
      </c>
      <c r="V580" s="103" t="n">
        <v>2025</v>
      </c>
    </row>
    <row r="581" customFormat="false" ht="14.25" hidden="false" customHeight="false" outlineLevel="0" collapsed="false">
      <c r="A581" s="103" t="s">
        <v>1299</v>
      </c>
      <c r="B581" s="103" t="s">
        <v>569</v>
      </c>
      <c r="C581" s="104" t="n">
        <v>45851</v>
      </c>
      <c r="D581" s="103" t="s">
        <v>103</v>
      </c>
      <c r="E581" s="103" t="n">
        <v>51</v>
      </c>
      <c r="F581" s="103" t="s">
        <v>170</v>
      </c>
      <c r="G581" s="103" t="s">
        <v>89</v>
      </c>
      <c r="H581" s="103" t="n">
        <v>4.1</v>
      </c>
      <c r="I581" s="103" t="n">
        <v>786</v>
      </c>
      <c r="J581" s="103" t="n">
        <v>60</v>
      </c>
      <c r="K581" s="103" t="n">
        <v>30</v>
      </c>
      <c r="L581" s="103" t="s">
        <v>95</v>
      </c>
      <c r="M581" s="103" t="s">
        <v>65</v>
      </c>
      <c r="N581" s="103" t="s">
        <v>77</v>
      </c>
      <c r="O581" s="103" t="n">
        <v>29</v>
      </c>
      <c r="P581" s="103" t="n">
        <v>1</v>
      </c>
      <c r="Q581" s="103" t="n">
        <v>5</v>
      </c>
      <c r="R581" s="103" t="s">
        <v>136</v>
      </c>
      <c r="S581" s="103" t="n">
        <v>846</v>
      </c>
      <c r="T581" s="103" t="n">
        <v>816</v>
      </c>
      <c r="U581" s="103" t="s">
        <v>1263</v>
      </c>
      <c r="V581" s="103" t="n">
        <v>2025</v>
      </c>
    </row>
    <row r="582" customFormat="false" ht="14.25" hidden="false" customHeight="false" outlineLevel="0" collapsed="false">
      <c r="A582" s="103" t="s">
        <v>1300</v>
      </c>
      <c r="B582" s="103" t="s">
        <v>570</v>
      </c>
      <c r="C582" s="104" t="n">
        <v>45851</v>
      </c>
      <c r="D582" s="103" t="s">
        <v>109</v>
      </c>
      <c r="E582" s="103" t="n">
        <v>52</v>
      </c>
      <c r="F582" s="103" t="s">
        <v>170</v>
      </c>
      <c r="G582" s="103" t="s">
        <v>81</v>
      </c>
      <c r="H582" s="103" t="n">
        <v>4.6</v>
      </c>
      <c r="I582" s="103" t="n">
        <v>330</v>
      </c>
      <c r="J582" s="103" t="n">
        <v>0</v>
      </c>
      <c r="K582" s="103" t="n">
        <v>150</v>
      </c>
      <c r="L582" s="103" t="s">
        <v>95</v>
      </c>
      <c r="M582" s="103" t="s">
        <v>66</v>
      </c>
      <c r="N582" s="103" t="s">
        <v>77</v>
      </c>
      <c r="O582" s="103" t="n">
        <v>64</v>
      </c>
      <c r="P582" s="103" t="n">
        <v>14.7</v>
      </c>
      <c r="Q582" s="103" t="n">
        <v>5</v>
      </c>
      <c r="R582" s="103" t="s">
        <v>140</v>
      </c>
      <c r="S582" s="103" t="n">
        <v>330</v>
      </c>
      <c r="T582" s="103" t="n">
        <v>180</v>
      </c>
      <c r="U582" s="103" t="s">
        <v>1263</v>
      </c>
      <c r="V582" s="103" t="n">
        <v>2025</v>
      </c>
    </row>
    <row r="583" customFormat="false" ht="14.25" hidden="false" customHeight="false" outlineLevel="0" collapsed="false">
      <c r="A583" s="103" t="s">
        <v>1301</v>
      </c>
      <c r="B583" s="103" t="s">
        <v>571</v>
      </c>
      <c r="C583" s="104" t="n">
        <v>45851</v>
      </c>
      <c r="D583" s="103" t="s">
        <v>105</v>
      </c>
      <c r="E583" s="103" t="n">
        <v>42</v>
      </c>
      <c r="F583" s="103" t="s">
        <v>171</v>
      </c>
      <c r="G583" s="103" t="s">
        <v>84</v>
      </c>
      <c r="H583" s="103" t="n">
        <v>3.3</v>
      </c>
      <c r="I583" s="103" t="n">
        <v>1003</v>
      </c>
      <c r="J583" s="103" t="n">
        <v>20</v>
      </c>
      <c r="K583" s="103" t="n">
        <v>0</v>
      </c>
      <c r="L583" s="103" t="s">
        <v>95</v>
      </c>
      <c r="M583" s="103" t="s">
        <v>65</v>
      </c>
      <c r="N583" s="103" t="s">
        <v>77</v>
      </c>
      <c r="O583" s="103" t="n">
        <v>64</v>
      </c>
      <c r="P583" s="103" t="n">
        <v>0.6</v>
      </c>
      <c r="Q583" s="103" t="n">
        <v>5</v>
      </c>
      <c r="R583" s="103" t="s">
        <v>136</v>
      </c>
      <c r="S583" s="103" t="n">
        <v>1023</v>
      </c>
      <c r="T583" s="103" t="n">
        <v>1023</v>
      </c>
      <c r="U583" s="103" t="s">
        <v>1263</v>
      </c>
      <c r="V583" s="103" t="n">
        <v>2025</v>
      </c>
    </row>
    <row r="584" customFormat="false" ht="14.25" hidden="false" customHeight="false" outlineLevel="0" collapsed="false">
      <c r="A584" s="103" t="s">
        <v>1302</v>
      </c>
      <c r="B584" s="103" t="s">
        <v>572</v>
      </c>
      <c r="C584" s="104" t="n">
        <v>45852</v>
      </c>
      <c r="D584" s="103" t="s">
        <v>102</v>
      </c>
      <c r="E584" s="103" t="n">
        <v>41</v>
      </c>
      <c r="F584" s="103" t="s">
        <v>170</v>
      </c>
      <c r="G584" s="103" t="s">
        <v>84</v>
      </c>
      <c r="H584" s="103" t="n">
        <v>4.2</v>
      </c>
      <c r="I584" s="103" t="n">
        <v>304</v>
      </c>
      <c r="J584" s="103" t="n">
        <v>20</v>
      </c>
      <c r="K584" s="103" t="n">
        <v>30</v>
      </c>
      <c r="L584" s="103" t="s">
        <v>96</v>
      </c>
      <c r="M584" s="103" t="s">
        <v>67</v>
      </c>
      <c r="N584" s="103" t="s">
        <v>77</v>
      </c>
      <c r="O584" s="103" t="n">
        <v>39</v>
      </c>
      <c r="P584" s="103" t="n">
        <v>13.2</v>
      </c>
      <c r="Q584" s="103" t="n">
        <v>5</v>
      </c>
      <c r="R584" s="103" t="s">
        <v>132</v>
      </c>
      <c r="S584" s="103" t="n">
        <v>324</v>
      </c>
      <c r="T584" s="103" t="n">
        <v>294</v>
      </c>
      <c r="U584" s="103" t="s">
        <v>1263</v>
      </c>
      <c r="V584" s="103" t="n">
        <v>2025</v>
      </c>
    </row>
    <row r="585" customFormat="false" ht="14.25" hidden="false" customHeight="false" outlineLevel="0" collapsed="false">
      <c r="A585" s="103" t="s">
        <v>1303</v>
      </c>
      <c r="B585" s="103" t="s">
        <v>573</v>
      </c>
      <c r="C585" s="104" t="n">
        <v>45852</v>
      </c>
      <c r="D585" s="103" t="s">
        <v>100</v>
      </c>
      <c r="E585" s="103" t="n">
        <v>29</v>
      </c>
      <c r="F585" s="103" t="s">
        <v>170</v>
      </c>
      <c r="G585" s="103" t="s">
        <v>81</v>
      </c>
      <c r="H585" s="103" t="n">
        <v>4.9</v>
      </c>
      <c r="I585" s="103" t="n">
        <v>461</v>
      </c>
      <c r="J585" s="103" t="n">
        <v>20</v>
      </c>
      <c r="K585" s="103" t="n">
        <v>30</v>
      </c>
      <c r="L585" s="103" t="s">
        <v>96</v>
      </c>
      <c r="M585" s="103" t="s">
        <v>66</v>
      </c>
      <c r="N585" s="103" t="s">
        <v>77</v>
      </c>
      <c r="O585" s="103" t="n">
        <v>67</v>
      </c>
      <c r="P585" s="103" t="n">
        <v>5</v>
      </c>
      <c r="Q585" s="103" t="n">
        <v>4</v>
      </c>
      <c r="R585" s="103" t="s">
        <v>136</v>
      </c>
      <c r="S585" s="103" t="n">
        <v>481</v>
      </c>
      <c r="T585" s="103" t="n">
        <v>451</v>
      </c>
      <c r="U585" s="103" t="s">
        <v>1263</v>
      </c>
      <c r="V585" s="103" t="n">
        <v>2025</v>
      </c>
    </row>
    <row r="586" customFormat="false" ht="14.25" hidden="false" customHeight="false" outlineLevel="0" collapsed="false">
      <c r="A586" s="103" t="s">
        <v>1304</v>
      </c>
      <c r="B586" s="103" t="s">
        <v>574</v>
      </c>
      <c r="C586" s="104" t="n">
        <v>45852</v>
      </c>
      <c r="D586" s="103" t="s">
        <v>102</v>
      </c>
      <c r="E586" s="103" t="n">
        <v>35</v>
      </c>
      <c r="F586" s="103" t="s">
        <v>170</v>
      </c>
      <c r="G586" s="103" t="s">
        <v>83</v>
      </c>
      <c r="H586" s="103" t="n">
        <v>4.3</v>
      </c>
      <c r="I586" s="103" t="n">
        <v>1797</v>
      </c>
      <c r="J586" s="103" t="n">
        <v>20</v>
      </c>
      <c r="K586" s="103" t="n">
        <v>0</v>
      </c>
      <c r="L586" s="103" t="s">
        <v>95</v>
      </c>
      <c r="M586" s="103" t="s">
        <v>65</v>
      </c>
      <c r="N586" s="103" t="s">
        <v>77</v>
      </c>
      <c r="O586" s="103" t="n">
        <v>35</v>
      </c>
      <c r="P586" s="103" t="n">
        <v>14.1</v>
      </c>
      <c r="Q586" s="103" t="n">
        <v>4</v>
      </c>
      <c r="R586" s="103" t="s">
        <v>142</v>
      </c>
      <c r="S586" s="103" t="n">
        <v>1817</v>
      </c>
      <c r="T586" s="103" t="n">
        <v>1817</v>
      </c>
      <c r="U586" s="103" t="s">
        <v>1263</v>
      </c>
      <c r="V586" s="103" t="n">
        <v>2025</v>
      </c>
    </row>
    <row r="587" customFormat="false" ht="14.25" hidden="false" customHeight="false" outlineLevel="0" collapsed="false">
      <c r="A587" s="103" t="s">
        <v>1305</v>
      </c>
      <c r="B587" s="103" t="s">
        <v>575</v>
      </c>
      <c r="C587" s="104" t="n">
        <v>45853</v>
      </c>
      <c r="D587" s="103" t="s">
        <v>106</v>
      </c>
      <c r="E587" s="103" t="n">
        <v>32</v>
      </c>
      <c r="F587" s="103" t="s">
        <v>170</v>
      </c>
      <c r="G587" s="103" t="s">
        <v>83</v>
      </c>
      <c r="H587" s="103" t="n">
        <v>3.7</v>
      </c>
      <c r="I587" s="103" t="n">
        <v>1029</v>
      </c>
      <c r="J587" s="103" t="n">
        <v>40</v>
      </c>
      <c r="K587" s="103" t="n">
        <v>20</v>
      </c>
      <c r="L587" s="103" t="s">
        <v>93</v>
      </c>
      <c r="M587" s="103" t="s">
        <v>66</v>
      </c>
      <c r="N587" s="103" t="s">
        <v>78</v>
      </c>
      <c r="O587" s="103" t="n">
        <v>69</v>
      </c>
      <c r="P587" s="103" t="n">
        <v>5.1</v>
      </c>
      <c r="Q587" s="103" t="n">
        <v>3</v>
      </c>
      <c r="R587" s="103" t="s">
        <v>139</v>
      </c>
      <c r="S587" s="103" t="n">
        <v>1069</v>
      </c>
      <c r="T587" s="103" t="n">
        <v>1049</v>
      </c>
      <c r="U587" s="103" t="s">
        <v>1263</v>
      </c>
      <c r="V587" s="103" t="n">
        <v>2025</v>
      </c>
    </row>
    <row r="588" customFormat="false" ht="14.25" hidden="false" customHeight="false" outlineLevel="0" collapsed="false">
      <c r="A588" s="103" t="s">
        <v>1306</v>
      </c>
      <c r="B588" s="103" t="s">
        <v>576</v>
      </c>
      <c r="C588" s="104" t="n">
        <v>45853</v>
      </c>
      <c r="D588" s="103" t="s">
        <v>110</v>
      </c>
      <c r="E588" s="103" t="n">
        <v>33</v>
      </c>
      <c r="F588" s="103" t="s">
        <v>171</v>
      </c>
      <c r="G588" s="103" t="s">
        <v>88</v>
      </c>
      <c r="H588" s="103" t="n">
        <v>4.1</v>
      </c>
      <c r="I588" s="103" t="n">
        <v>597</v>
      </c>
      <c r="J588" s="103" t="n">
        <v>0</v>
      </c>
      <c r="K588" s="103" t="n">
        <v>50</v>
      </c>
      <c r="L588" s="103" t="s">
        <v>95</v>
      </c>
      <c r="M588" s="103" t="s">
        <v>65</v>
      </c>
      <c r="N588" s="103" t="s">
        <v>77</v>
      </c>
      <c r="O588" s="103" t="n">
        <v>52</v>
      </c>
      <c r="P588" s="103" t="n">
        <v>10</v>
      </c>
      <c r="Q588" s="103" t="n">
        <v>1</v>
      </c>
      <c r="R588" s="103" t="s">
        <v>134</v>
      </c>
      <c r="S588" s="103" t="n">
        <v>597</v>
      </c>
      <c r="T588" s="103" t="n">
        <v>547</v>
      </c>
      <c r="U588" s="103" t="s">
        <v>1263</v>
      </c>
      <c r="V588" s="103" t="n">
        <v>2025</v>
      </c>
    </row>
    <row r="589" customFormat="false" ht="14.25" hidden="false" customHeight="false" outlineLevel="0" collapsed="false">
      <c r="A589" s="103" t="s">
        <v>1307</v>
      </c>
      <c r="B589" s="103" t="s">
        <v>577</v>
      </c>
      <c r="C589" s="104" t="n">
        <v>45853</v>
      </c>
      <c r="D589" s="103" t="s">
        <v>100</v>
      </c>
      <c r="E589" s="103" t="n">
        <v>44</v>
      </c>
      <c r="F589" s="103" t="s">
        <v>170</v>
      </c>
      <c r="G589" s="103" t="s">
        <v>83</v>
      </c>
      <c r="H589" s="103" t="n">
        <v>4.3</v>
      </c>
      <c r="I589" s="103" t="n">
        <v>1791</v>
      </c>
      <c r="J589" s="103" t="n">
        <v>20</v>
      </c>
      <c r="K589" s="103" t="n">
        <v>75</v>
      </c>
      <c r="L589" s="103" t="s">
        <v>94</v>
      </c>
      <c r="M589" s="103" t="s">
        <v>65</v>
      </c>
      <c r="N589" s="103" t="s">
        <v>77</v>
      </c>
      <c r="O589" s="103" t="n">
        <v>16</v>
      </c>
      <c r="P589" s="103" t="n">
        <v>1.7</v>
      </c>
      <c r="Q589" s="103" t="n">
        <v>4</v>
      </c>
      <c r="R589" s="103" t="s">
        <v>138</v>
      </c>
      <c r="S589" s="103" t="n">
        <v>1811</v>
      </c>
      <c r="T589" s="103" t="n">
        <v>1736</v>
      </c>
      <c r="U589" s="103" t="s">
        <v>1263</v>
      </c>
      <c r="V589" s="103" t="n">
        <v>2025</v>
      </c>
    </row>
    <row r="590" customFormat="false" ht="14.25" hidden="false" customHeight="false" outlineLevel="0" collapsed="false">
      <c r="A590" s="103" t="s">
        <v>1308</v>
      </c>
      <c r="B590" s="103" t="s">
        <v>578</v>
      </c>
      <c r="C590" s="104" t="n">
        <v>45854</v>
      </c>
      <c r="D590" s="103" t="s">
        <v>108</v>
      </c>
      <c r="E590" s="103" t="n">
        <v>25</v>
      </c>
      <c r="F590" s="103" t="s">
        <v>171</v>
      </c>
      <c r="G590" s="103" t="s">
        <v>90</v>
      </c>
      <c r="H590" s="103" t="n">
        <v>4</v>
      </c>
      <c r="I590" s="103" t="n">
        <v>1744</v>
      </c>
      <c r="J590" s="103" t="n">
        <v>40</v>
      </c>
      <c r="K590" s="103" t="n">
        <v>200</v>
      </c>
      <c r="L590" s="103" t="s">
        <v>95</v>
      </c>
      <c r="M590" s="103" t="s">
        <v>66</v>
      </c>
      <c r="N590" s="103" t="s">
        <v>77</v>
      </c>
      <c r="O590" s="103" t="n">
        <v>41</v>
      </c>
      <c r="P590" s="103" t="n">
        <v>4</v>
      </c>
      <c r="Q590" s="103" t="n">
        <v>5</v>
      </c>
      <c r="R590" s="103" t="s">
        <v>142</v>
      </c>
      <c r="S590" s="103" t="n">
        <v>1784</v>
      </c>
      <c r="T590" s="103" t="n">
        <v>1584</v>
      </c>
      <c r="U590" s="103" t="s">
        <v>1263</v>
      </c>
      <c r="V590" s="103" t="n">
        <v>2025</v>
      </c>
    </row>
    <row r="591" customFormat="false" ht="14.25" hidden="false" customHeight="false" outlineLevel="0" collapsed="false">
      <c r="A591" s="103" t="s">
        <v>1309</v>
      </c>
      <c r="B591" s="103" t="s">
        <v>579</v>
      </c>
      <c r="C591" s="104" t="n">
        <v>45854</v>
      </c>
      <c r="D591" s="103" t="s">
        <v>105</v>
      </c>
      <c r="E591" s="103" t="n">
        <v>42</v>
      </c>
      <c r="F591" s="103" t="s">
        <v>171</v>
      </c>
      <c r="G591" s="103" t="s">
        <v>84</v>
      </c>
      <c r="H591" s="103" t="n">
        <v>2.5</v>
      </c>
      <c r="I591" s="103" t="n">
        <v>860</v>
      </c>
      <c r="J591" s="103" t="n">
        <v>20</v>
      </c>
      <c r="K591" s="103" t="n">
        <v>200</v>
      </c>
      <c r="L591" s="103" t="s">
        <v>96</v>
      </c>
      <c r="M591" s="103" t="s">
        <v>65</v>
      </c>
      <c r="N591" s="103" t="s">
        <v>77</v>
      </c>
      <c r="O591" s="103" t="n">
        <v>63</v>
      </c>
      <c r="P591" s="103" t="n">
        <v>11.7</v>
      </c>
      <c r="Q591" s="103" t="n">
        <v>5</v>
      </c>
      <c r="R591" s="103" t="s">
        <v>141</v>
      </c>
      <c r="S591" s="103" t="n">
        <v>880</v>
      </c>
      <c r="T591" s="103" t="n">
        <v>680</v>
      </c>
      <c r="U591" s="103" t="s">
        <v>1263</v>
      </c>
      <c r="V591" s="103" t="n">
        <v>2025</v>
      </c>
    </row>
    <row r="592" customFormat="false" ht="14.25" hidden="false" customHeight="false" outlineLevel="0" collapsed="false">
      <c r="A592" s="103" t="s">
        <v>1310</v>
      </c>
      <c r="B592" s="103" t="s">
        <v>580</v>
      </c>
      <c r="C592" s="104" t="n">
        <v>45854</v>
      </c>
      <c r="D592" s="103" t="s">
        <v>108</v>
      </c>
      <c r="E592" s="103" t="n">
        <v>34</v>
      </c>
      <c r="F592" s="103" t="s">
        <v>170</v>
      </c>
      <c r="G592" s="103" t="s">
        <v>82</v>
      </c>
      <c r="H592" s="103" t="n">
        <v>3</v>
      </c>
      <c r="I592" s="103" t="n">
        <v>557</v>
      </c>
      <c r="J592" s="103" t="n">
        <v>30</v>
      </c>
      <c r="K592" s="103" t="n">
        <v>200</v>
      </c>
      <c r="L592" s="103" t="s">
        <v>95</v>
      </c>
      <c r="M592" s="103" t="s">
        <v>67</v>
      </c>
      <c r="N592" s="103" t="s">
        <v>77</v>
      </c>
      <c r="O592" s="103" t="n">
        <v>46</v>
      </c>
      <c r="P592" s="103" t="n">
        <v>8.2</v>
      </c>
      <c r="Q592" s="103" t="n">
        <v>4</v>
      </c>
      <c r="R592" s="103" t="s">
        <v>140</v>
      </c>
      <c r="S592" s="103" t="n">
        <v>587</v>
      </c>
      <c r="T592" s="103" t="n">
        <v>387</v>
      </c>
      <c r="U592" s="103" t="s">
        <v>1263</v>
      </c>
      <c r="V592" s="103" t="n">
        <v>2025</v>
      </c>
    </row>
    <row r="593" customFormat="false" ht="14.25" hidden="false" customHeight="false" outlineLevel="0" collapsed="false">
      <c r="A593" s="103" t="s">
        <v>1311</v>
      </c>
      <c r="B593" s="103" t="s">
        <v>581</v>
      </c>
      <c r="C593" s="104" t="n">
        <v>45855</v>
      </c>
      <c r="D593" s="103" t="s">
        <v>103</v>
      </c>
      <c r="E593" s="103" t="n">
        <v>46</v>
      </c>
      <c r="F593" s="103" t="s">
        <v>170</v>
      </c>
      <c r="G593" s="103" t="s">
        <v>84</v>
      </c>
      <c r="H593" s="103" t="n">
        <v>4.5</v>
      </c>
      <c r="I593" s="103" t="n">
        <v>1529</v>
      </c>
      <c r="J593" s="103" t="n">
        <v>20</v>
      </c>
      <c r="K593" s="103" t="n">
        <v>0</v>
      </c>
      <c r="L593" s="103" t="s">
        <v>96</v>
      </c>
      <c r="M593" s="103" t="s">
        <v>65</v>
      </c>
      <c r="N593" s="103" t="s">
        <v>77</v>
      </c>
      <c r="O593" s="103" t="n">
        <v>35</v>
      </c>
      <c r="P593" s="103" t="n">
        <v>14</v>
      </c>
      <c r="Q593" s="103" t="n">
        <v>5</v>
      </c>
      <c r="R593" s="103" t="s">
        <v>135</v>
      </c>
      <c r="S593" s="103" t="n">
        <v>1549</v>
      </c>
      <c r="T593" s="103" t="n">
        <v>1549</v>
      </c>
      <c r="U593" s="103" t="s">
        <v>1263</v>
      </c>
      <c r="V593" s="103" t="n">
        <v>2025</v>
      </c>
    </row>
    <row r="594" customFormat="false" ht="14.25" hidden="false" customHeight="false" outlineLevel="0" collapsed="false">
      <c r="A594" s="103" t="s">
        <v>1312</v>
      </c>
      <c r="B594" s="103" t="s">
        <v>582</v>
      </c>
      <c r="C594" s="104" t="n">
        <v>45855</v>
      </c>
      <c r="D594" s="103" t="s">
        <v>101</v>
      </c>
      <c r="E594" s="103" t="n">
        <v>25</v>
      </c>
      <c r="F594" s="103" t="s">
        <v>170</v>
      </c>
      <c r="G594" s="103" t="s">
        <v>90</v>
      </c>
      <c r="H594" s="103" t="n">
        <v>3.2</v>
      </c>
      <c r="I594" s="103" t="n">
        <v>1322</v>
      </c>
      <c r="J594" s="103" t="n">
        <v>60</v>
      </c>
      <c r="K594" s="103" t="n">
        <v>200</v>
      </c>
      <c r="L594" s="103" t="s">
        <v>93</v>
      </c>
      <c r="M594" s="103" t="s">
        <v>67</v>
      </c>
      <c r="N594" s="103" t="s">
        <v>77</v>
      </c>
      <c r="O594" s="103" t="n">
        <v>18</v>
      </c>
      <c r="P594" s="103" t="n">
        <v>6.7</v>
      </c>
      <c r="Q594" s="103" t="n">
        <v>5</v>
      </c>
      <c r="R594" s="103" t="s">
        <v>131</v>
      </c>
      <c r="S594" s="103" t="n">
        <v>1382</v>
      </c>
      <c r="T594" s="103" t="n">
        <v>1182</v>
      </c>
      <c r="U594" s="103" t="s">
        <v>1263</v>
      </c>
      <c r="V594" s="103" t="n">
        <v>2025</v>
      </c>
    </row>
    <row r="595" customFormat="false" ht="14.25" hidden="false" customHeight="false" outlineLevel="0" collapsed="false">
      <c r="A595" s="103" t="s">
        <v>1313</v>
      </c>
      <c r="B595" s="103" t="s">
        <v>583</v>
      </c>
      <c r="C595" s="104" t="n">
        <v>45855</v>
      </c>
      <c r="D595" s="103" t="s">
        <v>100</v>
      </c>
      <c r="E595" s="103" t="n">
        <v>32</v>
      </c>
      <c r="F595" s="103" t="s">
        <v>170</v>
      </c>
      <c r="G595" s="103" t="s">
        <v>90</v>
      </c>
      <c r="H595" s="103" t="n">
        <v>4.3</v>
      </c>
      <c r="I595" s="103" t="n">
        <v>1274</v>
      </c>
      <c r="J595" s="103" t="n">
        <v>60</v>
      </c>
      <c r="K595" s="103" t="n">
        <v>150</v>
      </c>
      <c r="L595" s="103" t="s">
        <v>93</v>
      </c>
      <c r="M595" s="103" t="s">
        <v>66</v>
      </c>
      <c r="N595" s="103" t="s">
        <v>78</v>
      </c>
      <c r="O595" s="103" t="n">
        <v>58</v>
      </c>
      <c r="P595" s="103" t="n">
        <v>13.1</v>
      </c>
      <c r="Q595" s="103" t="n">
        <v>5</v>
      </c>
      <c r="R595" s="103" t="s">
        <v>133</v>
      </c>
      <c r="S595" s="103" t="n">
        <v>1334</v>
      </c>
      <c r="T595" s="103" t="n">
        <v>1184</v>
      </c>
      <c r="U595" s="103" t="s">
        <v>1263</v>
      </c>
      <c r="V595" s="103" t="n">
        <v>2025</v>
      </c>
    </row>
    <row r="596" customFormat="false" ht="14.25" hidden="false" customHeight="false" outlineLevel="0" collapsed="false">
      <c r="A596" s="103" t="s">
        <v>1314</v>
      </c>
      <c r="B596" s="103" t="s">
        <v>584</v>
      </c>
      <c r="C596" s="104" t="n">
        <v>45856</v>
      </c>
      <c r="D596" s="103" t="s">
        <v>108</v>
      </c>
      <c r="E596" s="103" t="n">
        <v>44</v>
      </c>
      <c r="F596" s="103" t="s">
        <v>170</v>
      </c>
      <c r="G596" s="103" t="s">
        <v>85</v>
      </c>
      <c r="H596" s="103" t="n">
        <v>3.4</v>
      </c>
      <c r="I596" s="103" t="n">
        <v>1620</v>
      </c>
      <c r="J596" s="103" t="n">
        <v>20</v>
      </c>
      <c r="K596" s="103" t="n">
        <v>10</v>
      </c>
      <c r="L596" s="103" t="s">
        <v>93</v>
      </c>
      <c r="M596" s="103" t="s">
        <v>67</v>
      </c>
      <c r="N596" s="103" t="s">
        <v>77</v>
      </c>
      <c r="O596" s="103" t="n">
        <v>33</v>
      </c>
      <c r="P596" s="103" t="n">
        <v>7</v>
      </c>
      <c r="Q596" s="103" t="n">
        <v>3</v>
      </c>
      <c r="R596" s="103" t="s">
        <v>134</v>
      </c>
      <c r="S596" s="103" t="n">
        <v>1640</v>
      </c>
      <c r="T596" s="103" t="n">
        <v>1630</v>
      </c>
      <c r="U596" s="103" t="s">
        <v>1263</v>
      </c>
      <c r="V596" s="103" t="n">
        <v>2025</v>
      </c>
    </row>
    <row r="597" customFormat="false" ht="14.25" hidden="false" customHeight="false" outlineLevel="0" collapsed="false">
      <c r="A597" s="103" t="s">
        <v>1315</v>
      </c>
      <c r="B597" s="103" t="s">
        <v>585</v>
      </c>
      <c r="C597" s="104" t="n">
        <v>45856</v>
      </c>
      <c r="D597" s="103" t="s">
        <v>108</v>
      </c>
      <c r="E597" s="103" t="n">
        <v>24</v>
      </c>
      <c r="F597" s="103" t="s">
        <v>170</v>
      </c>
      <c r="G597" s="103" t="s">
        <v>84</v>
      </c>
      <c r="H597" s="103" t="n">
        <v>3.8</v>
      </c>
      <c r="I597" s="103" t="n">
        <v>1278</v>
      </c>
      <c r="J597" s="103" t="n">
        <v>50</v>
      </c>
      <c r="K597" s="103" t="n">
        <v>0</v>
      </c>
      <c r="L597" s="103" t="s">
        <v>96</v>
      </c>
      <c r="M597" s="103" t="s">
        <v>65</v>
      </c>
      <c r="N597" s="103" t="s">
        <v>77</v>
      </c>
      <c r="O597" s="103" t="n">
        <v>16</v>
      </c>
      <c r="P597" s="103" t="n">
        <v>14.7</v>
      </c>
      <c r="Q597" s="103" t="n">
        <v>5</v>
      </c>
      <c r="R597" s="103" t="s">
        <v>141</v>
      </c>
      <c r="S597" s="103" t="n">
        <v>1328</v>
      </c>
      <c r="T597" s="103" t="n">
        <v>1328</v>
      </c>
      <c r="U597" s="103" t="s">
        <v>1263</v>
      </c>
      <c r="V597" s="103" t="n">
        <v>2025</v>
      </c>
    </row>
    <row r="598" customFormat="false" ht="14.25" hidden="false" customHeight="false" outlineLevel="0" collapsed="false">
      <c r="A598" s="103" t="s">
        <v>1316</v>
      </c>
      <c r="B598" s="103" t="s">
        <v>586</v>
      </c>
      <c r="C598" s="104" t="n">
        <v>45856</v>
      </c>
      <c r="D598" s="103" t="s">
        <v>109</v>
      </c>
      <c r="E598" s="103" t="n">
        <v>20</v>
      </c>
      <c r="F598" s="103" t="s">
        <v>170</v>
      </c>
      <c r="G598" s="103" t="s">
        <v>86</v>
      </c>
      <c r="H598" s="103" t="n">
        <v>2.7</v>
      </c>
      <c r="I598" s="103" t="n">
        <v>597</v>
      </c>
      <c r="J598" s="103" t="n">
        <v>30</v>
      </c>
      <c r="K598" s="103" t="n">
        <v>0</v>
      </c>
      <c r="L598" s="103" t="s">
        <v>96</v>
      </c>
      <c r="M598" s="103" t="s">
        <v>65</v>
      </c>
      <c r="N598" s="103" t="s">
        <v>77</v>
      </c>
      <c r="O598" s="103" t="n">
        <v>40</v>
      </c>
      <c r="P598" s="103" t="n">
        <v>14.4</v>
      </c>
      <c r="Q598" s="103" t="n">
        <v>5</v>
      </c>
      <c r="R598" s="103" t="s">
        <v>135</v>
      </c>
      <c r="S598" s="103" t="n">
        <v>627</v>
      </c>
      <c r="T598" s="103" t="n">
        <v>627</v>
      </c>
      <c r="U598" s="103" t="s">
        <v>1263</v>
      </c>
      <c r="V598" s="103" t="n">
        <v>2025</v>
      </c>
    </row>
    <row r="599" customFormat="false" ht="14.25" hidden="false" customHeight="false" outlineLevel="0" collapsed="false">
      <c r="A599" s="103" t="s">
        <v>1317</v>
      </c>
      <c r="B599" s="103" t="s">
        <v>587</v>
      </c>
      <c r="C599" s="104" t="n">
        <v>45857</v>
      </c>
      <c r="D599" s="103" t="s">
        <v>102</v>
      </c>
      <c r="E599" s="103" t="n">
        <v>46</v>
      </c>
      <c r="F599" s="103" t="s">
        <v>171</v>
      </c>
      <c r="G599" s="103" t="s">
        <v>90</v>
      </c>
      <c r="H599" s="103" t="n">
        <v>3</v>
      </c>
      <c r="I599" s="103" t="n">
        <v>1286</v>
      </c>
      <c r="J599" s="103" t="n">
        <v>0</v>
      </c>
      <c r="K599" s="103" t="n">
        <v>75</v>
      </c>
      <c r="L599" s="103" t="s">
        <v>95</v>
      </c>
      <c r="M599" s="103" t="s">
        <v>65</v>
      </c>
      <c r="N599" s="103" t="s">
        <v>77</v>
      </c>
      <c r="O599" s="103" t="n">
        <v>48</v>
      </c>
      <c r="P599" s="103" t="n">
        <v>5.3</v>
      </c>
      <c r="Q599" s="103" t="n">
        <v>3</v>
      </c>
      <c r="R599" s="103" t="s">
        <v>142</v>
      </c>
      <c r="S599" s="103" t="n">
        <v>1286</v>
      </c>
      <c r="T599" s="103" t="n">
        <v>1211</v>
      </c>
      <c r="U599" s="103" t="s">
        <v>1263</v>
      </c>
      <c r="V599" s="103" t="n">
        <v>2025</v>
      </c>
    </row>
    <row r="600" customFormat="false" ht="14.25" hidden="false" customHeight="false" outlineLevel="0" collapsed="false">
      <c r="A600" s="103" t="s">
        <v>1318</v>
      </c>
      <c r="B600" s="103" t="s">
        <v>588</v>
      </c>
      <c r="C600" s="104" t="n">
        <v>45857</v>
      </c>
      <c r="D600" s="103" t="s">
        <v>109</v>
      </c>
      <c r="E600" s="103" t="n">
        <v>41</v>
      </c>
      <c r="F600" s="103" t="s">
        <v>171</v>
      </c>
      <c r="G600" s="103" t="s">
        <v>82</v>
      </c>
      <c r="H600" s="103" t="n">
        <v>4.9</v>
      </c>
      <c r="I600" s="103" t="n">
        <v>634</v>
      </c>
      <c r="J600" s="103" t="n">
        <v>20</v>
      </c>
      <c r="K600" s="103" t="n">
        <v>200</v>
      </c>
      <c r="L600" s="103" t="s">
        <v>95</v>
      </c>
      <c r="M600" s="103" t="s">
        <v>65</v>
      </c>
      <c r="N600" s="103" t="s">
        <v>78</v>
      </c>
      <c r="O600" s="103" t="n">
        <v>28</v>
      </c>
      <c r="P600" s="103" t="n">
        <v>13.3</v>
      </c>
      <c r="Q600" s="103" t="n">
        <v>3</v>
      </c>
      <c r="R600" s="103" t="s">
        <v>139</v>
      </c>
      <c r="S600" s="103" t="n">
        <v>654</v>
      </c>
      <c r="T600" s="103" t="n">
        <v>454</v>
      </c>
      <c r="U600" s="103" t="s">
        <v>1263</v>
      </c>
      <c r="V600" s="103" t="n">
        <v>2025</v>
      </c>
    </row>
    <row r="601" customFormat="false" ht="14.25" hidden="false" customHeight="false" outlineLevel="0" collapsed="false">
      <c r="A601" s="103" t="s">
        <v>1319</v>
      </c>
      <c r="B601" s="103" t="s">
        <v>589</v>
      </c>
      <c r="C601" s="104" t="n">
        <v>45857</v>
      </c>
      <c r="D601" s="103" t="s">
        <v>100</v>
      </c>
      <c r="E601" s="103" t="n">
        <v>20</v>
      </c>
      <c r="F601" s="103" t="s">
        <v>171</v>
      </c>
      <c r="G601" s="103" t="s">
        <v>81</v>
      </c>
      <c r="H601" s="103" t="n">
        <v>4.7</v>
      </c>
      <c r="I601" s="103" t="n">
        <v>1396</v>
      </c>
      <c r="J601" s="103" t="n">
        <v>0</v>
      </c>
      <c r="K601" s="103" t="n">
        <v>100</v>
      </c>
      <c r="L601" s="103" t="s">
        <v>95</v>
      </c>
      <c r="M601" s="103" t="s">
        <v>65</v>
      </c>
      <c r="N601" s="103" t="s">
        <v>77</v>
      </c>
      <c r="O601" s="103" t="n">
        <v>29</v>
      </c>
      <c r="P601" s="103" t="n">
        <v>12.8</v>
      </c>
      <c r="Q601" s="103" t="n">
        <v>5</v>
      </c>
      <c r="R601" s="103" t="s">
        <v>133</v>
      </c>
      <c r="S601" s="103" t="n">
        <v>1396</v>
      </c>
      <c r="T601" s="103" t="n">
        <v>1296</v>
      </c>
      <c r="U601" s="103" t="s">
        <v>1263</v>
      </c>
      <c r="V601" s="103" t="n">
        <v>2025</v>
      </c>
    </row>
    <row r="602" customFormat="false" ht="14.25" hidden="false" customHeight="false" outlineLevel="0" collapsed="false">
      <c r="A602" s="103" t="s">
        <v>1320</v>
      </c>
      <c r="B602" s="103" t="s">
        <v>590</v>
      </c>
      <c r="C602" s="104" t="n">
        <v>45858</v>
      </c>
      <c r="D602" s="103" t="s">
        <v>100</v>
      </c>
      <c r="E602" s="103" t="n">
        <v>37</v>
      </c>
      <c r="F602" s="103" t="s">
        <v>171</v>
      </c>
      <c r="G602" s="103" t="s">
        <v>88</v>
      </c>
      <c r="H602" s="103" t="n">
        <v>4.1</v>
      </c>
      <c r="I602" s="103" t="n">
        <v>1161</v>
      </c>
      <c r="J602" s="103" t="n">
        <v>30</v>
      </c>
      <c r="K602" s="103" t="n">
        <v>50</v>
      </c>
      <c r="L602" s="103" t="s">
        <v>97</v>
      </c>
      <c r="M602" s="103" t="s">
        <v>65</v>
      </c>
      <c r="N602" s="103" t="s">
        <v>78</v>
      </c>
      <c r="O602" s="103" t="n">
        <v>34</v>
      </c>
      <c r="P602" s="103" t="n">
        <v>3.6</v>
      </c>
      <c r="Q602" s="103" t="n">
        <v>1</v>
      </c>
      <c r="R602" s="103" t="s">
        <v>142</v>
      </c>
      <c r="S602" s="103" t="n">
        <v>1191</v>
      </c>
      <c r="T602" s="103" t="n">
        <v>1141</v>
      </c>
      <c r="U602" s="103" t="s">
        <v>1263</v>
      </c>
      <c r="V602" s="103" t="n">
        <v>2025</v>
      </c>
    </row>
    <row r="603" customFormat="false" ht="14.25" hidden="false" customHeight="false" outlineLevel="0" collapsed="false">
      <c r="A603" s="103" t="s">
        <v>1321</v>
      </c>
      <c r="B603" s="103" t="s">
        <v>591</v>
      </c>
      <c r="C603" s="104" t="n">
        <v>45858</v>
      </c>
      <c r="D603" s="103" t="s">
        <v>106</v>
      </c>
      <c r="E603" s="103" t="n">
        <v>32</v>
      </c>
      <c r="F603" s="103" t="s">
        <v>171</v>
      </c>
      <c r="G603" s="103" t="s">
        <v>85</v>
      </c>
      <c r="H603" s="103" t="n">
        <v>3.6</v>
      </c>
      <c r="I603" s="103" t="n">
        <v>250</v>
      </c>
      <c r="J603" s="103" t="n">
        <v>20</v>
      </c>
      <c r="K603" s="103" t="n">
        <v>10</v>
      </c>
      <c r="L603" s="103" t="s">
        <v>96</v>
      </c>
      <c r="M603" s="103" t="s">
        <v>66</v>
      </c>
      <c r="N603" s="103" t="s">
        <v>78</v>
      </c>
      <c r="O603" s="103" t="n">
        <v>48</v>
      </c>
      <c r="P603" s="103" t="n">
        <v>9.6</v>
      </c>
      <c r="Q603" s="103" t="n">
        <v>4</v>
      </c>
      <c r="R603" s="103" t="s">
        <v>131</v>
      </c>
      <c r="S603" s="103" t="n">
        <v>270</v>
      </c>
      <c r="T603" s="103" t="n">
        <v>260</v>
      </c>
      <c r="U603" s="103" t="s">
        <v>1263</v>
      </c>
      <c r="V603" s="103" t="n">
        <v>2025</v>
      </c>
    </row>
    <row r="604" customFormat="false" ht="14.25" hidden="false" customHeight="false" outlineLevel="0" collapsed="false">
      <c r="A604" s="103" t="s">
        <v>1322</v>
      </c>
      <c r="B604" s="103" t="s">
        <v>592</v>
      </c>
      <c r="C604" s="104" t="n">
        <v>45858</v>
      </c>
      <c r="D604" s="103" t="s">
        <v>109</v>
      </c>
      <c r="E604" s="103" t="n">
        <v>42</v>
      </c>
      <c r="F604" s="103" t="s">
        <v>171</v>
      </c>
      <c r="G604" s="103" t="s">
        <v>81</v>
      </c>
      <c r="H604" s="103" t="n">
        <v>4.2</v>
      </c>
      <c r="I604" s="103" t="n">
        <v>982</v>
      </c>
      <c r="J604" s="103" t="n">
        <v>50</v>
      </c>
      <c r="K604" s="103" t="n">
        <v>0</v>
      </c>
      <c r="L604" s="103" t="s">
        <v>95</v>
      </c>
      <c r="M604" s="103" t="s">
        <v>67</v>
      </c>
      <c r="N604" s="103" t="s">
        <v>77</v>
      </c>
      <c r="O604" s="103" t="n">
        <v>50</v>
      </c>
      <c r="P604" s="103" t="n">
        <v>1.6</v>
      </c>
      <c r="Q604" s="103" t="n">
        <v>4</v>
      </c>
      <c r="R604" s="103" t="s">
        <v>135</v>
      </c>
      <c r="S604" s="103" t="n">
        <v>1032</v>
      </c>
      <c r="T604" s="103" t="n">
        <v>1032</v>
      </c>
      <c r="U604" s="103" t="s">
        <v>1263</v>
      </c>
      <c r="V604" s="103" t="n">
        <v>2025</v>
      </c>
    </row>
    <row r="605" customFormat="false" ht="14.25" hidden="false" customHeight="false" outlineLevel="0" collapsed="false">
      <c r="A605" s="103" t="s">
        <v>1323</v>
      </c>
      <c r="B605" s="103" t="s">
        <v>593</v>
      </c>
      <c r="C605" s="104" t="n">
        <v>45859</v>
      </c>
      <c r="D605" s="103" t="s">
        <v>107</v>
      </c>
      <c r="E605" s="103" t="n">
        <v>47</v>
      </c>
      <c r="F605" s="103" t="s">
        <v>171</v>
      </c>
      <c r="G605" s="103" t="s">
        <v>85</v>
      </c>
      <c r="H605" s="103" t="n">
        <v>4</v>
      </c>
      <c r="I605" s="103" t="n">
        <v>697</v>
      </c>
      <c r="J605" s="103" t="n">
        <v>40</v>
      </c>
      <c r="K605" s="103" t="n">
        <v>10</v>
      </c>
      <c r="L605" s="103" t="s">
        <v>95</v>
      </c>
      <c r="M605" s="103" t="s">
        <v>67</v>
      </c>
      <c r="N605" s="103" t="s">
        <v>77</v>
      </c>
      <c r="O605" s="103" t="n">
        <v>33</v>
      </c>
      <c r="P605" s="103" t="n">
        <v>12.6</v>
      </c>
      <c r="Q605" s="103" t="n">
        <v>5</v>
      </c>
      <c r="R605" s="103" t="s">
        <v>139</v>
      </c>
      <c r="S605" s="103" t="n">
        <v>737</v>
      </c>
      <c r="T605" s="103" t="n">
        <v>727</v>
      </c>
      <c r="U605" s="103" t="s">
        <v>1263</v>
      </c>
      <c r="V605" s="103" t="n">
        <v>2025</v>
      </c>
    </row>
    <row r="606" customFormat="false" ht="14.25" hidden="false" customHeight="false" outlineLevel="0" collapsed="false">
      <c r="A606" s="103" t="s">
        <v>1324</v>
      </c>
      <c r="B606" s="103" t="s">
        <v>594</v>
      </c>
      <c r="C606" s="104" t="n">
        <v>45859</v>
      </c>
      <c r="D606" s="103" t="s">
        <v>111</v>
      </c>
      <c r="E606" s="103" t="n">
        <v>31</v>
      </c>
      <c r="F606" s="103" t="s">
        <v>172</v>
      </c>
      <c r="G606" s="103" t="s">
        <v>82</v>
      </c>
      <c r="H606" s="103" t="n">
        <v>3.9</v>
      </c>
      <c r="I606" s="103" t="n">
        <v>672</v>
      </c>
      <c r="J606" s="103" t="n">
        <v>50</v>
      </c>
      <c r="K606" s="103" t="n">
        <v>0</v>
      </c>
      <c r="L606" s="103" t="s">
        <v>93</v>
      </c>
      <c r="M606" s="103" t="s">
        <v>65</v>
      </c>
      <c r="N606" s="103" t="s">
        <v>78</v>
      </c>
      <c r="O606" s="103" t="n">
        <v>23</v>
      </c>
      <c r="P606" s="103" t="n">
        <v>3</v>
      </c>
      <c r="Q606" s="103" t="n">
        <v>5</v>
      </c>
      <c r="R606" s="103" t="s">
        <v>131</v>
      </c>
      <c r="S606" s="103" t="n">
        <v>722</v>
      </c>
      <c r="T606" s="103" t="n">
        <v>722</v>
      </c>
      <c r="U606" s="103" t="s">
        <v>1263</v>
      </c>
      <c r="V606" s="103" t="n">
        <v>2025</v>
      </c>
    </row>
    <row r="607" customFormat="false" ht="14.25" hidden="false" customHeight="false" outlineLevel="0" collapsed="false">
      <c r="A607" s="103" t="s">
        <v>1325</v>
      </c>
      <c r="B607" s="103" t="s">
        <v>595</v>
      </c>
      <c r="C607" s="104" t="n">
        <v>45859</v>
      </c>
      <c r="D607" s="103" t="s">
        <v>102</v>
      </c>
      <c r="E607" s="103" t="n">
        <v>24</v>
      </c>
      <c r="F607" s="103" t="s">
        <v>171</v>
      </c>
      <c r="G607" s="103" t="s">
        <v>89</v>
      </c>
      <c r="H607" s="103" t="n">
        <v>2.6</v>
      </c>
      <c r="I607" s="103" t="n">
        <v>1132</v>
      </c>
      <c r="J607" s="103" t="n">
        <v>50</v>
      </c>
      <c r="K607" s="103" t="n">
        <v>20</v>
      </c>
      <c r="L607" s="103" t="s">
        <v>95</v>
      </c>
      <c r="M607" s="103" t="s">
        <v>65</v>
      </c>
      <c r="N607" s="103" t="s">
        <v>77</v>
      </c>
      <c r="O607" s="103" t="n">
        <v>21</v>
      </c>
      <c r="P607" s="103" t="n">
        <v>1.5</v>
      </c>
      <c r="Q607" s="103" t="n">
        <v>4</v>
      </c>
      <c r="R607" s="103" t="s">
        <v>131</v>
      </c>
      <c r="S607" s="103" t="n">
        <v>1182</v>
      </c>
      <c r="T607" s="103" t="n">
        <v>1162</v>
      </c>
      <c r="U607" s="103" t="s">
        <v>1263</v>
      </c>
      <c r="V607" s="103" t="n">
        <v>2025</v>
      </c>
    </row>
    <row r="608" customFormat="false" ht="14.25" hidden="false" customHeight="false" outlineLevel="0" collapsed="false">
      <c r="A608" s="103" t="s">
        <v>1326</v>
      </c>
      <c r="B608" s="103" t="s">
        <v>596</v>
      </c>
      <c r="C608" s="104" t="n">
        <v>45860</v>
      </c>
      <c r="D608" s="103" t="s">
        <v>100</v>
      </c>
      <c r="E608" s="103" t="n">
        <v>34</v>
      </c>
      <c r="F608" s="103" t="s">
        <v>170</v>
      </c>
      <c r="G608" s="103" t="s">
        <v>84</v>
      </c>
      <c r="H608" s="103" t="n">
        <v>4.1</v>
      </c>
      <c r="I608" s="103" t="n">
        <v>662</v>
      </c>
      <c r="J608" s="103" t="n">
        <v>40</v>
      </c>
      <c r="K608" s="103" t="n">
        <v>75</v>
      </c>
      <c r="L608" s="103" t="s">
        <v>94</v>
      </c>
      <c r="M608" s="103" t="s">
        <v>67</v>
      </c>
      <c r="N608" s="103" t="s">
        <v>77</v>
      </c>
      <c r="O608" s="103" t="n">
        <v>44</v>
      </c>
      <c r="P608" s="103" t="n">
        <v>6.3</v>
      </c>
      <c r="Q608" s="103" t="n">
        <v>4</v>
      </c>
      <c r="R608" s="103" t="s">
        <v>140</v>
      </c>
      <c r="S608" s="103" t="n">
        <v>702</v>
      </c>
      <c r="T608" s="103" t="n">
        <v>627</v>
      </c>
      <c r="U608" s="103" t="s">
        <v>1263</v>
      </c>
      <c r="V608" s="103" t="n">
        <v>2025</v>
      </c>
    </row>
    <row r="609" customFormat="false" ht="14.25" hidden="false" customHeight="false" outlineLevel="0" collapsed="false">
      <c r="A609" s="103" t="s">
        <v>1327</v>
      </c>
      <c r="B609" s="103" t="s">
        <v>597</v>
      </c>
      <c r="C609" s="104" t="n">
        <v>45860</v>
      </c>
      <c r="D609" s="103" t="s">
        <v>106</v>
      </c>
      <c r="E609" s="103" t="n">
        <v>37</v>
      </c>
      <c r="F609" s="103" t="s">
        <v>171</v>
      </c>
      <c r="G609" s="103" t="s">
        <v>87</v>
      </c>
      <c r="H609" s="103" t="n">
        <v>4.4</v>
      </c>
      <c r="I609" s="103" t="n">
        <v>1425</v>
      </c>
      <c r="J609" s="103" t="n">
        <v>40</v>
      </c>
      <c r="K609" s="103" t="n">
        <v>150</v>
      </c>
      <c r="L609" s="103" t="s">
        <v>93</v>
      </c>
      <c r="M609" s="103" t="s">
        <v>66</v>
      </c>
      <c r="N609" s="103" t="s">
        <v>77</v>
      </c>
      <c r="O609" s="103" t="n">
        <v>27</v>
      </c>
      <c r="P609" s="103" t="n">
        <v>8.9</v>
      </c>
      <c r="Q609" s="103" t="n">
        <v>5</v>
      </c>
      <c r="R609" s="103" t="s">
        <v>133</v>
      </c>
      <c r="S609" s="103" t="n">
        <v>1465</v>
      </c>
      <c r="T609" s="103" t="n">
        <v>1315</v>
      </c>
      <c r="U609" s="103" t="s">
        <v>1263</v>
      </c>
      <c r="V609" s="103" t="n">
        <v>2025</v>
      </c>
    </row>
    <row r="610" customFormat="false" ht="14.25" hidden="false" customHeight="false" outlineLevel="0" collapsed="false">
      <c r="A610" s="103" t="s">
        <v>1328</v>
      </c>
      <c r="B610" s="103" t="s">
        <v>598</v>
      </c>
      <c r="C610" s="104" t="n">
        <v>45860</v>
      </c>
      <c r="D610" s="103" t="s">
        <v>101</v>
      </c>
      <c r="E610" s="103" t="n">
        <v>53</v>
      </c>
      <c r="F610" s="103" t="s">
        <v>170</v>
      </c>
      <c r="G610" s="103" t="s">
        <v>86</v>
      </c>
      <c r="H610" s="103" t="n">
        <v>5</v>
      </c>
      <c r="I610" s="103" t="n">
        <v>239</v>
      </c>
      <c r="J610" s="103" t="n">
        <v>60</v>
      </c>
      <c r="K610" s="103" t="n">
        <v>20</v>
      </c>
      <c r="L610" s="103" t="s">
        <v>96</v>
      </c>
      <c r="M610" s="103" t="s">
        <v>67</v>
      </c>
      <c r="N610" s="103" t="s">
        <v>77</v>
      </c>
      <c r="O610" s="103" t="n">
        <v>41</v>
      </c>
      <c r="P610" s="103" t="n">
        <v>12.9</v>
      </c>
      <c r="Q610" s="103" t="n">
        <v>5</v>
      </c>
      <c r="R610" s="103" t="s">
        <v>135</v>
      </c>
      <c r="S610" s="103" t="n">
        <v>299</v>
      </c>
      <c r="T610" s="103" t="n">
        <v>279</v>
      </c>
      <c r="U610" s="103" t="s">
        <v>1263</v>
      </c>
      <c r="V610" s="103" t="n">
        <v>2025</v>
      </c>
    </row>
    <row r="611" customFormat="false" ht="14.25" hidden="false" customHeight="false" outlineLevel="0" collapsed="false">
      <c r="A611" s="103" t="s">
        <v>1329</v>
      </c>
      <c r="B611" s="103" t="s">
        <v>599</v>
      </c>
      <c r="C611" s="104" t="n">
        <v>45861</v>
      </c>
      <c r="D611" s="103" t="s">
        <v>109</v>
      </c>
      <c r="E611" s="103" t="n">
        <v>26</v>
      </c>
      <c r="F611" s="103" t="s">
        <v>171</v>
      </c>
      <c r="G611" s="103" t="s">
        <v>81</v>
      </c>
      <c r="H611" s="103" t="n">
        <v>2.5</v>
      </c>
      <c r="I611" s="103" t="n">
        <v>1229</v>
      </c>
      <c r="J611" s="103" t="n">
        <v>40</v>
      </c>
      <c r="K611" s="103" t="n">
        <v>200</v>
      </c>
      <c r="L611" s="103" t="s">
        <v>94</v>
      </c>
      <c r="M611" s="103" t="s">
        <v>65</v>
      </c>
      <c r="N611" s="103" t="s">
        <v>77</v>
      </c>
      <c r="O611" s="103" t="n">
        <v>58</v>
      </c>
      <c r="P611" s="103" t="n">
        <v>14.6</v>
      </c>
      <c r="Q611" s="103" t="n">
        <v>5</v>
      </c>
      <c r="R611" s="103" t="s">
        <v>132</v>
      </c>
      <c r="S611" s="103" t="n">
        <v>1269</v>
      </c>
      <c r="T611" s="103" t="n">
        <v>1069</v>
      </c>
      <c r="U611" s="103" t="s">
        <v>1263</v>
      </c>
      <c r="V611" s="103" t="n">
        <v>2025</v>
      </c>
    </row>
    <row r="612" customFormat="false" ht="14.25" hidden="false" customHeight="false" outlineLevel="0" collapsed="false">
      <c r="A612" s="103" t="s">
        <v>1330</v>
      </c>
      <c r="B612" s="103" t="s">
        <v>600</v>
      </c>
      <c r="C612" s="104" t="n">
        <v>45861</v>
      </c>
      <c r="D612" s="103" t="s">
        <v>102</v>
      </c>
      <c r="E612" s="103" t="n">
        <v>55</v>
      </c>
      <c r="F612" s="103" t="s">
        <v>171</v>
      </c>
      <c r="G612" s="103" t="s">
        <v>84</v>
      </c>
      <c r="H612" s="103" t="n">
        <v>4.3</v>
      </c>
      <c r="I612" s="103" t="n">
        <v>1479</v>
      </c>
      <c r="J612" s="103" t="n">
        <v>20</v>
      </c>
      <c r="K612" s="103" t="n">
        <v>50</v>
      </c>
      <c r="L612" s="103" t="s">
        <v>97</v>
      </c>
      <c r="M612" s="103" t="s">
        <v>65</v>
      </c>
      <c r="N612" s="103" t="s">
        <v>77</v>
      </c>
      <c r="O612" s="103" t="n">
        <v>49</v>
      </c>
      <c r="P612" s="103" t="n">
        <v>6.9</v>
      </c>
      <c r="Q612" s="103" t="n">
        <v>4</v>
      </c>
      <c r="R612" s="103" t="s">
        <v>136</v>
      </c>
      <c r="S612" s="103" t="n">
        <v>1499</v>
      </c>
      <c r="T612" s="103" t="n">
        <v>1449</v>
      </c>
      <c r="U612" s="103" t="s">
        <v>1263</v>
      </c>
      <c r="V612" s="103" t="n">
        <v>2025</v>
      </c>
    </row>
    <row r="613" customFormat="false" ht="14.25" hidden="false" customHeight="false" outlineLevel="0" collapsed="false">
      <c r="A613" s="103" t="s">
        <v>1331</v>
      </c>
      <c r="B613" s="103" t="s">
        <v>601</v>
      </c>
      <c r="C613" s="104" t="n">
        <v>45861</v>
      </c>
      <c r="D613" s="103" t="s">
        <v>101</v>
      </c>
      <c r="E613" s="103" t="n">
        <v>39</v>
      </c>
      <c r="F613" s="103" t="s">
        <v>170</v>
      </c>
      <c r="G613" s="103" t="s">
        <v>86</v>
      </c>
      <c r="H613" s="103" t="n">
        <v>3.9</v>
      </c>
      <c r="I613" s="103" t="n">
        <v>1250</v>
      </c>
      <c r="J613" s="103" t="n">
        <v>0</v>
      </c>
      <c r="K613" s="103" t="n">
        <v>100</v>
      </c>
      <c r="L613" s="103" t="s">
        <v>93</v>
      </c>
      <c r="M613" s="103" t="s">
        <v>65</v>
      </c>
      <c r="N613" s="103" t="s">
        <v>77</v>
      </c>
      <c r="O613" s="103" t="n">
        <v>27</v>
      </c>
      <c r="P613" s="103" t="n">
        <v>1.4</v>
      </c>
      <c r="Q613" s="103" t="n">
        <v>3</v>
      </c>
      <c r="R613" s="103" t="s">
        <v>142</v>
      </c>
      <c r="S613" s="103" t="n">
        <v>1250</v>
      </c>
      <c r="T613" s="103" t="n">
        <v>1150</v>
      </c>
      <c r="U613" s="103" t="s">
        <v>1263</v>
      </c>
      <c r="V613" s="103" t="n">
        <v>2025</v>
      </c>
    </row>
    <row r="614" customFormat="false" ht="14.25" hidden="false" customHeight="false" outlineLevel="0" collapsed="false">
      <c r="A614" s="103" t="s">
        <v>1332</v>
      </c>
      <c r="B614" s="103" t="s">
        <v>602</v>
      </c>
      <c r="C614" s="104" t="n">
        <v>45862</v>
      </c>
      <c r="D614" s="103" t="s">
        <v>109</v>
      </c>
      <c r="E614" s="103" t="n">
        <v>19</v>
      </c>
      <c r="F614" s="103" t="s">
        <v>171</v>
      </c>
      <c r="G614" s="103" t="s">
        <v>89</v>
      </c>
      <c r="H614" s="103" t="n">
        <v>3.6</v>
      </c>
      <c r="I614" s="103" t="n">
        <v>955</v>
      </c>
      <c r="J614" s="103" t="n">
        <v>60</v>
      </c>
      <c r="K614" s="103" t="n">
        <v>150</v>
      </c>
      <c r="L614" s="103" t="s">
        <v>94</v>
      </c>
      <c r="M614" s="103" t="s">
        <v>65</v>
      </c>
      <c r="N614" s="103" t="s">
        <v>78</v>
      </c>
      <c r="O614" s="103" t="n">
        <v>29</v>
      </c>
      <c r="P614" s="103" t="n">
        <v>11.4</v>
      </c>
      <c r="Q614" s="103" t="n">
        <v>4</v>
      </c>
      <c r="R614" s="103" t="s">
        <v>135</v>
      </c>
      <c r="S614" s="103" t="n">
        <v>1015</v>
      </c>
      <c r="T614" s="103" t="n">
        <v>865</v>
      </c>
      <c r="U614" s="103" t="s">
        <v>1263</v>
      </c>
      <c r="V614" s="103" t="n">
        <v>2025</v>
      </c>
    </row>
    <row r="615" customFormat="false" ht="14.25" hidden="false" customHeight="false" outlineLevel="0" collapsed="false">
      <c r="A615" s="103" t="s">
        <v>1333</v>
      </c>
      <c r="B615" s="103" t="s">
        <v>603</v>
      </c>
      <c r="C615" s="104" t="n">
        <v>45862</v>
      </c>
      <c r="D615" s="103" t="s">
        <v>108</v>
      </c>
      <c r="E615" s="103" t="n">
        <v>41</v>
      </c>
      <c r="F615" s="103" t="s">
        <v>171</v>
      </c>
      <c r="G615" s="103" t="s">
        <v>87</v>
      </c>
      <c r="H615" s="103" t="n">
        <v>2.8</v>
      </c>
      <c r="I615" s="103" t="n">
        <v>1717</v>
      </c>
      <c r="J615" s="103" t="n">
        <v>60</v>
      </c>
      <c r="K615" s="103" t="n">
        <v>20</v>
      </c>
      <c r="L615" s="103" t="s">
        <v>94</v>
      </c>
      <c r="M615" s="103" t="s">
        <v>66</v>
      </c>
      <c r="N615" s="103" t="s">
        <v>78</v>
      </c>
      <c r="O615" s="103" t="n">
        <v>60</v>
      </c>
      <c r="P615" s="103" t="n">
        <v>8.7</v>
      </c>
      <c r="Q615" s="103" t="n">
        <v>5</v>
      </c>
      <c r="R615" s="103" t="s">
        <v>136</v>
      </c>
      <c r="S615" s="103" t="n">
        <v>1777</v>
      </c>
      <c r="T615" s="103" t="n">
        <v>1757</v>
      </c>
      <c r="U615" s="103" t="s">
        <v>1263</v>
      </c>
      <c r="V615" s="103" t="n">
        <v>2025</v>
      </c>
    </row>
    <row r="616" customFormat="false" ht="14.25" hidden="false" customHeight="false" outlineLevel="0" collapsed="false">
      <c r="A616" s="103" t="s">
        <v>1334</v>
      </c>
      <c r="B616" s="103" t="s">
        <v>604</v>
      </c>
      <c r="C616" s="104" t="n">
        <v>45862</v>
      </c>
      <c r="D616" s="103" t="s">
        <v>101</v>
      </c>
      <c r="E616" s="103" t="n">
        <v>25</v>
      </c>
      <c r="F616" s="103" t="s">
        <v>171</v>
      </c>
      <c r="G616" s="103" t="s">
        <v>86</v>
      </c>
      <c r="H616" s="103" t="n">
        <v>3.5</v>
      </c>
      <c r="I616" s="103" t="n">
        <v>624</v>
      </c>
      <c r="J616" s="103" t="n">
        <v>0</v>
      </c>
      <c r="K616" s="103" t="n">
        <v>10</v>
      </c>
      <c r="L616" s="103" t="s">
        <v>93</v>
      </c>
      <c r="M616" s="103" t="s">
        <v>65</v>
      </c>
      <c r="N616" s="103" t="s">
        <v>77</v>
      </c>
      <c r="O616" s="103" t="n">
        <v>70</v>
      </c>
      <c r="P616" s="103" t="n">
        <v>7</v>
      </c>
      <c r="Q616" s="103" t="n">
        <v>2</v>
      </c>
      <c r="R616" s="103" t="s">
        <v>134</v>
      </c>
      <c r="S616" s="103" t="n">
        <v>624</v>
      </c>
      <c r="T616" s="103" t="n">
        <v>614</v>
      </c>
      <c r="U616" s="103" t="s">
        <v>1263</v>
      </c>
      <c r="V616" s="103" t="n">
        <v>2025</v>
      </c>
    </row>
    <row r="617" customFormat="false" ht="14.25" hidden="false" customHeight="false" outlineLevel="0" collapsed="false">
      <c r="A617" s="103" t="s">
        <v>1335</v>
      </c>
      <c r="B617" s="103" t="s">
        <v>605</v>
      </c>
      <c r="C617" s="104" t="n">
        <v>45863</v>
      </c>
      <c r="D617" s="103" t="s">
        <v>106</v>
      </c>
      <c r="E617" s="103" t="n">
        <v>28</v>
      </c>
      <c r="F617" s="103" t="s">
        <v>171</v>
      </c>
      <c r="G617" s="103" t="s">
        <v>86</v>
      </c>
      <c r="H617" s="103" t="n">
        <v>3.4</v>
      </c>
      <c r="I617" s="103" t="n">
        <v>152</v>
      </c>
      <c r="J617" s="103" t="n">
        <v>60</v>
      </c>
      <c r="K617" s="103" t="n">
        <v>10</v>
      </c>
      <c r="L617" s="103" t="s">
        <v>94</v>
      </c>
      <c r="M617" s="103" t="s">
        <v>65</v>
      </c>
      <c r="N617" s="103" t="s">
        <v>77</v>
      </c>
      <c r="O617" s="103" t="n">
        <v>23</v>
      </c>
      <c r="P617" s="103" t="n">
        <v>5</v>
      </c>
      <c r="Q617" s="103" t="n">
        <v>4</v>
      </c>
      <c r="R617" s="103" t="s">
        <v>131</v>
      </c>
      <c r="S617" s="103" t="n">
        <v>212</v>
      </c>
      <c r="T617" s="103" t="n">
        <v>202</v>
      </c>
      <c r="U617" s="103" t="s">
        <v>1263</v>
      </c>
      <c r="V617" s="103" t="n">
        <v>2025</v>
      </c>
    </row>
    <row r="618" customFormat="false" ht="14.25" hidden="false" customHeight="false" outlineLevel="0" collapsed="false">
      <c r="A618" s="103" t="s">
        <v>1336</v>
      </c>
      <c r="B618" s="103" t="s">
        <v>606</v>
      </c>
      <c r="C618" s="104" t="n">
        <v>45863</v>
      </c>
      <c r="D618" s="103" t="s">
        <v>102</v>
      </c>
      <c r="E618" s="103" t="n">
        <v>30</v>
      </c>
      <c r="F618" s="103" t="s">
        <v>171</v>
      </c>
      <c r="G618" s="103" t="s">
        <v>81</v>
      </c>
      <c r="H618" s="103" t="n">
        <v>3.3</v>
      </c>
      <c r="I618" s="103" t="n">
        <v>846</v>
      </c>
      <c r="J618" s="103" t="n">
        <v>40</v>
      </c>
      <c r="K618" s="103" t="n">
        <v>50</v>
      </c>
      <c r="L618" s="103" t="s">
        <v>93</v>
      </c>
      <c r="M618" s="103" t="s">
        <v>65</v>
      </c>
      <c r="N618" s="103" t="s">
        <v>77</v>
      </c>
      <c r="O618" s="103" t="n">
        <v>59</v>
      </c>
      <c r="P618" s="103" t="n">
        <v>7.8</v>
      </c>
      <c r="Q618" s="103" t="n">
        <v>2</v>
      </c>
      <c r="R618" s="103" t="s">
        <v>135</v>
      </c>
      <c r="S618" s="103" t="n">
        <v>886</v>
      </c>
      <c r="T618" s="103" t="n">
        <v>836</v>
      </c>
      <c r="U618" s="103" t="s">
        <v>1263</v>
      </c>
      <c r="V618" s="103" t="n">
        <v>2025</v>
      </c>
    </row>
    <row r="619" customFormat="false" ht="14.25" hidden="false" customHeight="false" outlineLevel="0" collapsed="false">
      <c r="A619" s="103" t="s">
        <v>1337</v>
      </c>
      <c r="B619" s="103" t="s">
        <v>607</v>
      </c>
      <c r="C619" s="104" t="n">
        <v>45863</v>
      </c>
      <c r="D619" s="103" t="s">
        <v>104</v>
      </c>
      <c r="E619" s="103" t="n">
        <v>34</v>
      </c>
      <c r="F619" s="103" t="s">
        <v>171</v>
      </c>
      <c r="G619" s="103" t="s">
        <v>83</v>
      </c>
      <c r="H619" s="103" t="n">
        <v>4.3</v>
      </c>
      <c r="I619" s="103" t="n">
        <v>175</v>
      </c>
      <c r="J619" s="103" t="n">
        <v>50</v>
      </c>
      <c r="K619" s="103" t="n">
        <v>0</v>
      </c>
      <c r="L619" s="103" t="s">
        <v>93</v>
      </c>
      <c r="M619" s="103" t="s">
        <v>65</v>
      </c>
      <c r="N619" s="103" t="s">
        <v>77</v>
      </c>
      <c r="O619" s="103" t="n">
        <v>37</v>
      </c>
      <c r="P619" s="103" t="n">
        <v>5.4</v>
      </c>
      <c r="Q619" s="103" t="n">
        <v>4</v>
      </c>
      <c r="R619" s="103" t="s">
        <v>134</v>
      </c>
      <c r="S619" s="103" t="n">
        <v>225</v>
      </c>
      <c r="T619" s="103" t="n">
        <v>225</v>
      </c>
      <c r="U619" s="103" t="s">
        <v>1263</v>
      </c>
      <c r="V619" s="103" t="n">
        <v>2025</v>
      </c>
    </row>
    <row r="620" customFormat="false" ht="14.25" hidden="false" customHeight="false" outlineLevel="0" collapsed="false">
      <c r="A620" s="103" t="s">
        <v>1338</v>
      </c>
      <c r="B620" s="103" t="s">
        <v>608</v>
      </c>
      <c r="C620" s="104" t="n">
        <v>45864</v>
      </c>
      <c r="D620" s="103" t="s">
        <v>103</v>
      </c>
      <c r="E620" s="103" t="n">
        <v>25</v>
      </c>
      <c r="F620" s="103" t="s">
        <v>170</v>
      </c>
      <c r="G620" s="103" t="s">
        <v>87</v>
      </c>
      <c r="H620" s="103" t="n">
        <v>4.3</v>
      </c>
      <c r="I620" s="103" t="n">
        <v>1723</v>
      </c>
      <c r="J620" s="103" t="n">
        <v>30</v>
      </c>
      <c r="K620" s="103" t="n">
        <v>10</v>
      </c>
      <c r="L620" s="103" t="s">
        <v>93</v>
      </c>
      <c r="M620" s="103" t="s">
        <v>65</v>
      </c>
      <c r="N620" s="103" t="s">
        <v>78</v>
      </c>
      <c r="O620" s="103" t="n">
        <v>68</v>
      </c>
      <c r="P620" s="103" t="n">
        <v>11.5</v>
      </c>
      <c r="Q620" s="103" t="n">
        <v>5</v>
      </c>
      <c r="R620" s="103" t="s">
        <v>133</v>
      </c>
      <c r="S620" s="103" t="n">
        <v>1753</v>
      </c>
      <c r="T620" s="103" t="n">
        <v>1743</v>
      </c>
      <c r="U620" s="103" t="s">
        <v>1263</v>
      </c>
      <c r="V620" s="103" t="n">
        <v>2025</v>
      </c>
    </row>
    <row r="621" customFormat="false" ht="14.25" hidden="false" customHeight="false" outlineLevel="0" collapsed="false">
      <c r="A621" s="103" t="s">
        <v>1339</v>
      </c>
      <c r="B621" s="103" t="s">
        <v>609</v>
      </c>
      <c r="C621" s="104" t="n">
        <v>45864</v>
      </c>
      <c r="D621" s="103" t="s">
        <v>103</v>
      </c>
      <c r="E621" s="103" t="n">
        <v>38</v>
      </c>
      <c r="F621" s="103" t="s">
        <v>170</v>
      </c>
      <c r="G621" s="103" t="s">
        <v>84</v>
      </c>
      <c r="H621" s="103" t="n">
        <v>4</v>
      </c>
      <c r="I621" s="103" t="n">
        <v>473</v>
      </c>
      <c r="J621" s="103" t="n">
        <v>40</v>
      </c>
      <c r="K621" s="103" t="n">
        <v>200</v>
      </c>
      <c r="L621" s="103" t="s">
        <v>93</v>
      </c>
      <c r="M621" s="103" t="s">
        <v>65</v>
      </c>
      <c r="N621" s="103" t="s">
        <v>77</v>
      </c>
      <c r="O621" s="103" t="n">
        <v>50</v>
      </c>
      <c r="P621" s="103" t="n">
        <v>8.4</v>
      </c>
      <c r="Q621" s="103" t="n">
        <v>1</v>
      </c>
      <c r="R621" s="103" t="s">
        <v>131</v>
      </c>
      <c r="S621" s="103" t="n">
        <v>513</v>
      </c>
      <c r="T621" s="103" t="n">
        <v>313</v>
      </c>
      <c r="U621" s="103" t="s">
        <v>1263</v>
      </c>
      <c r="V621" s="103" t="n">
        <v>2025</v>
      </c>
    </row>
    <row r="622" customFormat="false" ht="14.25" hidden="false" customHeight="false" outlineLevel="0" collapsed="false">
      <c r="A622" s="103" t="s">
        <v>1340</v>
      </c>
      <c r="B622" s="103" t="s">
        <v>610</v>
      </c>
      <c r="C622" s="104" t="n">
        <v>45864</v>
      </c>
      <c r="D622" s="103" t="s">
        <v>102</v>
      </c>
      <c r="E622" s="103" t="n">
        <v>35</v>
      </c>
      <c r="F622" s="103" t="s">
        <v>170</v>
      </c>
      <c r="G622" s="103" t="s">
        <v>89</v>
      </c>
      <c r="H622" s="103" t="n">
        <v>4.8</v>
      </c>
      <c r="I622" s="103" t="n">
        <v>1445</v>
      </c>
      <c r="J622" s="103" t="n">
        <v>50</v>
      </c>
      <c r="K622" s="103" t="n">
        <v>100</v>
      </c>
      <c r="L622" s="103" t="s">
        <v>95</v>
      </c>
      <c r="M622" s="103" t="s">
        <v>66</v>
      </c>
      <c r="N622" s="103" t="s">
        <v>77</v>
      </c>
      <c r="O622" s="103" t="n">
        <v>67</v>
      </c>
      <c r="P622" s="103" t="n">
        <v>13.2</v>
      </c>
      <c r="Q622" s="103" t="n">
        <v>5</v>
      </c>
      <c r="R622" s="103" t="s">
        <v>131</v>
      </c>
      <c r="S622" s="103" t="n">
        <v>1495</v>
      </c>
      <c r="T622" s="103" t="n">
        <v>1395</v>
      </c>
      <c r="U622" s="103" t="s">
        <v>1263</v>
      </c>
      <c r="V622" s="103" t="n">
        <v>2025</v>
      </c>
    </row>
    <row r="623" customFormat="false" ht="14.25" hidden="false" customHeight="false" outlineLevel="0" collapsed="false">
      <c r="A623" s="103" t="s">
        <v>1341</v>
      </c>
      <c r="B623" s="103" t="s">
        <v>611</v>
      </c>
      <c r="C623" s="104" t="n">
        <v>45865</v>
      </c>
      <c r="D623" s="103" t="s">
        <v>101</v>
      </c>
      <c r="E623" s="103" t="n">
        <v>47</v>
      </c>
      <c r="F623" s="103" t="s">
        <v>171</v>
      </c>
      <c r="G623" s="103" t="s">
        <v>87</v>
      </c>
      <c r="H623" s="103" t="n">
        <v>3.4</v>
      </c>
      <c r="I623" s="103" t="n">
        <v>1421</v>
      </c>
      <c r="J623" s="103" t="n">
        <v>50</v>
      </c>
      <c r="K623" s="103" t="n">
        <v>75</v>
      </c>
      <c r="L623" s="103" t="s">
        <v>93</v>
      </c>
      <c r="M623" s="103" t="s">
        <v>67</v>
      </c>
      <c r="N623" s="103" t="s">
        <v>78</v>
      </c>
      <c r="O623" s="103" t="n">
        <v>54</v>
      </c>
      <c r="P623" s="103" t="n">
        <v>8.4</v>
      </c>
      <c r="Q623" s="103" t="n">
        <v>5</v>
      </c>
      <c r="R623" s="103" t="s">
        <v>141</v>
      </c>
      <c r="S623" s="103" t="n">
        <v>1471</v>
      </c>
      <c r="T623" s="103" t="n">
        <v>1396</v>
      </c>
      <c r="U623" s="103" t="s">
        <v>1263</v>
      </c>
      <c r="V623" s="103" t="n">
        <v>2025</v>
      </c>
    </row>
    <row r="624" customFormat="false" ht="14.25" hidden="false" customHeight="false" outlineLevel="0" collapsed="false">
      <c r="A624" s="103" t="s">
        <v>1342</v>
      </c>
      <c r="B624" s="103" t="s">
        <v>612</v>
      </c>
      <c r="C624" s="104" t="n">
        <v>45865</v>
      </c>
      <c r="D624" s="103" t="s">
        <v>109</v>
      </c>
      <c r="E624" s="103" t="n">
        <v>35</v>
      </c>
      <c r="F624" s="103" t="s">
        <v>170</v>
      </c>
      <c r="G624" s="103" t="s">
        <v>82</v>
      </c>
      <c r="H624" s="103" t="n">
        <v>3.1</v>
      </c>
      <c r="I624" s="103" t="n">
        <v>486</v>
      </c>
      <c r="J624" s="103" t="n">
        <v>60</v>
      </c>
      <c r="K624" s="103" t="n">
        <v>200</v>
      </c>
      <c r="L624" s="103" t="s">
        <v>94</v>
      </c>
      <c r="M624" s="103" t="s">
        <v>66</v>
      </c>
      <c r="N624" s="103" t="s">
        <v>77</v>
      </c>
      <c r="O624" s="103" t="n">
        <v>17</v>
      </c>
      <c r="P624" s="103" t="n">
        <v>4</v>
      </c>
      <c r="Q624" s="103" t="n">
        <v>3</v>
      </c>
      <c r="R624" s="103" t="s">
        <v>138</v>
      </c>
      <c r="S624" s="103" t="n">
        <v>546</v>
      </c>
      <c r="T624" s="103" t="n">
        <v>346</v>
      </c>
      <c r="U624" s="103" t="s">
        <v>1263</v>
      </c>
      <c r="V624" s="103" t="n">
        <v>2025</v>
      </c>
    </row>
    <row r="625" customFormat="false" ht="14.25" hidden="false" customHeight="false" outlineLevel="0" collapsed="false">
      <c r="A625" s="103" t="s">
        <v>1343</v>
      </c>
      <c r="B625" s="103" t="s">
        <v>613</v>
      </c>
      <c r="C625" s="104" t="n">
        <v>45865</v>
      </c>
      <c r="D625" s="103" t="s">
        <v>106</v>
      </c>
      <c r="E625" s="103" t="n">
        <v>48</v>
      </c>
      <c r="F625" s="103" t="s">
        <v>171</v>
      </c>
      <c r="G625" s="103" t="s">
        <v>83</v>
      </c>
      <c r="H625" s="103" t="n">
        <v>4.1</v>
      </c>
      <c r="I625" s="103" t="n">
        <v>1164</v>
      </c>
      <c r="J625" s="103" t="n">
        <v>20</v>
      </c>
      <c r="K625" s="103" t="n">
        <v>100</v>
      </c>
      <c r="L625" s="103" t="s">
        <v>95</v>
      </c>
      <c r="M625" s="103" t="s">
        <v>65</v>
      </c>
      <c r="N625" s="103" t="s">
        <v>77</v>
      </c>
      <c r="O625" s="103" t="n">
        <v>48</v>
      </c>
      <c r="P625" s="103" t="n">
        <v>12.8</v>
      </c>
      <c r="Q625" s="103" t="n">
        <v>5</v>
      </c>
      <c r="R625" s="103" t="s">
        <v>136</v>
      </c>
      <c r="S625" s="103" t="n">
        <v>1184</v>
      </c>
      <c r="T625" s="103" t="n">
        <v>1084</v>
      </c>
      <c r="U625" s="103" t="s">
        <v>1263</v>
      </c>
      <c r="V625" s="103" t="n">
        <v>2025</v>
      </c>
    </row>
    <row r="626" customFormat="false" ht="14.25" hidden="false" customHeight="false" outlineLevel="0" collapsed="false">
      <c r="A626" s="103" t="s">
        <v>1344</v>
      </c>
      <c r="B626" s="103" t="s">
        <v>614</v>
      </c>
      <c r="C626" s="104" t="n">
        <v>45866</v>
      </c>
      <c r="D626" s="103" t="s">
        <v>111</v>
      </c>
      <c r="E626" s="103" t="n">
        <v>55</v>
      </c>
      <c r="F626" s="103" t="s">
        <v>171</v>
      </c>
      <c r="G626" s="103" t="s">
        <v>82</v>
      </c>
      <c r="H626" s="103" t="n">
        <v>3</v>
      </c>
      <c r="I626" s="103" t="n">
        <v>201</v>
      </c>
      <c r="J626" s="103" t="n">
        <v>20</v>
      </c>
      <c r="K626" s="103" t="n">
        <v>50</v>
      </c>
      <c r="L626" s="103" t="s">
        <v>94</v>
      </c>
      <c r="M626" s="103" t="s">
        <v>65</v>
      </c>
      <c r="N626" s="103" t="s">
        <v>77</v>
      </c>
      <c r="O626" s="103" t="n">
        <v>33</v>
      </c>
      <c r="P626" s="103" t="n">
        <v>8.6</v>
      </c>
      <c r="Q626" s="103" t="n">
        <v>5</v>
      </c>
      <c r="R626" s="103" t="s">
        <v>133</v>
      </c>
      <c r="S626" s="103" t="n">
        <v>221</v>
      </c>
      <c r="T626" s="103" t="n">
        <v>171</v>
      </c>
      <c r="U626" s="103" t="s">
        <v>1263</v>
      </c>
      <c r="V626" s="103" t="n">
        <v>2025</v>
      </c>
    </row>
    <row r="627" customFormat="false" ht="14.25" hidden="false" customHeight="false" outlineLevel="0" collapsed="false">
      <c r="A627" s="103" t="s">
        <v>1345</v>
      </c>
      <c r="B627" s="103" t="s">
        <v>615</v>
      </c>
      <c r="C627" s="104" t="n">
        <v>45866</v>
      </c>
      <c r="D627" s="103" t="s">
        <v>103</v>
      </c>
      <c r="E627" s="103" t="n">
        <v>49</v>
      </c>
      <c r="F627" s="103" t="s">
        <v>170</v>
      </c>
      <c r="G627" s="103" t="s">
        <v>89</v>
      </c>
      <c r="H627" s="103" t="n">
        <v>3.3</v>
      </c>
      <c r="I627" s="103" t="n">
        <v>932</v>
      </c>
      <c r="J627" s="103" t="n">
        <v>60</v>
      </c>
      <c r="K627" s="103" t="n">
        <v>200</v>
      </c>
      <c r="L627" s="103" t="s">
        <v>97</v>
      </c>
      <c r="M627" s="103" t="s">
        <v>65</v>
      </c>
      <c r="N627" s="103" t="s">
        <v>78</v>
      </c>
      <c r="O627" s="103" t="n">
        <v>42</v>
      </c>
      <c r="P627" s="103" t="n">
        <v>3.5</v>
      </c>
      <c r="Q627" s="103" t="n">
        <v>5</v>
      </c>
      <c r="R627" s="103" t="s">
        <v>139</v>
      </c>
      <c r="S627" s="103" t="n">
        <v>992</v>
      </c>
      <c r="T627" s="103" t="n">
        <v>792</v>
      </c>
      <c r="U627" s="103" t="s">
        <v>1263</v>
      </c>
      <c r="V627" s="103" t="n">
        <v>2025</v>
      </c>
    </row>
    <row r="628" customFormat="false" ht="14.25" hidden="false" customHeight="false" outlineLevel="0" collapsed="false">
      <c r="A628" s="103" t="s">
        <v>1346</v>
      </c>
      <c r="B628" s="103" t="s">
        <v>616</v>
      </c>
      <c r="C628" s="104" t="n">
        <v>45866</v>
      </c>
      <c r="D628" s="103" t="s">
        <v>106</v>
      </c>
      <c r="E628" s="103" t="n">
        <v>28</v>
      </c>
      <c r="F628" s="103" t="s">
        <v>171</v>
      </c>
      <c r="G628" s="103" t="s">
        <v>81</v>
      </c>
      <c r="H628" s="103" t="n">
        <v>3.1</v>
      </c>
      <c r="I628" s="103" t="n">
        <v>145</v>
      </c>
      <c r="J628" s="103" t="n">
        <v>60</v>
      </c>
      <c r="K628" s="103" t="n">
        <v>75</v>
      </c>
      <c r="L628" s="103" t="s">
        <v>95</v>
      </c>
      <c r="M628" s="103" t="s">
        <v>67</v>
      </c>
      <c r="N628" s="103" t="s">
        <v>77</v>
      </c>
      <c r="O628" s="103" t="n">
        <v>37</v>
      </c>
      <c r="P628" s="103" t="n">
        <v>9.5</v>
      </c>
      <c r="Q628" s="103" t="n">
        <v>3</v>
      </c>
      <c r="R628" s="103" t="s">
        <v>139</v>
      </c>
      <c r="S628" s="103" t="n">
        <v>205</v>
      </c>
      <c r="T628" s="103" t="n">
        <v>130</v>
      </c>
      <c r="U628" s="103" t="s">
        <v>1263</v>
      </c>
      <c r="V628" s="103" t="n">
        <v>2025</v>
      </c>
    </row>
    <row r="629" customFormat="false" ht="14.25" hidden="false" customHeight="false" outlineLevel="0" collapsed="false">
      <c r="A629" s="103" t="s">
        <v>1347</v>
      </c>
      <c r="B629" s="103" t="s">
        <v>617</v>
      </c>
      <c r="C629" s="104" t="n">
        <v>45867</v>
      </c>
      <c r="D629" s="103" t="s">
        <v>103</v>
      </c>
      <c r="E629" s="103" t="n">
        <v>42</v>
      </c>
      <c r="F629" s="103" t="s">
        <v>171</v>
      </c>
      <c r="G629" s="103" t="s">
        <v>81</v>
      </c>
      <c r="H629" s="103" t="n">
        <v>2.7</v>
      </c>
      <c r="I629" s="103" t="n">
        <v>1668</v>
      </c>
      <c r="J629" s="103" t="n">
        <v>0</v>
      </c>
      <c r="K629" s="103" t="n">
        <v>75</v>
      </c>
      <c r="L629" s="103" t="s">
        <v>95</v>
      </c>
      <c r="M629" s="103" t="s">
        <v>65</v>
      </c>
      <c r="N629" s="103" t="s">
        <v>77</v>
      </c>
      <c r="O629" s="103" t="n">
        <v>54</v>
      </c>
      <c r="P629" s="103" t="n">
        <v>5.7</v>
      </c>
      <c r="Q629" s="103" t="n">
        <v>2</v>
      </c>
      <c r="R629" s="103" t="s">
        <v>132</v>
      </c>
      <c r="S629" s="103" t="n">
        <v>1668</v>
      </c>
      <c r="T629" s="103" t="n">
        <v>1593</v>
      </c>
      <c r="U629" s="103" t="s">
        <v>1263</v>
      </c>
      <c r="V629" s="103" t="n">
        <v>2025</v>
      </c>
    </row>
    <row r="630" customFormat="false" ht="14.25" hidden="false" customHeight="false" outlineLevel="0" collapsed="false">
      <c r="A630" s="103" t="s">
        <v>1348</v>
      </c>
      <c r="B630" s="103" t="s">
        <v>618</v>
      </c>
      <c r="C630" s="104" t="n">
        <v>45867</v>
      </c>
      <c r="D630" s="103" t="s">
        <v>108</v>
      </c>
      <c r="E630" s="103" t="n">
        <v>50</v>
      </c>
      <c r="F630" s="103" t="s">
        <v>170</v>
      </c>
      <c r="G630" s="103" t="s">
        <v>89</v>
      </c>
      <c r="H630" s="103" t="n">
        <v>4.6</v>
      </c>
      <c r="I630" s="103" t="n">
        <v>1760</v>
      </c>
      <c r="J630" s="103" t="n">
        <v>0</v>
      </c>
      <c r="K630" s="103" t="n">
        <v>30</v>
      </c>
      <c r="L630" s="103" t="s">
        <v>93</v>
      </c>
      <c r="M630" s="103" t="s">
        <v>65</v>
      </c>
      <c r="N630" s="103" t="s">
        <v>78</v>
      </c>
      <c r="O630" s="103" t="n">
        <v>63</v>
      </c>
      <c r="P630" s="103" t="n">
        <v>12.7</v>
      </c>
      <c r="Q630" s="103" t="n">
        <v>3</v>
      </c>
      <c r="R630" s="103" t="s">
        <v>135</v>
      </c>
      <c r="S630" s="103" t="n">
        <v>1760</v>
      </c>
      <c r="T630" s="103" t="n">
        <v>1730</v>
      </c>
      <c r="U630" s="103" t="s">
        <v>1263</v>
      </c>
      <c r="V630" s="103" t="n">
        <v>2025</v>
      </c>
    </row>
    <row r="631" customFormat="false" ht="14.25" hidden="false" customHeight="false" outlineLevel="0" collapsed="false">
      <c r="A631" s="103" t="s">
        <v>1349</v>
      </c>
      <c r="B631" s="103" t="s">
        <v>619</v>
      </c>
      <c r="C631" s="104" t="n">
        <v>45867</v>
      </c>
      <c r="D631" s="103" t="s">
        <v>109</v>
      </c>
      <c r="E631" s="103" t="n">
        <v>55</v>
      </c>
      <c r="F631" s="103" t="s">
        <v>170</v>
      </c>
      <c r="G631" s="103" t="s">
        <v>85</v>
      </c>
      <c r="H631" s="103" t="n">
        <v>3.1</v>
      </c>
      <c r="I631" s="103" t="n">
        <v>493</v>
      </c>
      <c r="J631" s="103" t="n">
        <v>30</v>
      </c>
      <c r="K631" s="103" t="n">
        <v>0</v>
      </c>
      <c r="L631" s="103" t="s">
        <v>95</v>
      </c>
      <c r="M631" s="103" t="s">
        <v>66</v>
      </c>
      <c r="N631" s="103" t="s">
        <v>78</v>
      </c>
      <c r="O631" s="103" t="n">
        <v>59</v>
      </c>
      <c r="P631" s="103" t="n">
        <v>7.1</v>
      </c>
      <c r="Q631" s="103" t="n">
        <v>5</v>
      </c>
      <c r="R631" s="103" t="s">
        <v>137</v>
      </c>
      <c r="S631" s="103" t="n">
        <v>523</v>
      </c>
      <c r="T631" s="103" t="n">
        <v>523</v>
      </c>
      <c r="U631" s="103" t="s">
        <v>1263</v>
      </c>
      <c r="V631" s="103" t="n">
        <v>2025</v>
      </c>
    </row>
    <row r="632" customFormat="false" ht="14.25" hidden="false" customHeight="false" outlineLevel="0" collapsed="false">
      <c r="A632" s="103" t="s">
        <v>1350</v>
      </c>
      <c r="B632" s="103" t="s">
        <v>620</v>
      </c>
      <c r="C632" s="104" t="n">
        <v>45868</v>
      </c>
      <c r="D632" s="103" t="s">
        <v>108</v>
      </c>
      <c r="E632" s="103" t="n">
        <v>58</v>
      </c>
      <c r="F632" s="103" t="s">
        <v>170</v>
      </c>
      <c r="G632" s="103" t="s">
        <v>89</v>
      </c>
      <c r="H632" s="103" t="n">
        <v>3.7</v>
      </c>
      <c r="I632" s="103" t="n">
        <v>470</v>
      </c>
      <c r="J632" s="103" t="n">
        <v>30</v>
      </c>
      <c r="K632" s="103" t="n">
        <v>50</v>
      </c>
      <c r="L632" s="103" t="s">
        <v>96</v>
      </c>
      <c r="M632" s="103" t="s">
        <v>66</v>
      </c>
      <c r="N632" s="103" t="s">
        <v>77</v>
      </c>
      <c r="O632" s="103" t="n">
        <v>21</v>
      </c>
      <c r="P632" s="103" t="n">
        <v>11</v>
      </c>
      <c r="Q632" s="103" t="n">
        <v>5</v>
      </c>
      <c r="R632" s="103" t="s">
        <v>133</v>
      </c>
      <c r="S632" s="103" t="n">
        <v>500</v>
      </c>
      <c r="T632" s="103" t="n">
        <v>450</v>
      </c>
      <c r="U632" s="103" t="s">
        <v>1263</v>
      </c>
      <c r="V632" s="103" t="n">
        <v>2025</v>
      </c>
    </row>
    <row r="633" customFormat="false" ht="14.25" hidden="false" customHeight="false" outlineLevel="0" collapsed="false">
      <c r="A633" s="103" t="s">
        <v>1351</v>
      </c>
      <c r="B633" s="103" t="s">
        <v>621</v>
      </c>
      <c r="C633" s="104" t="n">
        <v>45868</v>
      </c>
      <c r="D633" s="103" t="s">
        <v>103</v>
      </c>
      <c r="E633" s="103" t="n">
        <v>25</v>
      </c>
      <c r="F633" s="103" t="s">
        <v>170</v>
      </c>
      <c r="G633" s="103" t="s">
        <v>83</v>
      </c>
      <c r="H633" s="103" t="n">
        <v>2.6</v>
      </c>
      <c r="I633" s="103" t="n">
        <v>1386</v>
      </c>
      <c r="J633" s="103" t="n">
        <v>30</v>
      </c>
      <c r="K633" s="103" t="n">
        <v>200</v>
      </c>
      <c r="L633" s="103" t="s">
        <v>93</v>
      </c>
      <c r="M633" s="103" t="s">
        <v>65</v>
      </c>
      <c r="N633" s="103" t="s">
        <v>77</v>
      </c>
      <c r="O633" s="103" t="n">
        <v>55</v>
      </c>
      <c r="P633" s="103" t="n">
        <v>1.9</v>
      </c>
      <c r="Q633" s="103" t="n">
        <v>5</v>
      </c>
      <c r="R633" s="103" t="s">
        <v>135</v>
      </c>
      <c r="S633" s="103" t="n">
        <v>1416</v>
      </c>
      <c r="T633" s="103" t="n">
        <v>1216</v>
      </c>
      <c r="U633" s="103" t="s">
        <v>1263</v>
      </c>
      <c r="V633" s="103" t="n">
        <v>2025</v>
      </c>
    </row>
    <row r="634" customFormat="false" ht="14.25" hidden="false" customHeight="false" outlineLevel="0" collapsed="false">
      <c r="A634" s="103" t="s">
        <v>1352</v>
      </c>
      <c r="B634" s="103" t="s">
        <v>622</v>
      </c>
      <c r="C634" s="104" t="n">
        <v>45868</v>
      </c>
      <c r="D634" s="103" t="s">
        <v>104</v>
      </c>
      <c r="E634" s="103" t="n">
        <v>28</v>
      </c>
      <c r="F634" s="103" t="s">
        <v>172</v>
      </c>
      <c r="G634" s="103" t="s">
        <v>90</v>
      </c>
      <c r="H634" s="103" t="n">
        <v>4.2</v>
      </c>
      <c r="I634" s="103" t="n">
        <v>546</v>
      </c>
      <c r="J634" s="103" t="n">
        <v>30</v>
      </c>
      <c r="K634" s="103" t="n">
        <v>150</v>
      </c>
      <c r="L634" s="103" t="s">
        <v>93</v>
      </c>
      <c r="M634" s="103" t="s">
        <v>65</v>
      </c>
      <c r="N634" s="103" t="s">
        <v>77</v>
      </c>
      <c r="O634" s="103" t="n">
        <v>26</v>
      </c>
      <c r="P634" s="103" t="n">
        <v>6.2</v>
      </c>
      <c r="Q634" s="103" t="n">
        <v>4</v>
      </c>
      <c r="R634" s="103" t="s">
        <v>137</v>
      </c>
      <c r="S634" s="103" t="n">
        <v>576</v>
      </c>
      <c r="T634" s="103" t="n">
        <v>426</v>
      </c>
      <c r="U634" s="103" t="s">
        <v>1263</v>
      </c>
      <c r="V634" s="103" t="n">
        <v>2025</v>
      </c>
    </row>
    <row r="635" customFormat="false" ht="14.25" hidden="false" customHeight="false" outlineLevel="0" collapsed="false">
      <c r="A635" s="103" t="s">
        <v>1353</v>
      </c>
      <c r="B635" s="103" t="s">
        <v>623</v>
      </c>
      <c r="C635" s="104" t="n">
        <v>45869</v>
      </c>
      <c r="D635" s="103" t="s">
        <v>104</v>
      </c>
      <c r="E635" s="103" t="n">
        <v>39</v>
      </c>
      <c r="F635" s="103" t="s">
        <v>171</v>
      </c>
      <c r="G635" s="103" t="s">
        <v>81</v>
      </c>
      <c r="H635" s="103" t="n">
        <v>3.3</v>
      </c>
      <c r="I635" s="103" t="n">
        <v>1624</v>
      </c>
      <c r="J635" s="103" t="n">
        <v>50</v>
      </c>
      <c r="K635" s="103" t="n">
        <v>150</v>
      </c>
      <c r="L635" s="103" t="s">
        <v>93</v>
      </c>
      <c r="M635" s="103" t="s">
        <v>65</v>
      </c>
      <c r="N635" s="103" t="s">
        <v>77</v>
      </c>
      <c r="O635" s="103" t="n">
        <v>28</v>
      </c>
      <c r="P635" s="103" t="n">
        <v>14.8</v>
      </c>
      <c r="Q635" s="103" t="n">
        <v>3</v>
      </c>
      <c r="R635" s="103" t="s">
        <v>141</v>
      </c>
      <c r="S635" s="103" t="n">
        <v>1674</v>
      </c>
      <c r="T635" s="103" t="n">
        <v>1524</v>
      </c>
      <c r="U635" s="103" t="s">
        <v>1263</v>
      </c>
      <c r="V635" s="103" t="n">
        <v>2025</v>
      </c>
    </row>
    <row r="636" customFormat="false" ht="14.25" hidden="false" customHeight="false" outlineLevel="0" collapsed="false">
      <c r="A636" s="103" t="s">
        <v>1354</v>
      </c>
      <c r="B636" s="103" t="s">
        <v>624</v>
      </c>
      <c r="C636" s="104" t="n">
        <v>45869</v>
      </c>
      <c r="D636" s="103" t="s">
        <v>108</v>
      </c>
      <c r="E636" s="103" t="n">
        <v>41</v>
      </c>
      <c r="F636" s="103" t="s">
        <v>171</v>
      </c>
      <c r="G636" s="103" t="s">
        <v>88</v>
      </c>
      <c r="H636" s="103" t="n">
        <v>4.4</v>
      </c>
      <c r="I636" s="103" t="n">
        <v>1084</v>
      </c>
      <c r="J636" s="103" t="n">
        <v>50</v>
      </c>
      <c r="K636" s="103" t="n">
        <v>50</v>
      </c>
      <c r="L636" s="103" t="s">
        <v>95</v>
      </c>
      <c r="M636" s="103" t="s">
        <v>65</v>
      </c>
      <c r="N636" s="103" t="s">
        <v>77</v>
      </c>
      <c r="O636" s="103" t="n">
        <v>60</v>
      </c>
      <c r="P636" s="103" t="n">
        <v>12.2</v>
      </c>
      <c r="Q636" s="103" t="n">
        <v>5</v>
      </c>
      <c r="R636" s="103" t="s">
        <v>139</v>
      </c>
      <c r="S636" s="103" t="n">
        <v>1134</v>
      </c>
      <c r="T636" s="103" t="n">
        <v>1084</v>
      </c>
      <c r="U636" s="103" t="s">
        <v>1263</v>
      </c>
      <c r="V636" s="103" t="n">
        <v>2025</v>
      </c>
    </row>
    <row r="637" customFormat="false" ht="14.25" hidden="false" customHeight="false" outlineLevel="0" collapsed="false">
      <c r="A637" s="103" t="s">
        <v>1355</v>
      </c>
      <c r="B637" s="103" t="s">
        <v>625</v>
      </c>
      <c r="C637" s="104" t="n">
        <v>45869</v>
      </c>
      <c r="D637" s="103" t="s">
        <v>104</v>
      </c>
      <c r="E637" s="103" t="n">
        <v>58</v>
      </c>
      <c r="F637" s="103" t="s">
        <v>171</v>
      </c>
      <c r="G637" s="103" t="s">
        <v>83</v>
      </c>
      <c r="H637" s="103" t="n">
        <v>3.5</v>
      </c>
      <c r="I637" s="103" t="n">
        <v>709</v>
      </c>
      <c r="J637" s="103" t="n">
        <v>0</v>
      </c>
      <c r="K637" s="103" t="n">
        <v>200</v>
      </c>
      <c r="L637" s="103" t="s">
        <v>93</v>
      </c>
      <c r="M637" s="103" t="s">
        <v>67</v>
      </c>
      <c r="N637" s="103" t="s">
        <v>78</v>
      </c>
      <c r="O637" s="103" t="n">
        <v>29</v>
      </c>
      <c r="P637" s="103" t="n">
        <v>2.8</v>
      </c>
      <c r="Q637" s="103" t="n">
        <v>4</v>
      </c>
      <c r="R637" s="103" t="s">
        <v>133</v>
      </c>
      <c r="S637" s="103" t="n">
        <v>709</v>
      </c>
      <c r="T637" s="103" t="n">
        <v>509</v>
      </c>
      <c r="U637" s="103" t="s">
        <v>1263</v>
      </c>
      <c r="V637" s="103" t="n">
        <v>2025</v>
      </c>
    </row>
    <row r="638" customFormat="false" ht="14.25" hidden="false" customHeight="false" outlineLevel="0" collapsed="false">
      <c r="A638" s="103" t="s">
        <v>1356</v>
      </c>
      <c r="B638" s="103" t="s">
        <v>626</v>
      </c>
      <c r="C638" s="104" t="n">
        <v>45870</v>
      </c>
      <c r="D638" s="103" t="s">
        <v>103</v>
      </c>
      <c r="E638" s="103" t="n">
        <v>34</v>
      </c>
      <c r="F638" s="103" t="s">
        <v>171</v>
      </c>
      <c r="G638" s="103" t="s">
        <v>83</v>
      </c>
      <c r="H638" s="103" t="n">
        <v>3</v>
      </c>
      <c r="I638" s="103" t="n">
        <v>1519</v>
      </c>
      <c r="J638" s="103" t="n">
        <v>20</v>
      </c>
      <c r="K638" s="103" t="n">
        <v>20</v>
      </c>
      <c r="L638" s="103" t="s">
        <v>95</v>
      </c>
      <c r="M638" s="103" t="s">
        <v>65</v>
      </c>
      <c r="N638" s="103" t="s">
        <v>77</v>
      </c>
      <c r="O638" s="103" t="n">
        <v>17</v>
      </c>
      <c r="P638" s="103" t="n">
        <v>4.5</v>
      </c>
      <c r="Q638" s="103" t="n">
        <v>5</v>
      </c>
      <c r="R638" s="103" t="s">
        <v>131</v>
      </c>
      <c r="S638" s="103" t="n">
        <v>1539</v>
      </c>
      <c r="T638" s="103" t="n">
        <v>1519</v>
      </c>
      <c r="U638" s="103" t="s">
        <v>1357</v>
      </c>
      <c r="V638" s="103" t="n">
        <v>2025</v>
      </c>
    </row>
    <row r="639" customFormat="false" ht="14.25" hidden="false" customHeight="false" outlineLevel="0" collapsed="false">
      <c r="A639" s="103" t="s">
        <v>1358</v>
      </c>
      <c r="B639" s="103" t="s">
        <v>627</v>
      </c>
      <c r="C639" s="104" t="n">
        <v>45870</v>
      </c>
      <c r="D639" s="103" t="s">
        <v>102</v>
      </c>
      <c r="E639" s="103" t="n">
        <v>29</v>
      </c>
      <c r="F639" s="103" t="s">
        <v>171</v>
      </c>
      <c r="G639" s="103" t="s">
        <v>83</v>
      </c>
      <c r="H639" s="103" t="n">
        <v>3.8</v>
      </c>
      <c r="I639" s="103" t="n">
        <v>949</v>
      </c>
      <c r="J639" s="103" t="n">
        <v>60</v>
      </c>
      <c r="K639" s="103" t="n">
        <v>20</v>
      </c>
      <c r="L639" s="103" t="s">
        <v>93</v>
      </c>
      <c r="M639" s="103" t="s">
        <v>66</v>
      </c>
      <c r="N639" s="103" t="s">
        <v>77</v>
      </c>
      <c r="O639" s="103" t="n">
        <v>29</v>
      </c>
      <c r="P639" s="103" t="n">
        <v>5.3</v>
      </c>
      <c r="Q639" s="103" t="n">
        <v>4</v>
      </c>
      <c r="R639" s="103" t="s">
        <v>138</v>
      </c>
      <c r="S639" s="103" t="n">
        <v>1009</v>
      </c>
      <c r="T639" s="103" t="n">
        <v>989</v>
      </c>
      <c r="U639" s="103" t="s">
        <v>1357</v>
      </c>
      <c r="V639" s="103" t="n">
        <v>2025</v>
      </c>
    </row>
    <row r="640" customFormat="false" ht="14.25" hidden="false" customHeight="false" outlineLevel="0" collapsed="false">
      <c r="A640" s="103" t="s">
        <v>1359</v>
      </c>
      <c r="B640" s="103" t="s">
        <v>628</v>
      </c>
      <c r="C640" s="104" t="n">
        <v>45870</v>
      </c>
      <c r="D640" s="103" t="s">
        <v>108</v>
      </c>
      <c r="E640" s="103" t="n">
        <v>49</v>
      </c>
      <c r="F640" s="103" t="s">
        <v>170</v>
      </c>
      <c r="G640" s="103" t="s">
        <v>86</v>
      </c>
      <c r="H640" s="103" t="n">
        <v>2.8</v>
      </c>
      <c r="I640" s="103" t="n">
        <v>1652</v>
      </c>
      <c r="J640" s="103" t="n">
        <v>20</v>
      </c>
      <c r="K640" s="103" t="n">
        <v>0</v>
      </c>
      <c r="L640" s="103" t="s">
        <v>96</v>
      </c>
      <c r="M640" s="103" t="s">
        <v>66</v>
      </c>
      <c r="N640" s="103" t="s">
        <v>77</v>
      </c>
      <c r="O640" s="103" t="n">
        <v>65</v>
      </c>
      <c r="P640" s="103" t="n">
        <v>9.9</v>
      </c>
      <c r="Q640" s="103" t="n">
        <v>4</v>
      </c>
      <c r="R640" s="103" t="s">
        <v>140</v>
      </c>
      <c r="S640" s="103" t="n">
        <v>1672</v>
      </c>
      <c r="T640" s="103" t="n">
        <v>1672</v>
      </c>
      <c r="U640" s="103" t="s">
        <v>1357</v>
      </c>
      <c r="V640" s="103" t="n">
        <v>2025</v>
      </c>
    </row>
    <row r="641" customFormat="false" ht="14.25" hidden="false" customHeight="false" outlineLevel="0" collapsed="false">
      <c r="A641" s="103" t="s">
        <v>1360</v>
      </c>
      <c r="B641" s="103" t="s">
        <v>629</v>
      </c>
      <c r="C641" s="104" t="n">
        <v>45871</v>
      </c>
      <c r="D641" s="103" t="s">
        <v>111</v>
      </c>
      <c r="E641" s="103" t="n">
        <v>32</v>
      </c>
      <c r="F641" s="103" t="s">
        <v>170</v>
      </c>
      <c r="G641" s="103" t="s">
        <v>83</v>
      </c>
      <c r="H641" s="103" t="n">
        <v>3.6</v>
      </c>
      <c r="I641" s="103" t="n">
        <v>1679</v>
      </c>
      <c r="J641" s="103" t="n">
        <v>40</v>
      </c>
      <c r="K641" s="103" t="n">
        <v>200</v>
      </c>
      <c r="L641" s="103" t="s">
        <v>93</v>
      </c>
      <c r="M641" s="103" t="s">
        <v>67</v>
      </c>
      <c r="N641" s="103" t="s">
        <v>77</v>
      </c>
      <c r="O641" s="103" t="n">
        <v>38</v>
      </c>
      <c r="P641" s="103" t="n">
        <v>11.5</v>
      </c>
      <c r="Q641" s="103" t="n">
        <v>4</v>
      </c>
      <c r="R641" s="103" t="s">
        <v>138</v>
      </c>
      <c r="S641" s="103" t="n">
        <v>1719</v>
      </c>
      <c r="T641" s="103" t="n">
        <v>1519</v>
      </c>
      <c r="U641" s="103" t="s">
        <v>1357</v>
      </c>
      <c r="V641" s="103" t="n">
        <v>2025</v>
      </c>
    </row>
    <row r="642" customFormat="false" ht="14.25" hidden="false" customHeight="false" outlineLevel="0" collapsed="false">
      <c r="A642" s="103" t="s">
        <v>1361</v>
      </c>
      <c r="B642" s="103" t="s">
        <v>630</v>
      </c>
      <c r="C642" s="104" t="n">
        <v>45871</v>
      </c>
      <c r="D642" s="103" t="s">
        <v>111</v>
      </c>
      <c r="E642" s="103" t="n">
        <v>33</v>
      </c>
      <c r="F642" s="103" t="s">
        <v>170</v>
      </c>
      <c r="G642" s="103" t="s">
        <v>81</v>
      </c>
      <c r="H642" s="103" t="n">
        <v>3.3</v>
      </c>
      <c r="I642" s="103" t="n">
        <v>398</v>
      </c>
      <c r="J642" s="103" t="n">
        <v>50</v>
      </c>
      <c r="K642" s="103" t="n">
        <v>75</v>
      </c>
      <c r="L642" s="103" t="s">
        <v>93</v>
      </c>
      <c r="M642" s="103" t="s">
        <v>65</v>
      </c>
      <c r="N642" s="103" t="s">
        <v>77</v>
      </c>
      <c r="O642" s="103" t="n">
        <v>66</v>
      </c>
      <c r="P642" s="103" t="n">
        <v>11.4</v>
      </c>
      <c r="Q642" s="103" t="n">
        <v>3</v>
      </c>
      <c r="R642" s="103" t="s">
        <v>135</v>
      </c>
      <c r="S642" s="103" t="n">
        <v>448</v>
      </c>
      <c r="T642" s="103" t="n">
        <v>373</v>
      </c>
      <c r="U642" s="103" t="s">
        <v>1357</v>
      </c>
      <c r="V642" s="103" t="n">
        <v>2025</v>
      </c>
    </row>
    <row r="643" customFormat="false" ht="14.25" hidden="false" customHeight="false" outlineLevel="0" collapsed="false">
      <c r="A643" s="103" t="s">
        <v>1362</v>
      </c>
      <c r="B643" s="103" t="s">
        <v>631</v>
      </c>
      <c r="C643" s="104" t="n">
        <v>45871</v>
      </c>
      <c r="D643" s="103" t="s">
        <v>110</v>
      </c>
      <c r="E643" s="103" t="n">
        <v>39</v>
      </c>
      <c r="F643" s="103" t="s">
        <v>171</v>
      </c>
      <c r="G643" s="103" t="s">
        <v>90</v>
      </c>
      <c r="H643" s="103" t="n">
        <v>4.8</v>
      </c>
      <c r="I643" s="103" t="n">
        <v>124</v>
      </c>
      <c r="J643" s="103" t="n">
        <v>30</v>
      </c>
      <c r="K643" s="103" t="n">
        <v>10</v>
      </c>
      <c r="L643" s="103" t="s">
        <v>94</v>
      </c>
      <c r="M643" s="103" t="s">
        <v>65</v>
      </c>
      <c r="N643" s="103" t="s">
        <v>77</v>
      </c>
      <c r="O643" s="103" t="n">
        <v>60</v>
      </c>
      <c r="P643" s="103" t="n">
        <v>7.9</v>
      </c>
      <c r="Q643" s="103" t="n">
        <v>4</v>
      </c>
      <c r="R643" s="103" t="s">
        <v>132</v>
      </c>
      <c r="S643" s="103" t="n">
        <v>154</v>
      </c>
      <c r="T643" s="103" t="n">
        <v>144</v>
      </c>
      <c r="U643" s="103" t="s">
        <v>1357</v>
      </c>
      <c r="V643" s="103" t="n">
        <v>2025</v>
      </c>
    </row>
    <row r="644" customFormat="false" ht="14.25" hidden="false" customHeight="false" outlineLevel="0" collapsed="false">
      <c r="A644" s="103" t="s">
        <v>1363</v>
      </c>
      <c r="B644" s="103" t="s">
        <v>632</v>
      </c>
      <c r="C644" s="104" t="n">
        <v>45872</v>
      </c>
      <c r="D644" s="103" t="s">
        <v>101</v>
      </c>
      <c r="E644" s="103" t="n">
        <v>45</v>
      </c>
      <c r="F644" s="103" t="s">
        <v>170</v>
      </c>
      <c r="G644" s="103" t="s">
        <v>90</v>
      </c>
      <c r="H644" s="103" t="n">
        <v>2.7</v>
      </c>
      <c r="I644" s="103" t="n">
        <v>1773</v>
      </c>
      <c r="J644" s="103" t="n">
        <v>30</v>
      </c>
      <c r="K644" s="103" t="n">
        <v>150</v>
      </c>
      <c r="L644" s="103" t="s">
        <v>93</v>
      </c>
      <c r="M644" s="103" t="s">
        <v>67</v>
      </c>
      <c r="N644" s="103" t="s">
        <v>78</v>
      </c>
      <c r="O644" s="103" t="n">
        <v>22</v>
      </c>
      <c r="P644" s="103" t="n">
        <v>12.3</v>
      </c>
      <c r="Q644" s="103" t="n">
        <v>2</v>
      </c>
      <c r="R644" s="103" t="s">
        <v>139</v>
      </c>
      <c r="S644" s="103" t="n">
        <v>1803</v>
      </c>
      <c r="T644" s="103" t="n">
        <v>1653</v>
      </c>
      <c r="U644" s="103" t="s">
        <v>1357</v>
      </c>
      <c r="V644" s="103" t="n">
        <v>2025</v>
      </c>
    </row>
    <row r="645" customFormat="false" ht="14.25" hidden="false" customHeight="false" outlineLevel="0" collapsed="false">
      <c r="A645" s="103" t="s">
        <v>1364</v>
      </c>
      <c r="B645" s="103" t="s">
        <v>633</v>
      </c>
      <c r="C645" s="104" t="n">
        <v>45872</v>
      </c>
      <c r="D645" s="103" t="s">
        <v>109</v>
      </c>
      <c r="E645" s="103" t="n">
        <v>37</v>
      </c>
      <c r="F645" s="103" t="s">
        <v>170</v>
      </c>
      <c r="G645" s="103" t="s">
        <v>83</v>
      </c>
      <c r="H645" s="103" t="n">
        <v>4.2</v>
      </c>
      <c r="I645" s="103" t="n">
        <v>1642</v>
      </c>
      <c r="J645" s="103" t="n">
        <v>40</v>
      </c>
      <c r="K645" s="103" t="n">
        <v>200</v>
      </c>
      <c r="L645" s="103" t="s">
        <v>93</v>
      </c>
      <c r="M645" s="103" t="s">
        <v>65</v>
      </c>
      <c r="N645" s="103" t="s">
        <v>77</v>
      </c>
      <c r="O645" s="103" t="n">
        <v>19</v>
      </c>
      <c r="P645" s="103" t="n">
        <v>6.8</v>
      </c>
      <c r="Q645" s="103" t="n">
        <v>4</v>
      </c>
      <c r="R645" s="103" t="s">
        <v>134</v>
      </c>
      <c r="S645" s="103" t="n">
        <v>1682</v>
      </c>
      <c r="T645" s="103" t="n">
        <v>1482</v>
      </c>
      <c r="U645" s="103" t="s">
        <v>1357</v>
      </c>
      <c r="V645" s="103" t="n">
        <v>2025</v>
      </c>
    </row>
    <row r="646" customFormat="false" ht="14.25" hidden="false" customHeight="false" outlineLevel="0" collapsed="false">
      <c r="A646" s="103" t="s">
        <v>1365</v>
      </c>
      <c r="B646" s="103" t="s">
        <v>634</v>
      </c>
      <c r="C646" s="104" t="n">
        <v>45872</v>
      </c>
      <c r="D646" s="103" t="s">
        <v>104</v>
      </c>
      <c r="E646" s="103" t="n">
        <v>50</v>
      </c>
      <c r="F646" s="103" t="s">
        <v>170</v>
      </c>
      <c r="G646" s="103" t="s">
        <v>82</v>
      </c>
      <c r="H646" s="103" t="n">
        <v>3</v>
      </c>
      <c r="I646" s="103" t="n">
        <v>213</v>
      </c>
      <c r="J646" s="103" t="n">
        <v>20</v>
      </c>
      <c r="K646" s="103" t="n">
        <v>200</v>
      </c>
      <c r="L646" s="103" t="s">
        <v>93</v>
      </c>
      <c r="M646" s="103" t="s">
        <v>65</v>
      </c>
      <c r="N646" s="103" t="s">
        <v>77</v>
      </c>
      <c r="O646" s="103" t="n">
        <v>65</v>
      </c>
      <c r="P646" s="103" t="n">
        <v>2.3</v>
      </c>
      <c r="Q646" s="103" t="n">
        <v>1</v>
      </c>
      <c r="R646" s="103" t="s">
        <v>134</v>
      </c>
      <c r="S646" s="103" t="n">
        <v>233</v>
      </c>
      <c r="T646" s="103" t="n">
        <v>33</v>
      </c>
      <c r="U646" s="103" t="s">
        <v>1357</v>
      </c>
      <c r="V646" s="103" t="n">
        <v>2025</v>
      </c>
    </row>
    <row r="647" customFormat="false" ht="14.25" hidden="false" customHeight="false" outlineLevel="0" collapsed="false">
      <c r="A647" s="103" t="s">
        <v>1366</v>
      </c>
      <c r="B647" s="103" t="s">
        <v>635</v>
      </c>
      <c r="C647" s="104" t="n">
        <v>45873</v>
      </c>
      <c r="D647" s="103" t="s">
        <v>104</v>
      </c>
      <c r="E647" s="103" t="n">
        <v>27</v>
      </c>
      <c r="F647" s="103" t="s">
        <v>171</v>
      </c>
      <c r="G647" s="103" t="s">
        <v>81</v>
      </c>
      <c r="H647" s="103" t="n">
        <v>3.3</v>
      </c>
      <c r="I647" s="103" t="n">
        <v>1519</v>
      </c>
      <c r="J647" s="103" t="n">
        <v>30</v>
      </c>
      <c r="K647" s="103" t="n">
        <v>10</v>
      </c>
      <c r="L647" s="103" t="s">
        <v>94</v>
      </c>
      <c r="M647" s="103" t="s">
        <v>65</v>
      </c>
      <c r="N647" s="103" t="s">
        <v>77</v>
      </c>
      <c r="O647" s="103" t="n">
        <v>18</v>
      </c>
      <c r="P647" s="103" t="n">
        <v>8.7</v>
      </c>
      <c r="Q647" s="103" t="n">
        <v>3</v>
      </c>
      <c r="R647" s="103" t="s">
        <v>140</v>
      </c>
      <c r="S647" s="103" t="n">
        <v>1549</v>
      </c>
      <c r="T647" s="103" t="n">
        <v>1539</v>
      </c>
      <c r="U647" s="103" t="s">
        <v>1357</v>
      </c>
      <c r="V647" s="103" t="n">
        <v>2025</v>
      </c>
    </row>
    <row r="648" customFormat="false" ht="14.25" hidden="false" customHeight="false" outlineLevel="0" collapsed="false">
      <c r="A648" s="103" t="s">
        <v>1367</v>
      </c>
      <c r="B648" s="103" t="s">
        <v>636</v>
      </c>
      <c r="C648" s="104" t="n">
        <v>45873</v>
      </c>
      <c r="D648" s="103" t="s">
        <v>101</v>
      </c>
      <c r="E648" s="103" t="n">
        <v>57</v>
      </c>
      <c r="F648" s="103" t="s">
        <v>170</v>
      </c>
      <c r="G648" s="103" t="s">
        <v>81</v>
      </c>
      <c r="H648" s="103" t="n">
        <v>3.5</v>
      </c>
      <c r="I648" s="103" t="n">
        <v>889</v>
      </c>
      <c r="J648" s="103" t="n">
        <v>20</v>
      </c>
      <c r="K648" s="103" t="n">
        <v>10</v>
      </c>
      <c r="L648" s="103" t="s">
        <v>96</v>
      </c>
      <c r="M648" s="103" t="s">
        <v>65</v>
      </c>
      <c r="N648" s="103" t="s">
        <v>77</v>
      </c>
      <c r="O648" s="103" t="n">
        <v>28</v>
      </c>
      <c r="P648" s="103" t="n">
        <v>14.3</v>
      </c>
      <c r="Q648" s="103" t="n">
        <v>5</v>
      </c>
      <c r="R648" s="103" t="s">
        <v>142</v>
      </c>
      <c r="S648" s="103" t="n">
        <v>909</v>
      </c>
      <c r="T648" s="103" t="n">
        <v>899</v>
      </c>
      <c r="U648" s="103" t="s">
        <v>1357</v>
      </c>
      <c r="V648" s="103" t="n">
        <v>2025</v>
      </c>
    </row>
    <row r="649" customFormat="false" ht="14.25" hidden="false" customHeight="false" outlineLevel="0" collapsed="false">
      <c r="A649" s="103" t="s">
        <v>1368</v>
      </c>
      <c r="B649" s="103" t="s">
        <v>637</v>
      </c>
      <c r="C649" s="104" t="n">
        <v>45873</v>
      </c>
      <c r="D649" s="103" t="s">
        <v>100</v>
      </c>
      <c r="E649" s="103" t="n">
        <v>49</v>
      </c>
      <c r="F649" s="103" t="s">
        <v>171</v>
      </c>
      <c r="G649" s="103" t="s">
        <v>87</v>
      </c>
      <c r="H649" s="103" t="n">
        <v>4.8</v>
      </c>
      <c r="I649" s="103" t="n">
        <v>555</v>
      </c>
      <c r="J649" s="103" t="n">
        <v>60</v>
      </c>
      <c r="K649" s="103" t="n">
        <v>100</v>
      </c>
      <c r="L649" s="103" t="s">
        <v>96</v>
      </c>
      <c r="M649" s="103" t="s">
        <v>65</v>
      </c>
      <c r="N649" s="103" t="s">
        <v>77</v>
      </c>
      <c r="O649" s="103" t="n">
        <v>30</v>
      </c>
      <c r="P649" s="103" t="n">
        <v>12</v>
      </c>
      <c r="Q649" s="103" t="n">
        <v>4</v>
      </c>
      <c r="R649" s="103" t="s">
        <v>139</v>
      </c>
      <c r="S649" s="103" t="n">
        <v>615</v>
      </c>
      <c r="T649" s="103" t="n">
        <v>515</v>
      </c>
      <c r="U649" s="103" t="s">
        <v>1357</v>
      </c>
      <c r="V649" s="103" t="n">
        <v>2025</v>
      </c>
    </row>
    <row r="650" customFormat="false" ht="14.25" hidden="false" customHeight="false" outlineLevel="0" collapsed="false">
      <c r="A650" s="103" t="s">
        <v>1369</v>
      </c>
      <c r="B650" s="103" t="s">
        <v>638</v>
      </c>
      <c r="C650" s="104" t="n">
        <v>45874</v>
      </c>
      <c r="D650" s="103" t="s">
        <v>107</v>
      </c>
      <c r="E650" s="103" t="n">
        <v>50</v>
      </c>
      <c r="F650" s="103" t="s">
        <v>171</v>
      </c>
      <c r="G650" s="103" t="s">
        <v>84</v>
      </c>
      <c r="H650" s="103" t="n">
        <v>3.1</v>
      </c>
      <c r="I650" s="103" t="n">
        <v>1596</v>
      </c>
      <c r="J650" s="103" t="n">
        <v>40</v>
      </c>
      <c r="K650" s="103" t="n">
        <v>30</v>
      </c>
      <c r="L650" s="103" t="s">
        <v>94</v>
      </c>
      <c r="M650" s="103" t="s">
        <v>65</v>
      </c>
      <c r="N650" s="103" t="s">
        <v>77</v>
      </c>
      <c r="O650" s="103" t="n">
        <v>34</v>
      </c>
      <c r="P650" s="103" t="n">
        <v>8.9</v>
      </c>
      <c r="Q650" s="103" t="n">
        <v>5</v>
      </c>
      <c r="R650" s="103" t="s">
        <v>142</v>
      </c>
      <c r="S650" s="103" t="n">
        <v>1636</v>
      </c>
      <c r="T650" s="103" t="n">
        <v>1606</v>
      </c>
      <c r="U650" s="103" t="s">
        <v>1357</v>
      </c>
      <c r="V650" s="103" t="n">
        <v>2025</v>
      </c>
    </row>
    <row r="651" customFormat="false" ht="14.25" hidden="false" customHeight="false" outlineLevel="0" collapsed="false">
      <c r="A651" s="103" t="s">
        <v>1370</v>
      </c>
      <c r="B651" s="103" t="s">
        <v>639</v>
      </c>
      <c r="C651" s="104" t="n">
        <v>45874</v>
      </c>
      <c r="D651" s="103" t="s">
        <v>108</v>
      </c>
      <c r="E651" s="103" t="n">
        <v>19</v>
      </c>
      <c r="F651" s="103" t="s">
        <v>171</v>
      </c>
      <c r="G651" s="103" t="s">
        <v>85</v>
      </c>
      <c r="H651" s="103" t="n">
        <v>2.7</v>
      </c>
      <c r="I651" s="103" t="n">
        <v>450</v>
      </c>
      <c r="J651" s="103" t="n">
        <v>20</v>
      </c>
      <c r="K651" s="103" t="n">
        <v>0</v>
      </c>
      <c r="L651" s="103" t="s">
        <v>93</v>
      </c>
      <c r="M651" s="103" t="s">
        <v>65</v>
      </c>
      <c r="N651" s="103" t="s">
        <v>77</v>
      </c>
      <c r="O651" s="103" t="n">
        <v>38</v>
      </c>
      <c r="P651" s="103" t="n">
        <v>9.9</v>
      </c>
      <c r="Q651" s="103" t="n">
        <v>5</v>
      </c>
      <c r="R651" s="103" t="s">
        <v>133</v>
      </c>
      <c r="S651" s="103" t="n">
        <v>470</v>
      </c>
      <c r="T651" s="103" t="n">
        <v>470</v>
      </c>
      <c r="U651" s="103" t="s">
        <v>1357</v>
      </c>
      <c r="V651" s="103" t="n">
        <v>2025</v>
      </c>
    </row>
    <row r="652" customFormat="false" ht="14.25" hidden="false" customHeight="false" outlineLevel="0" collapsed="false">
      <c r="A652" s="103" t="s">
        <v>1371</v>
      </c>
      <c r="B652" s="103" t="s">
        <v>640</v>
      </c>
      <c r="C652" s="104" t="n">
        <v>45874</v>
      </c>
      <c r="D652" s="103" t="s">
        <v>105</v>
      </c>
      <c r="E652" s="103" t="n">
        <v>50</v>
      </c>
      <c r="F652" s="103" t="s">
        <v>170</v>
      </c>
      <c r="G652" s="103" t="s">
        <v>85</v>
      </c>
      <c r="H652" s="103" t="n">
        <v>3.3</v>
      </c>
      <c r="I652" s="103" t="n">
        <v>1711</v>
      </c>
      <c r="J652" s="103" t="n">
        <v>60</v>
      </c>
      <c r="K652" s="103" t="n">
        <v>150</v>
      </c>
      <c r="L652" s="103" t="s">
        <v>94</v>
      </c>
      <c r="M652" s="103" t="s">
        <v>65</v>
      </c>
      <c r="N652" s="103" t="s">
        <v>77</v>
      </c>
      <c r="O652" s="103" t="n">
        <v>20</v>
      </c>
      <c r="P652" s="103" t="n">
        <v>14</v>
      </c>
      <c r="Q652" s="103" t="n">
        <v>5</v>
      </c>
      <c r="R652" s="103" t="s">
        <v>131</v>
      </c>
      <c r="S652" s="103" t="n">
        <v>1771</v>
      </c>
      <c r="T652" s="103" t="n">
        <v>1621</v>
      </c>
      <c r="U652" s="103" t="s">
        <v>1357</v>
      </c>
      <c r="V652" s="103" t="n">
        <v>2025</v>
      </c>
    </row>
    <row r="653" customFormat="false" ht="14.25" hidden="false" customHeight="false" outlineLevel="0" collapsed="false">
      <c r="A653" s="103" t="s">
        <v>1372</v>
      </c>
      <c r="B653" s="103" t="s">
        <v>641</v>
      </c>
      <c r="C653" s="104" t="n">
        <v>45875</v>
      </c>
      <c r="D653" s="103" t="s">
        <v>104</v>
      </c>
      <c r="E653" s="103" t="n">
        <v>50</v>
      </c>
      <c r="F653" s="103" t="s">
        <v>170</v>
      </c>
      <c r="G653" s="103" t="s">
        <v>82</v>
      </c>
      <c r="H653" s="103" t="n">
        <v>2.8</v>
      </c>
      <c r="I653" s="103" t="n">
        <v>465</v>
      </c>
      <c r="J653" s="103" t="n">
        <v>20</v>
      </c>
      <c r="K653" s="103" t="n">
        <v>10</v>
      </c>
      <c r="L653" s="103" t="s">
        <v>95</v>
      </c>
      <c r="M653" s="103" t="s">
        <v>66</v>
      </c>
      <c r="N653" s="103" t="s">
        <v>77</v>
      </c>
      <c r="O653" s="103" t="n">
        <v>69</v>
      </c>
      <c r="P653" s="103" t="n">
        <v>6.7</v>
      </c>
      <c r="Q653" s="103" t="n">
        <v>5</v>
      </c>
      <c r="R653" s="103" t="s">
        <v>132</v>
      </c>
      <c r="S653" s="103" t="n">
        <v>485</v>
      </c>
      <c r="T653" s="103" t="n">
        <v>475</v>
      </c>
      <c r="U653" s="103" t="s">
        <v>1357</v>
      </c>
      <c r="V653" s="103" t="n">
        <v>2025</v>
      </c>
    </row>
    <row r="654" customFormat="false" ht="14.25" hidden="false" customHeight="false" outlineLevel="0" collapsed="false">
      <c r="A654" s="103" t="s">
        <v>1373</v>
      </c>
      <c r="B654" s="103" t="s">
        <v>642</v>
      </c>
      <c r="C654" s="104" t="n">
        <v>45875</v>
      </c>
      <c r="D654" s="103" t="s">
        <v>109</v>
      </c>
      <c r="E654" s="103" t="n">
        <v>58</v>
      </c>
      <c r="F654" s="103" t="s">
        <v>171</v>
      </c>
      <c r="G654" s="103" t="s">
        <v>85</v>
      </c>
      <c r="H654" s="103" t="n">
        <v>2.8</v>
      </c>
      <c r="I654" s="103" t="n">
        <v>1151</v>
      </c>
      <c r="J654" s="103" t="n">
        <v>20</v>
      </c>
      <c r="K654" s="103" t="n">
        <v>20</v>
      </c>
      <c r="L654" s="103" t="s">
        <v>93</v>
      </c>
      <c r="M654" s="103" t="s">
        <v>65</v>
      </c>
      <c r="N654" s="103" t="s">
        <v>77</v>
      </c>
      <c r="O654" s="103" t="n">
        <v>45</v>
      </c>
      <c r="P654" s="103" t="n">
        <v>5.3</v>
      </c>
      <c r="Q654" s="103" t="n">
        <v>1</v>
      </c>
      <c r="R654" s="103" t="s">
        <v>134</v>
      </c>
      <c r="S654" s="103" t="n">
        <v>1171</v>
      </c>
      <c r="T654" s="103" t="n">
        <v>1151</v>
      </c>
      <c r="U654" s="103" t="s">
        <v>1357</v>
      </c>
      <c r="V654" s="103" t="n">
        <v>2025</v>
      </c>
    </row>
    <row r="655" customFormat="false" ht="14.25" hidden="false" customHeight="false" outlineLevel="0" collapsed="false">
      <c r="A655" s="103" t="s">
        <v>1374</v>
      </c>
      <c r="B655" s="103" t="s">
        <v>643</v>
      </c>
      <c r="C655" s="104" t="n">
        <v>45875</v>
      </c>
      <c r="D655" s="103" t="s">
        <v>110</v>
      </c>
      <c r="E655" s="103" t="n">
        <v>30</v>
      </c>
      <c r="F655" s="103" t="s">
        <v>171</v>
      </c>
      <c r="G655" s="103" t="s">
        <v>87</v>
      </c>
      <c r="H655" s="103" t="n">
        <v>3.9</v>
      </c>
      <c r="I655" s="103" t="n">
        <v>495</v>
      </c>
      <c r="J655" s="103" t="n">
        <v>30</v>
      </c>
      <c r="K655" s="103" t="n">
        <v>50</v>
      </c>
      <c r="L655" s="103" t="s">
        <v>93</v>
      </c>
      <c r="M655" s="103" t="s">
        <v>65</v>
      </c>
      <c r="N655" s="103" t="s">
        <v>77</v>
      </c>
      <c r="O655" s="103" t="n">
        <v>20</v>
      </c>
      <c r="P655" s="103" t="n">
        <v>14.7</v>
      </c>
      <c r="Q655" s="103" t="n">
        <v>5</v>
      </c>
      <c r="R655" s="103" t="s">
        <v>140</v>
      </c>
      <c r="S655" s="103" t="n">
        <v>525</v>
      </c>
      <c r="T655" s="103" t="n">
        <v>475</v>
      </c>
      <c r="U655" s="103" t="s">
        <v>1357</v>
      </c>
      <c r="V655" s="103" t="n">
        <v>2025</v>
      </c>
    </row>
    <row r="656" customFormat="false" ht="14.25" hidden="false" customHeight="false" outlineLevel="0" collapsed="false">
      <c r="A656" s="103" t="s">
        <v>1375</v>
      </c>
      <c r="B656" s="103" t="s">
        <v>644</v>
      </c>
      <c r="C656" s="104" t="n">
        <v>45876</v>
      </c>
      <c r="D656" s="103" t="s">
        <v>111</v>
      </c>
      <c r="E656" s="103" t="n">
        <v>47</v>
      </c>
      <c r="F656" s="103" t="s">
        <v>171</v>
      </c>
      <c r="G656" s="103" t="s">
        <v>89</v>
      </c>
      <c r="H656" s="103" t="n">
        <v>2.7</v>
      </c>
      <c r="I656" s="103" t="n">
        <v>1037</v>
      </c>
      <c r="J656" s="103" t="n">
        <v>0</v>
      </c>
      <c r="K656" s="103" t="n">
        <v>20</v>
      </c>
      <c r="L656" s="103" t="s">
        <v>93</v>
      </c>
      <c r="M656" s="103" t="s">
        <v>65</v>
      </c>
      <c r="N656" s="103" t="s">
        <v>77</v>
      </c>
      <c r="O656" s="103" t="n">
        <v>49</v>
      </c>
      <c r="P656" s="103" t="n">
        <v>13</v>
      </c>
      <c r="Q656" s="103" t="n">
        <v>5</v>
      </c>
      <c r="R656" s="103" t="s">
        <v>138</v>
      </c>
      <c r="S656" s="103" t="n">
        <v>1037</v>
      </c>
      <c r="T656" s="103" t="n">
        <v>1017</v>
      </c>
      <c r="U656" s="103" t="s">
        <v>1357</v>
      </c>
      <c r="V656" s="103" t="n">
        <v>2025</v>
      </c>
    </row>
    <row r="657" customFormat="false" ht="14.25" hidden="false" customHeight="false" outlineLevel="0" collapsed="false">
      <c r="A657" s="103" t="s">
        <v>1376</v>
      </c>
      <c r="B657" s="103" t="s">
        <v>645</v>
      </c>
      <c r="C657" s="104" t="n">
        <v>45876</v>
      </c>
      <c r="D657" s="103" t="s">
        <v>104</v>
      </c>
      <c r="E657" s="103" t="n">
        <v>50</v>
      </c>
      <c r="F657" s="103" t="s">
        <v>171</v>
      </c>
      <c r="G657" s="103" t="s">
        <v>85</v>
      </c>
      <c r="H657" s="103" t="n">
        <v>2.6</v>
      </c>
      <c r="I657" s="103" t="n">
        <v>1269</v>
      </c>
      <c r="J657" s="103" t="n">
        <v>50</v>
      </c>
      <c r="K657" s="103" t="n">
        <v>100</v>
      </c>
      <c r="L657" s="103" t="s">
        <v>95</v>
      </c>
      <c r="M657" s="103" t="s">
        <v>66</v>
      </c>
      <c r="N657" s="103" t="s">
        <v>77</v>
      </c>
      <c r="O657" s="103" t="n">
        <v>29</v>
      </c>
      <c r="P657" s="103" t="n">
        <v>5.2</v>
      </c>
      <c r="Q657" s="103" t="n">
        <v>5</v>
      </c>
      <c r="R657" s="103" t="s">
        <v>131</v>
      </c>
      <c r="S657" s="103" t="n">
        <v>1319</v>
      </c>
      <c r="T657" s="103" t="n">
        <v>1219</v>
      </c>
      <c r="U657" s="103" t="s">
        <v>1357</v>
      </c>
      <c r="V657" s="103" t="n">
        <v>2025</v>
      </c>
    </row>
    <row r="658" customFormat="false" ht="14.25" hidden="false" customHeight="false" outlineLevel="0" collapsed="false">
      <c r="A658" s="103" t="s">
        <v>1377</v>
      </c>
      <c r="B658" s="103" t="s">
        <v>646</v>
      </c>
      <c r="C658" s="104" t="n">
        <v>45876</v>
      </c>
      <c r="D658" s="103" t="s">
        <v>110</v>
      </c>
      <c r="E658" s="103" t="n">
        <v>30</v>
      </c>
      <c r="F658" s="103" t="s">
        <v>171</v>
      </c>
      <c r="G658" s="103" t="s">
        <v>81</v>
      </c>
      <c r="H658" s="103" t="n">
        <v>4.3</v>
      </c>
      <c r="I658" s="103" t="n">
        <v>440</v>
      </c>
      <c r="J658" s="103" t="n">
        <v>20</v>
      </c>
      <c r="K658" s="103" t="n">
        <v>100</v>
      </c>
      <c r="L658" s="103" t="s">
        <v>93</v>
      </c>
      <c r="M658" s="103" t="s">
        <v>65</v>
      </c>
      <c r="N658" s="103" t="s">
        <v>77</v>
      </c>
      <c r="O658" s="103" t="n">
        <v>43</v>
      </c>
      <c r="P658" s="103" t="n">
        <v>7.2</v>
      </c>
      <c r="Q658" s="103" t="n">
        <v>3</v>
      </c>
      <c r="R658" s="103" t="s">
        <v>134</v>
      </c>
      <c r="S658" s="103" t="n">
        <v>460</v>
      </c>
      <c r="T658" s="103" t="n">
        <v>360</v>
      </c>
      <c r="U658" s="103" t="s">
        <v>1357</v>
      </c>
      <c r="V658" s="103" t="n">
        <v>2025</v>
      </c>
    </row>
    <row r="659" customFormat="false" ht="14.25" hidden="false" customHeight="false" outlineLevel="0" collapsed="false">
      <c r="A659" s="103" t="s">
        <v>1378</v>
      </c>
      <c r="B659" s="103" t="s">
        <v>647</v>
      </c>
      <c r="C659" s="104" t="n">
        <v>45877</v>
      </c>
      <c r="D659" s="103" t="s">
        <v>103</v>
      </c>
      <c r="E659" s="103" t="n">
        <v>43</v>
      </c>
      <c r="F659" s="103" t="s">
        <v>171</v>
      </c>
      <c r="G659" s="103" t="s">
        <v>89</v>
      </c>
      <c r="H659" s="103" t="n">
        <v>3.4</v>
      </c>
      <c r="I659" s="103" t="n">
        <v>995</v>
      </c>
      <c r="J659" s="103" t="n">
        <v>20</v>
      </c>
      <c r="K659" s="103" t="n">
        <v>10</v>
      </c>
      <c r="L659" s="103" t="s">
        <v>96</v>
      </c>
      <c r="M659" s="103" t="s">
        <v>65</v>
      </c>
      <c r="N659" s="103" t="s">
        <v>77</v>
      </c>
      <c r="O659" s="103" t="n">
        <v>17</v>
      </c>
      <c r="P659" s="103" t="n">
        <v>6.5</v>
      </c>
      <c r="Q659" s="103" t="n">
        <v>4</v>
      </c>
      <c r="R659" s="103" t="s">
        <v>138</v>
      </c>
      <c r="S659" s="103" t="n">
        <v>1015</v>
      </c>
      <c r="T659" s="103" t="n">
        <v>1005</v>
      </c>
      <c r="U659" s="103" t="s">
        <v>1357</v>
      </c>
      <c r="V659" s="103" t="n">
        <v>2025</v>
      </c>
    </row>
    <row r="660" customFormat="false" ht="14.25" hidden="false" customHeight="false" outlineLevel="0" collapsed="false">
      <c r="A660" s="103" t="s">
        <v>1379</v>
      </c>
      <c r="B660" s="103" t="s">
        <v>648</v>
      </c>
      <c r="C660" s="104" t="n">
        <v>45877</v>
      </c>
      <c r="D660" s="103" t="s">
        <v>103</v>
      </c>
      <c r="E660" s="103" t="n">
        <v>39</v>
      </c>
      <c r="F660" s="103" t="s">
        <v>170</v>
      </c>
      <c r="G660" s="103" t="s">
        <v>85</v>
      </c>
      <c r="H660" s="103" t="n">
        <v>2.8</v>
      </c>
      <c r="I660" s="103" t="n">
        <v>908</v>
      </c>
      <c r="J660" s="103" t="n">
        <v>20</v>
      </c>
      <c r="K660" s="103" t="n">
        <v>100</v>
      </c>
      <c r="L660" s="103" t="s">
        <v>93</v>
      </c>
      <c r="M660" s="103" t="s">
        <v>65</v>
      </c>
      <c r="N660" s="103" t="s">
        <v>77</v>
      </c>
      <c r="O660" s="103" t="n">
        <v>25</v>
      </c>
      <c r="P660" s="103" t="n">
        <v>2.7</v>
      </c>
      <c r="Q660" s="103" t="n">
        <v>3</v>
      </c>
      <c r="R660" s="103" t="s">
        <v>133</v>
      </c>
      <c r="S660" s="103" t="n">
        <v>928</v>
      </c>
      <c r="T660" s="103" t="n">
        <v>828</v>
      </c>
      <c r="U660" s="103" t="s">
        <v>1357</v>
      </c>
      <c r="V660" s="103" t="n">
        <v>2025</v>
      </c>
    </row>
    <row r="661" customFormat="false" ht="14.25" hidden="false" customHeight="false" outlineLevel="0" collapsed="false">
      <c r="A661" s="103" t="s">
        <v>1380</v>
      </c>
      <c r="B661" s="103" t="s">
        <v>649</v>
      </c>
      <c r="C661" s="104" t="n">
        <v>45877</v>
      </c>
      <c r="D661" s="103" t="s">
        <v>107</v>
      </c>
      <c r="E661" s="103" t="n">
        <v>56</v>
      </c>
      <c r="F661" s="103" t="s">
        <v>171</v>
      </c>
      <c r="G661" s="103" t="s">
        <v>81</v>
      </c>
      <c r="H661" s="103" t="n">
        <v>3.1</v>
      </c>
      <c r="I661" s="103" t="n">
        <v>239</v>
      </c>
      <c r="J661" s="103" t="n">
        <v>0</v>
      </c>
      <c r="K661" s="103" t="n">
        <v>75</v>
      </c>
      <c r="L661" s="103" t="s">
        <v>93</v>
      </c>
      <c r="M661" s="103" t="s">
        <v>65</v>
      </c>
      <c r="N661" s="103" t="s">
        <v>77</v>
      </c>
      <c r="O661" s="103" t="n">
        <v>17</v>
      </c>
      <c r="P661" s="103" t="n">
        <v>14.4</v>
      </c>
      <c r="Q661" s="103" t="n">
        <v>5</v>
      </c>
      <c r="R661" s="103" t="s">
        <v>142</v>
      </c>
      <c r="S661" s="103" t="n">
        <v>239</v>
      </c>
      <c r="T661" s="103" t="n">
        <v>164</v>
      </c>
      <c r="U661" s="103" t="s">
        <v>1357</v>
      </c>
      <c r="V661" s="103" t="n">
        <v>2025</v>
      </c>
    </row>
    <row r="662" customFormat="false" ht="14.25" hidden="false" customHeight="false" outlineLevel="0" collapsed="false">
      <c r="A662" s="103" t="s">
        <v>1381</v>
      </c>
      <c r="B662" s="103" t="s">
        <v>650</v>
      </c>
      <c r="C662" s="104" t="n">
        <v>45878</v>
      </c>
      <c r="D662" s="103" t="s">
        <v>102</v>
      </c>
      <c r="E662" s="103" t="n">
        <v>19</v>
      </c>
      <c r="F662" s="103" t="s">
        <v>171</v>
      </c>
      <c r="G662" s="103" t="s">
        <v>81</v>
      </c>
      <c r="H662" s="103" t="n">
        <v>4.1</v>
      </c>
      <c r="I662" s="103" t="n">
        <v>1495</v>
      </c>
      <c r="J662" s="103" t="n">
        <v>60</v>
      </c>
      <c r="K662" s="103" t="n">
        <v>200</v>
      </c>
      <c r="L662" s="103" t="s">
        <v>94</v>
      </c>
      <c r="M662" s="103" t="s">
        <v>67</v>
      </c>
      <c r="N662" s="103" t="s">
        <v>77</v>
      </c>
      <c r="O662" s="103" t="n">
        <v>42</v>
      </c>
      <c r="P662" s="103" t="n">
        <v>6.4</v>
      </c>
      <c r="Q662" s="103" t="n">
        <v>5</v>
      </c>
      <c r="R662" s="103" t="s">
        <v>138</v>
      </c>
      <c r="S662" s="103" t="n">
        <v>1555</v>
      </c>
      <c r="T662" s="103" t="n">
        <v>1355</v>
      </c>
      <c r="U662" s="103" t="s">
        <v>1357</v>
      </c>
      <c r="V662" s="103" t="n">
        <v>2025</v>
      </c>
    </row>
    <row r="663" customFormat="false" ht="14.25" hidden="false" customHeight="false" outlineLevel="0" collapsed="false">
      <c r="A663" s="103" t="s">
        <v>1382</v>
      </c>
      <c r="B663" s="103" t="s">
        <v>651</v>
      </c>
      <c r="C663" s="104" t="n">
        <v>45878</v>
      </c>
      <c r="D663" s="103" t="s">
        <v>105</v>
      </c>
      <c r="E663" s="103" t="n">
        <v>55</v>
      </c>
      <c r="F663" s="103" t="s">
        <v>171</v>
      </c>
      <c r="G663" s="103" t="s">
        <v>83</v>
      </c>
      <c r="H663" s="103" t="n">
        <v>3.2</v>
      </c>
      <c r="I663" s="103" t="n">
        <v>684</v>
      </c>
      <c r="J663" s="103" t="n">
        <v>40</v>
      </c>
      <c r="K663" s="103" t="n">
        <v>200</v>
      </c>
      <c r="L663" s="103" t="s">
        <v>94</v>
      </c>
      <c r="M663" s="103" t="s">
        <v>65</v>
      </c>
      <c r="N663" s="103" t="s">
        <v>77</v>
      </c>
      <c r="O663" s="103" t="n">
        <v>24</v>
      </c>
      <c r="P663" s="103" t="n">
        <v>13.2</v>
      </c>
      <c r="Q663" s="103" t="n">
        <v>4</v>
      </c>
      <c r="R663" s="103" t="s">
        <v>131</v>
      </c>
      <c r="S663" s="103" t="n">
        <v>724</v>
      </c>
      <c r="T663" s="103" t="n">
        <v>524</v>
      </c>
      <c r="U663" s="103" t="s">
        <v>1357</v>
      </c>
      <c r="V663" s="103" t="n">
        <v>2025</v>
      </c>
    </row>
    <row r="664" customFormat="false" ht="14.25" hidden="false" customHeight="false" outlineLevel="0" collapsed="false">
      <c r="A664" s="103" t="s">
        <v>1383</v>
      </c>
      <c r="B664" s="103" t="s">
        <v>652</v>
      </c>
      <c r="C664" s="104" t="n">
        <v>45878</v>
      </c>
      <c r="D664" s="103" t="s">
        <v>100</v>
      </c>
      <c r="E664" s="103" t="n">
        <v>56</v>
      </c>
      <c r="F664" s="103" t="s">
        <v>170</v>
      </c>
      <c r="G664" s="103" t="s">
        <v>90</v>
      </c>
      <c r="H664" s="103" t="n">
        <v>3.7</v>
      </c>
      <c r="I664" s="103" t="n">
        <v>1085</v>
      </c>
      <c r="J664" s="103" t="n">
        <v>30</v>
      </c>
      <c r="K664" s="103" t="n">
        <v>10</v>
      </c>
      <c r="L664" s="103" t="s">
        <v>93</v>
      </c>
      <c r="M664" s="103" t="s">
        <v>65</v>
      </c>
      <c r="N664" s="103" t="s">
        <v>77</v>
      </c>
      <c r="O664" s="103" t="n">
        <v>64</v>
      </c>
      <c r="P664" s="103" t="n">
        <v>3.2</v>
      </c>
      <c r="Q664" s="103" t="n">
        <v>4</v>
      </c>
      <c r="R664" s="103" t="s">
        <v>138</v>
      </c>
      <c r="S664" s="103" t="n">
        <v>1115</v>
      </c>
      <c r="T664" s="103" t="n">
        <v>1105</v>
      </c>
      <c r="U664" s="103" t="s">
        <v>1357</v>
      </c>
      <c r="V664" s="103" t="n">
        <v>2025</v>
      </c>
    </row>
    <row r="665" customFormat="false" ht="14.25" hidden="false" customHeight="false" outlineLevel="0" collapsed="false">
      <c r="A665" s="103" t="s">
        <v>1384</v>
      </c>
      <c r="B665" s="103" t="s">
        <v>653</v>
      </c>
      <c r="C665" s="104" t="n">
        <v>45879</v>
      </c>
      <c r="D665" s="103" t="s">
        <v>107</v>
      </c>
      <c r="E665" s="103" t="n">
        <v>43</v>
      </c>
      <c r="F665" s="103" t="s">
        <v>170</v>
      </c>
      <c r="G665" s="103" t="s">
        <v>82</v>
      </c>
      <c r="H665" s="103" t="n">
        <v>2.8</v>
      </c>
      <c r="I665" s="103" t="n">
        <v>985</v>
      </c>
      <c r="J665" s="103" t="n">
        <v>0</v>
      </c>
      <c r="K665" s="103" t="n">
        <v>100</v>
      </c>
      <c r="L665" s="103" t="s">
        <v>93</v>
      </c>
      <c r="M665" s="103" t="s">
        <v>65</v>
      </c>
      <c r="N665" s="103" t="s">
        <v>77</v>
      </c>
      <c r="O665" s="103" t="n">
        <v>47</v>
      </c>
      <c r="P665" s="103" t="n">
        <v>8.4</v>
      </c>
      <c r="Q665" s="103" t="n">
        <v>5</v>
      </c>
      <c r="R665" s="103" t="s">
        <v>133</v>
      </c>
      <c r="S665" s="103" t="n">
        <v>985</v>
      </c>
      <c r="T665" s="103" t="n">
        <v>885</v>
      </c>
      <c r="U665" s="103" t="s">
        <v>1357</v>
      </c>
      <c r="V665" s="103" t="n">
        <v>2025</v>
      </c>
    </row>
    <row r="666" customFormat="false" ht="14.25" hidden="false" customHeight="false" outlineLevel="0" collapsed="false">
      <c r="A666" s="103" t="s">
        <v>1385</v>
      </c>
      <c r="B666" s="103" t="s">
        <v>654</v>
      </c>
      <c r="C666" s="104" t="n">
        <v>45879</v>
      </c>
      <c r="D666" s="103" t="s">
        <v>106</v>
      </c>
      <c r="E666" s="103" t="n">
        <v>32</v>
      </c>
      <c r="F666" s="103" t="s">
        <v>170</v>
      </c>
      <c r="G666" s="103" t="s">
        <v>87</v>
      </c>
      <c r="H666" s="103" t="n">
        <v>4</v>
      </c>
      <c r="I666" s="103" t="n">
        <v>982</v>
      </c>
      <c r="J666" s="103" t="n">
        <v>60</v>
      </c>
      <c r="K666" s="103" t="n">
        <v>50</v>
      </c>
      <c r="L666" s="103" t="s">
        <v>93</v>
      </c>
      <c r="M666" s="103" t="s">
        <v>65</v>
      </c>
      <c r="N666" s="103" t="s">
        <v>77</v>
      </c>
      <c r="O666" s="103" t="n">
        <v>62</v>
      </c>
      <c r="P666" s="103" t="n">
        <v>0.8</v>
      </c>
      <c r="Q666" s="103" t="n">
        <v>4</v>
      </c>
      <c r="R666" s="103" t="s">
        <v>132</v>
      </c>
      <c r="S666" s="103" t="n">
        <v>1042</v>
      </c>
      <c r="T666" s="103" t="n">
        <v>992</v>
      </c>
      <c r="U666" s="103" t="s">
        <v>1357</v>
      </c>
      <c r="V666" s="103" t="n">
        <v>2025</v>
      </c>
    </row>
    <row r="667" customFormat="false" ht="14.25" hidden="false" customHeight="false" outlineLevel="0" collapsed="false">
      <c r="A667" s="103" t="s">
        <v>1386</v>
      </c>
      <c r="B667" s="103" t="s">
        <v>655</v>
      </c>
      <c r="C667" s="104" t="n">
        <v>45879</v>
      </c>
      <c r="D667" s="103" t="s">
        <v>100</v>
      </c>
      <c r="E667" s="103" t="n">
        <v>51</v>
      </c>
      <c r="F667" s="103" t="s">
        <v>171</v>
      </c>
      <c r="G667" s="103" t="s">
        <v>86</v>
      </c>
      <c r="H667" s="103" t="n">
        <v>3.3</v>
      </c>
      <c r="I667" s="103" t="n">
        <v>300</v>
      </c>
      <c r="J667" s="103" t="n">
        <v>20</v>
      </c>
      <c r="K667" s="103" t="n">
        <v>75</v>
      </c>
      <c r="L667" s="103" t="s">
        <v>93</v>
      </c>
      <c r="M667" s="103" t="s">
        <v>65</v>
      </c>
      <c r="N667" s="103" t="s">
        <v>77</v>
      </c>
      <c r="O667" s="103" t="n">
        <v>30</v>
      </c>
      <c r="P667" s="103" t="n">
        <v>11.6</v>
      </c>
      <c r="Q667" s="103" t="n">
        <v>5</v>
      </c>
      <c r="R667" s="103" t="s">
        <v>142</v>
      </c>
      <c r="S667" s="103" t="n">
        <v>320</v>
      </c>
      <c r="T667" s="103" t="n">
        <v>245</v>
      </c>
      <c r="U667" s="103" t="s">
        <v>1357</v>
      </c>
      <c r="V667" s="103" t="n">
        <v>2025</v>
      </c>
    </row>
    <row r="668" customFormat="false" ht="14.25" hidden="false" customHeight="false" outlineLevel="0" collapsed="false">
      <c r="A668" s="103" t="s">
        <v>1387</v>
      </c>
      <c r="B668" s="103" t="s">
        <v>656</v>
      </c>
      <c r="C668" s="104" t="n">
        <v>45880</v>
      </c>
      <c r="D668" s="103" t="s">
        <v>108</v>
      </c>
      <c r="E668" s="103" t="n">
        <v>59</v>
      </c>
      <c r="F668" s="103" t="s">
        <v>170</v>
      </c>
      <c r="G668" s="103" t="s">
        <v>84</v>
      </c>
      <c r="H668" s="103" t="n">
        <v>4.1</v>
      </c>
      <c r="I668" s="103" t="n">
        <v>831</v>
      </c>
      <c r="J668" s="103" t="n">
        <v>60</v>
      </c>
      <c r="K668" s="103" t="n">
        <v>0</v>
      </c>
      <c r="L668" s="103" t="s">
        <v>93</v>
      </c>
      <c r="M668" s="103" t="s">
        <v>65</v>
      </c>
      <c r="N668" s="103" t="s">
        <v>78</v>
      </c>
      <c r="O668" s="103" t="n">
        <v>24</v>
      </c>
      <c r="P668" s="103" t="n">
        <v>8.9</v>
      </c>
      <c r="Q668" s="103" t="n">
        <v>5</v>
      </c>
      <c r="R668" s="103" t="s">
        <v>131</v>
      </c>
      <c r="S668" s="103" t="n">
        <v>891</v>
      </c>
      <c r="T668" s="103" t="n">
        <v>891</v>
      </c>
      <c r="U668" s="103" t="s">
        <v>1357</v>
      </c>
      <c r="V668" s="103" t="n">
        <v>2025</v>
      </c>
    </row>
    <row r="669" customFormat="false" ht="14.25" hidden="false" customHeight="false" outlineLevel="0" collapsed="false">
      <c r="A669" s="103" t="s">
        <v>1388</v>
      </c>
      <c r="B669" s="103" t="s">
        <v>657</v>
      </c>
      <c r="C669" s="104" t="n">
        <v>45880</v>
      </c>
      <c r="D669" s="103" t="s">
        <v>109</v>
      </c>
      <c r="E669" s="103" t="n">
        <v>57</v>
      </c>
      <c r="F669" s="103" t="s">
        <v>171</v>
      </c>
      <c r="G669" s="103" t="s">
        <v>85</v>
      </c>
      <c r="H669" s="103" t="n">
        <v>4.5</v>
      </c>
      <c r="I669" s="103" t="n">
        <v>880</v>
      </c>
      <c r="J669" s="103" t="n">
        <v>0</v>
      </c>
      <c r="K669" s="103" t="n">
        <v>100</v>
      </c>
      <c r="L669" s="103" t="s">
        <v>97</v>
      </c>
      <c r="M669" s="103" t="s">
        <v>65</v>
      </c>
      <c r="N669" s="103" t="s">
        <v>77</v>
      </c>
      <c r="O669" s="103" t="n">
        <v>47</v>
      </c>
      <c r="P669" s="103" t="n">
        <v>9.6</v>
      </c>
      <c r="Q669" s="103" t="n">
        <v>2</v>
      </c>
      <c r="R669" s="103" t="s">
        <v>132</v>
      </c>
      <c r="S669" s="103" t="n">
        <v>880</v>
      </c>
      <c r="T669" s="103" t="n">
        <v>780</v>
      </c>
      <c r="U669" s="103" t="s">
        <v>1357</v>
      </c>
      <c r="V669" s="103" t="n">
        <v>2025</v>
      </c>
    </row>
    <row r="670" customFormat="false" ht="14.25" hidden="false" customHeight="false" outlineLevel="0" collapsed="false">
      <c r="A670" s="103" t="s">
        <v>1389</v>
      </c>
      <c r="B670" s="103" t="s">
        <v>658</v>
      </c>
      <c r="C670" s="104" t="n">
        <v>45880</v>
      </c>
      <c r="D670" s="103" t="s">
        <v>106</v>
      </c>
      <c r="E670" s="103" t="n">
        <v>28</v>
      </c>
      <c r="F670" s="103" t="s">
        <v>170</v>
      </c>
      <c r="G670" s="103" t="s">
        <v>85</v>
      </c>
      <c r="H670" s="103" t="n">
        <v>4</v>
      </c>
      <c r="I670" s="103" t="n">
        <v>1353</v>
      </c>
      <c r="J670" s="103" t="n">
        <v>0</v>
      </c>
      <c r="K670" s="103" t="n">
        <v>75</v>
      </c>
      <c r="L670" s="103" t="s">
        <v>94</v>
      </c>
      <c r="M670" s="103" t="s">
        <v>65</v>
      </c>
      <c r="N670" s="103" t="s">
        <v>78</v>
      </c>
      <c r="O670" s="103" t="n">
        <v>50</v>
      </c>
      <c r="P670" s="103" t="n">
        <v>1.2</v>
      </c>
      <c r="Q670" s="103" t="n">
        <v>5</v>
      </c>
      <c r="R670" s="103" t="s">
        <v>142</v>
      </c>
      <c r="S670" s="103" t="n">
        <v>1353</v>
      </c>
      <c r="T670" s="103" t="n">
        <v>1278</v>
      </c>
      <c r="U670" s="103" t="s">
        <v>1357</v>
      </c>
      <c r="V670" s="103" t="n">
        <v>2025</v>
      </c>
    </row>
    <row r="671" customFormat="false" ht="14.25" hidden="false" customHeight="false" outlineLevel="0" collapsed="false">
      <c r="A671" s="103" t="s">
        <v>1390</v>
      </c>
      <c r="B671" s="103" t="s">
        <v>659</v>
      </c>
      <c r="C671" s="104" t="n">
        <v>45881</v>
      </c>
      <c r="D671" s="103" t="s">
        <v>106</v>
      </c>
      <c r="E671" s="103" t="n">
        <v>20</v>
      </c>
      <c r="F671" s="103" t="s">
        <v>170</v>
      </c>
      <c r="G671" s="103" t="s">
        <v>89</v>
      </c>
      <c r="H671" s="103" t="n">
        <v>3.2</v>
      </c>
      <c r="I671" s="103" t="n">
        <v>1531</v>
      </c>
      <c r="J671" s="103" t="n">
        <v>0</v>
      </c>
      <c r="K671" s="103" t="n">
        <v>30</v>
      </c>
      <c r="L671" s="103" t="s">
        <v>95</v>
      </c>
      <c r="M671" s="103" t="s">
        <v>66</v>
      </c>
      <c r="N671" s="103" t="s">
        <v>77</v>
      </c>
      <c r="O671" s="103" t="n">
        <v>17</v>
      </c>
      <c r="P671" s="103" t="n">
        <v>3.6</v>
      </c>
      <c r="Q671" s="103" t="n">
        <v>3</v>
      </c>
      <c r="R671" s="103" t="s">
        <v>140</v>
      </c>
      <c r="S671" s="103" t="n">
        <v>1531</v>
      </c>
      <c r="T671" s="103" t="n">
        <v>1501</v>
      </c>
      <c r="U671" s="103" t="s">
        <v>1357</v>
      </c>
      <c r="V671" s="103" t="n">
        <v>2025</v>
      </c>
    </row>
    <row r="672" customFormat="false" ht="14.25" hidden="false" customHeight="false" outlineLevel="0" collapsed="false">
      <c r="A672" s="103" t="s">
        <v>1391</v>
      </c>
      <c r="B672" s="103" t="s">
        <v>660</v>
      </c>
      <c r="C672" s="104" t="n">
        <v>45881</v>
      </c>
      <c r="D672" s="103" t="s">
        <v>107</v>
      </c>
      <c r="E672" s="103" t="n">
        <v>23</v>
      </c>
      <c r="F672" s="103" t="s">
        <v>170</v>
      </c>
      <c r="G672" s="103" t="s">
        <v>89</v>
      </c>
      <c r="H672" s="103" t="n">
        <v>3.1</v>
      </c>
      <c r="I672" s="103" t="n">
        <v>1036</v>
      </c>
      <c r="J672" s="103" t="n">
        <v>40</v>
      </c>
      <c r="K672" s="103" t="n">
        <v>0</v>
      </c>
      <c r="L672" s="103" t="s">
        <v>93</v>
      </c>
      <c r="M672" s="103" t="s">
        <v>67</v>
      </c>
      <c r="N672" s="103" t="s">
        <v>77</v>
      </c>
      <c r="O672" s="103" t="n">
        <v>19</v>
      </c>
      <c r="P672" s="103" t="n">
        <v>1.6</v>
      </c>
      <c r="Q672" s="103" t="n">
        <v>5</v>
      </c>
      <c r="R672" s="103" t="s">
        <v>139</v>
      </c>
      <c r="S672" s="103" t="n">
        <v>1076</v>
      </c>
      <c r="T672" s="103" t="n">
        <v>1076</v>
      </c>
      <c r="U672" s="103" t="s">
        <v>1357</v>
      </c>
      <c r="V672" s="103" t="n">
        <v>2025</v>
      </c>
    </row>
    <row r="673" customFormat="false" ht="14.25" hidden="false" customHeight="false" outlineLevel="0" collapsed="false">
      <c r="A673" s="103" t="s">
        <v>1392</v>
      </c>
      <c r="B673" s="103" t="s">
        <v>661</v>
      </c>
      <c r="C673" s="104" t="n">
        <v>45881</v>
      </c>
      <c r="D673" s="103" t="s">
        <v>101</v>
      </c>
      <c r="E673" s="103" t="n">
        <v>26</v>
      </c>
      <c r="F673" s="103" t="s">
        <v>170</v>
      </c>
      <c r="G673" s="103" t="s">
        <v>84</v>
      </c>
      <c r="H673" s="103" t="n">
        <v>3.3</v>
      </c>
      <c r="I673" s="103" t="n">
        <v>266</v>
      </c>
      <c r="J673" s="103" t="n">
        <v>50</v>
      </c>
      <c r="K673" s="103" t="n">
        <v>200</v>
      </c>
      <c r="L673" s="103" t="s">
        <v>93</v>
      </c>
      <c r="M673" s="103" t="s">
        <v>65</v>
      </c>
      <c r="N673" s="103" t="s">
        <v>77</v>
      </c>
      <c r="O673" s="103" t="n">
        <v>26</v>
      </c>
      <c r="P673" s="103" t="n">
        <v>4.7</v>
      </c>
      <c r="Q673" s="103" t="n">
        <v>5</v>
      </c>
      <c r="R673" s="103" t="s">
        <v>142</v>
      </c>
      <c r="S673" s="103" t="n">
        <v>316</v>
      </c>
      <c r="T673" s="103" t="n">
        <v>116</v>
      </c>
      <c r="U673" s="103" t="s">
        <v>1357</v>
      </c>
      <c r="V673" s="103" t="n">
        <v>2025</v>
      </c>
    </row>
    <row r="674" customFormat="false" ht="14.25" hidden="false" customHeight="false" outlineLevel="0" collapsed="false">
      <c r="A674" s="103" t="s">
        <v>1393</v>
      </c>
      <c r="B674" s="103" t="s">
        <v>662</v>
      </c>
      <c r="C674" s="104" t="n">
        <v>45882</v>
      </c>
      <c r="D674" s="103" t="s">
        <v>102</v>
      </c>
      <c r="E674" s="103" t="n">
        <v>23</v>
      </c>
      <c r="F674" s="103" t="s">
        <v>170</v>
      </c>
      <c r="G674" s="103" t="s">
        <v>85</v>
      </c>
      <c r="H674" s="103" t="n">
        <v>2.9</v>
      </c>
      <c r="I674" s="103" t="n">
        <v>518</v>
      </c>
      <c r="J674" s="103" t="n">
        <v>30</v>
      </c>
      <c r="K674" s="103" t="n">
        <v>30</v>
      </c>
      <c r="L674" s="103" t="s">
        <v>93</v>
      </c>
      <c r="M674" s="103" t="s">
        <v>65</v>
      </c>
      <c r="N674" s="103" t="s">
        <v>78</v>
      </c>
      <c r="O674" s="103" t="n">
        <v>58</v>
      </c>
      <c r="P674" s="103" t="n">
        <v>9.6</v>
      </c>
      <c r="Q674" s="103" t="n">
        <v>5</v>
      </c>
      <c r="R674" s="103" t="s">
        <v>138</v>
      </c>
      <c r="S674" s="103" t="n">
        <v>548</v>
      </c>
      <c r="T674" s="103" t="n">
        <v>518</v>
      </c>
      <c r="U674" s="103" t="s">
        <v>1357</v>
      </c>
      <c r="V674" s="103" t="n">
        <v>2025</v>
      </c>
    </row>
    <row r="675" customFormat="false" ht="14.25" hidden="false" customHeight="false" outlineLevel="0" collapsed="false">
      <c r="A675" s="103" t="s">
        <v>1394</v>
      </c>
      <c r="B675" s="103" t="s">
        <v>663</v>
      </c>
      <c r="C675" s="104" t="n">
        <v>45882</v>
      </c>
      <c r="D675" s="103" t="s">
        <v>101</v>
      </c>
      <c r="E675" s="103" t="n">
        <v>26</v>
      </c>
      <c r="F675" s="103" t="s">
        <v>171</v>
      </c>
      <c r="G675" s="103" t="s">
        <v>88</v>
      </c>
      <c r="H675" s="103" t="n">
        <v>3</v>
      </c>
      <c r="I675" s="103" t="n">
        <v>397</v>
      </c>
      <c r="J675" s="103" t="n">
        <v>40</v>
      </c>
      <c r="K675" s="103" t="n">
        <v>10</v>
      </c>
      <c r="L675" s="103" t="s">
        <v>94</v>
      </c>
      <c r="M675" s="103" t="s">
        <v>65</v>
      </c>
      <c r="N675" s="103" t="s">
        <v>77</v>
      </c>
      <c r="O675" s="103" t="n">
        <v>27</v>
      </c>
      <c r="P675" s="103" t="n">
        <v>8.7</v>
      </c>
      <c r="Q675" s="103" t="n">
        <v>4</v>
      </c>
      <c r="R675" s="103" t="s">
        <v>141</v>
      </c>
      <c r="S675" s="103" t="n">
        <v>437</v>
      </c>
      <c r="T675" s="103" t="n">
        <v>427</v>
      </c>
      <c r="U675" s="103" t="s">
        <v>1357</v>
      </c>
      <c r="V675" s="103" t="n">
        <v>2025</v>
      </c>
    </row>
    <row r="676" customFormat="false" ht="14.25" hidden="false" customHeight="false" outlineLevel="0" collapsed="false">
      <c r="A676" s="103" t="s">
        <v>1395</v>
      </c>
      <c r="B676" s="103" t="s">
        <v>664</v>
      </c>
      <c r="C676" s="104" t="n">
        <v>45882</v>
      </c>
      <c r="D676" s="103" t="s">
        <v>107</v>
      </c>
      <c r="E676" s="103" t="n">
        <v>56</v>
      </c>
      <c r="F676" s="103" t="s">
        <v>170</v>
      </c>
      <c r="G676" s="103" t="s">
        <v>87</v>
      </c>
      <c r="H676" s="103" t="n">
        <v>4.5</v>
      </c>
      <c r="I676" s="103" t="n">
        <v>329</v>
      </c>
      <c r="J676" s="103" t="n">
        <v>40</v>
      </c>
      <c r="K676" s="103" t="n">
        <v>150</v>
      </c>
      <c r="L676" s="103" t="s">
        <v>94</v>
      </c>
      <c r="M676" s="103" t="s">
        <v>65</v>
      </c>
      <c r="N676" s="103" t="s">
        <v>78</v>
      </c>
      <c r="O676" s="103" t="n">
        <v>38</v>
      </c>
      <c r="P676" s="103" t="n">
        <v>9.4</v>
      </c>
      <c r="Q676" s="103" t="n">
        <v>4</v>
      </c>
      <c r="R676" s="103" t="s">
        <v>132</v>
      </c>
      <c r="S676" s="103" t="n">
        <v>369</v>
      </c>
      <c r="T676" s="103" t="n">
        <v>219</v>
      </c>
      <c r="U676" s="103" t="s">
        <v>1357</v>
      </c>
      <c r="V676" s="103" t="n">
        <v>2025</v>
      </c>
    </row>
    <row r="677" customFormat="false" ht="14.25" hidden="false" customHeight="false" outlineLevel="0" collapsed="false">
      <c r="A677" s="103" t="s">
        <v>1396</v>
      </c>
      <c r="B677" s="103" t="s">
        <v>665</v>
      </c>
      <c r="C677" s="104" t="n">
        <v>45883</v>
      </c>
      <c r="D677" s="103" t="s">
        <v>108</v>
      </c>
      <c r="E677" s="103" t="n">
        <v>48</v>
      </c>
      <c r="F677" s="103" t="s">
        <v>171</v>
      </c>
      <c r="G677" s="103" t="s">
        <v>85</v>
      </c>
      <c r="H677" s="103" t="n">
        <v>3.5</v>
      </c>
      <c r="I677" s="103" t="n">
        <v>735</v>
      </c>
      <c r="J677" s="103" t="n">
        <v>50</v>
      </c>
      <c r="K677" s="103" t="n">
        <v>10</v>
      </c>
      <c r="L677" s="103" t="s">
        <v>93</v>
      </c>
      <c r="M677" s="103" t="s">
        <v>65</v>
      </c>
      <c r="N677" s="103" t="s">
        <v>77</v>
      </c>
      <c r="O677" s="103" t="n">
        <v>58</v>
      </c>
      <c r="P677" s="103" t="n">
        <v>8.5</v>
      </c>
      <c r="Q677" s="103" t="n">
        <v>3</v>
      </c>
      <c r="R677" s="103" t="s">
        <v>133</v>
      </c>
      <c r="S677" s="103" t="n">
        <v>785</v>
      </c>
      <c r="T677" s="103" t="n">
        <v>775</v>
      </c>
      <c r="U677" s="103" t="s">
        <v>1357</v>
      </c>
      <c r="V677" s="103" t="n">
        <v>2025</v>
      </c>
    </row>
    <row r="678" customFormat="false" ht="14.25" hidden="false" customHeight="false" outlineLevel="0" collapsed="false">
      <c r="A678" s="103" t="s">
        <v>1397</v>
      </c>
      <c r="B678" s="103" t="s">
        <v>666</v>
      </c>
      <c r="C678" s="104" t="n">
        <v>45883</v>
      </c>
      <c r="D678" s="103" t="s">
        <v>111</v>
      </c>
      <c r="E678" s="103" t="n">
        <v>49</v>
      </c>
      <c r="F678" s="103" t="s">
        <v>170</v>
      </c>
      <c r="G678" s="103" t="s">
        <v>90</v>
      </c>
      <c r="H678" s="103" t="n">
        <v>3.6</v>
      </c>
      <c r="I678" s="103" t="n">
        <v>505</v>
      </c>
      <c r="J678" s="103" t="n">
        <v>40</v>
      </c>
      <c r="K678" s="103" t="n">
        <v>50</v>
      </c>
      <c r="L678" s="103" t="s">
        <v>95</v>
      </c>
      <c r="M678" s="103" t="s">
        <v>65</v>
      </c>
      <c r="N678" s="103" t="s">
        <v>78</v>
      </c>
      <c r="O678" s="103" t="n">
        <v>46</v>
      </c>
      <c r="P678" s="103" t="n">
        <v>4.5</v>
      </c>
      <c r="Q678" s="103" t="n">
        <v>4</v>
      </c>
      <c r="R678" s="103" t="s">
        <v>134</v>
      </c>
      <c r="S678" s="103" t="n">
        <v>545</v>
      </c>
      <c r="T678" s="103" t="n">
        <v>495</v>
      </c>
      <c r="U678" s="103" t="s">
        <v>1357</v>
      </c>
      <c r="V678" s="103" t="n">
        <v>2025</v>
      </c>
    </row>
    <row r="679" customFormat="false" ht="14.25" hidden="false" customHeight="false" outlineLevel="0" collapsed="false">
      <c r="A679" s="103" t="s">
        <v>1398</v>
      </c>
      <c r="B679" s="103" t="s">
        <v>667</v>
      </c>
      <c r="C679" s="104" t="n">
        <v>45883</v>
      </c>
      <c r="D679" s="103" t="s">
        <v>104</v>
      </c>
      <c r="E679" s="103" t="n">
        <v>58</v>
      </c>
      <c r="F679" s="103" t="s">
        <v>171</v>
      </c>
      <c r="G679" s="103" t="s">
        <v>84</v>
      </c>
      <c r="H679" s="103" t="n">
        <v>4</v>
      </c>
      <c r="I679" s="103" t="n">
        <v>487</v>
      </c>
      <c r="J679" s="103" t="n">
        <v>0</v>
      </c>
      <c r="K679" s="103" t="n">
        <v>75</v>
      </c>
      <c r="L679" s="103" t="s">
        <v>94</v>
      </c>
      <c r="M679" s="103" t="s">
        <v>65</v>
      </c>
      <c r="N679" s="103" t="s">
        <v>77</v>
      </c>
      <c r="O679" s="103" t="n">
        <v>30</v>
      </c>
      <c r="P679" s="103" t="n">
        <v>4</v>
      </c>
      <c r="Q679" s="103" t="n">
        <v>3</v>
      </c>
      <c r="R679" s="103" t="s">
        <v>132</v>
      </c>
      <c r="S679" s="103" t="n">
        <v>487</v>
      </c>
      <c r="T679" s="103" t="n">
        <v>412</v>
      </c>
      <c r="U679" s="103" t="s">
        <v>1357</v>
      </c>
      <c r="V679" s="103" t="n">
        <v>2025</v>
      </c>
    </row>
    <row r="680" customFormat="false" ht="14.25" hidden="false" customHeight="false" outlineLevel="0" collapsed="false">
      <c r="A680" s="103" t="s">
        <v>1399</v>
      </c>
      <c r="B680" s="103" t="s">
        <v>668</v>
      </c>
      <c r="C680" s="104" t="n">
        <v>45884</v>
      </c>
      <c r="D680" s="103" t="s">
        <v>104</v>
      </c>
      <c r="E680" s="103" t="n">
        <v>29</v>
      </c>
      <c r="F680" s="103" t="s">
        <v>171</v>
      </c>
      <c r="G680" s="103" t="s">
        <v>88</v>
      </c>
      <c r="H680" s="103" t="n">
        <v>4</v>
      </c>
      <c r="I680" s="103" t="n">
        <v>212</v>
      </c>
      <c r="J680" s="103" t="n">
        <v>0</v>
      </c>
      <c r="K680" s="103" t="n">
        <v>150</v>
      </c>
      <c r="L680" s="103" t="s">
        <v>93</v>
      </c>
      <c r="M680" s="103" t="s">
        <v>67</v>
      </c>
      <c r="N680" s="103" t="s">
        <v>77</v>
      </c>
      <c r="O680" s="103" t="n">
        <v>46</v>
      </c>
      <c r="P680" s="103" t="n">
        <v>2.5</v>
      </c>
      <c r="Q680" s="103" t="n">
        <v>4</v>
      </c>
      <c r="R680" s="103" t="s">
        <v>134</v>
      </c>
      <c r="S680" s="103" t="n">
        <v>212</v>
      </c>
      <c r="T680" s="103" t="n">
        <v>62</v>
      </c>
      <c r="U680" s="103" t="s">
        <v>1357</v>
      </c>
      <c r="V680" s="103" t="n">
        <v>2025</v>
      </c>
    </row>
    <row r="681" customFormat="false" ht="14.25" hidden="false" customHeight="false" outlineLevel="0" collapsed="false">
      <c r="A681" s="103" t="s">
        <v>1400</v>
      </c>
      <c r="B681" s="103" t="s">
        <v>669</v>
      </c>
      <c r="C681" s="104" t="n">
        <v>45884</v>
      </c>
      <c r="D681" s="103" t="s">
        <v>102</v>
      </c>
      <c r="E681" s="103" t="n">
        <v>25</v>
      </c>
      <c r="F681" s="103" t="s">
        <v>171</v>
      </c>
      <c r="G681" s="103" t="s">
        <v>87</v>
      </c>
      <c r="H681" s="103" t="n">
        <v>2.7</v>
      </c>
      <c r="I681" s="103" t="n">
        <v>150</v>
      </c>
      <c r="J681" s="103" t="n">
        <v>60</v>
      </c>
      <c r="K681" s="103" t="n">
        <v>0</v>
      </c>
      <c r="L681" s="103" t="s">
        <v>93</v>
      </c>
      <c r="M681" s="103" t="s">
        <v>65</v>
      </c>
      <c r="N681" s="103" t="s">
        <v>77</v>
      </c>
      <c r="O681" s="103" t="n">
        <v>59</v>
      </c>
      <c r="P681" s="103" t="n">
        <v>12.8</v>
      </c>
      <c r="Q681" s="103" t="n">
        <v>1</v>
      </c>
      <c r="R681" s="103" t="s">
        <v>135</v>
      </c>
      <c r="S681" s="103" t="n">
        <v>210</v>
      </c>
      <c r="T681" s="103" t="n">
        <v>210</v>
      </c>
      <c r="U681" s="103" t="s">
        <v>1357</v>
      </c>
      <c r="V681" s="103" t="n">
        <v>2025</v>
      </c>
    </row>
    <row r="682" customFormat="false" ht="14.25" hidden="false" customHeight="false" outlineLevel="0" collapsed="false">
      <c r="A682" s="103" t="s">
        <v>1401</v>
      </c>
      <c r="B682" s="103" t="s">
        <v>670</v>
      </c>
      <c r="C682" s="104" t="n">
        <v>45884</v>
      </c>
      <c r="D682" s="103" t="s">
        <v>108</v>
      </c>
      <c r="E682" s="103" t="n">
        <v>25</v>
      </c>
      <c r="F682" s="103" t="s">
        <v>171</v>
      </c>
      <c r="G682" s="103" t="s">
        <v>85</v>
      </c>
      <c r="H682" s="103" t="n">
        <v>4.6</v>
      </c>
      <c r="I682" s="103" t="n">
        <v>293</v>
      </c>
      <c r="J682" s="103" t="n">
        <v>20</v>
      </c>
      <c r="K682" s="103" t="n">
        <v>0</v>
      </c>
      <c r="L682" s="103" t="s">
        <v>94</v>
      </c>
      <c r="M682" s="103" t="s">
        <v>65</v>
      </c>
      <c r="N682" s="103" t="s">
        <v>77</v>
      </c>
      <c r="O682" s="103" t="n">
        <v>51</v>
      </c>
      <c r="P682" s="103" t="n">
        <v>9.4</v>
      </c>
      <c r="Q682" s="103" t="n">
        <v>4</v>
      </c>
      <c r="R682" s="103" t="s">
        <v>138</v>
      </c>
      <c r="S682" s="103" t="n">
        <v>313</v>
      </c>
      <c r="T682" s="103" t="n">
        <v>313</v>
      </c>
      <c r="U682" s="103" t="s">
        <v>1357</v>
      </c>
      <c r="V682" s="103" t="n">
        <v>2025</v>
      </c>
    </row>
    <row r="683" customFormat="false" ht="14.25" hidden="false" customHeight="false" outlineLevel="0" collapsed="false">
      <c r="A683" s="103" t="s">
        <v>1402</v>
      </c>
      <c r="B683" s="103" t="s">
        <v>671</v>
      </c>
      <c r="C683" s="104" t="n">
        <v>45885</v>
      </c>
      <c r="D683" s="103" t="s">
        <v>102</v>
      </c>
      <c r="E683" s="103" t="n">
        <v>45</v>
      </c>
      <c r="F683" s="103" t="s">
        <v>170</v>
      </c>
      <c r="G683" s="103" t="s">
        <v>86</v>
      </c>
      <c r="H683" s="103" t="n">
        <v>2.9</v>
      </c>
      <c r="I683" s="103" t="n">
        <v>409</v>
      </c>
      <c r="J683" s="103" t="n">
        <v>40</v>
      </c>
      <c r="K683" s="103" t="n">
        <v>30</v>
      </c>
      <c r="L683" s="103" t="s">
        <v>95</v>
      </c>
      <c r="M683" s="103" t="s">
        <v>65</v>
      </c>
      <c r="N683" s="103" t="s">
        <v>77</v>
      </c>
      <c r="O683" s="103" t="n">
        <v>70</v>
      </c>
      <c r="P683" s="103" t="n">
        <v>3.2</v>
      </c>
      <c r="Q683" s="103" t="n">
        <v>3</v>
      </c>
      <c r="R683" s="103" t="s">
        <v>140</v>
      </c>
      <c r="S683" s="103" t="n">
        <v>449</v>
      </c>
      <c r="T683" s="103" t="n">
        <v>419</v>
      </c>
      <c r="U683" s="103" t="s">
        <v>1357</v>
      </c>
      <c r="V683" s="103" t="n">
        <v>2025</v>
      </c>
    </row>
    <row r="684" customFormat="false" ht="14.25" hidden="false" customHeight="false" outlineLevel="0" collapsed="false">
      <c r="A684" s="103" t="s">
        <v>1403</v>
      </c>
      <c r="B684" s="103" t="s">
        <v>672</v>
      </c>
      <c r="C684" s="104" t="n">
        <v>45885</v>
      </c>
      <c r="D684" s="103" t="s">
        <v>110</v>
      </c>
      <c r="E684" s="103" t="n">
        <v>37</v>
      </c>
      <c r="F684" s="103" t="s">
        <v>170</v>
      </c>
      <c r="G684" s="103" t="s">
        <v>83</v>
      </c>
      <c r="H684" s="103" t="n">
        <v>4.3</v>
      </c>
      <c r="I684" s="103" t="n">
        <v>844</v>
      </c>
      <c r="J684" s="103" t="n">
        <v>20</v>
      </c>
      <c r="K684" s="103" t="n">
        <v>50</v>
      </c>
      <c r="L684" s="103" t="s">
        <v>93</v>
      </c>
      <c r="M684" s="103" t="s">
        <v>66</v>
      </c>
      <c r="N684" s="103" t="s">
        <v>77</v>
      </c>
      <c r="O684" s="103" t="n">
        <v>50</v>
      </c>
      <c r="P684" s="103" t="n">
        <v>3.1</v>
      </c>
      <c r="Q684" s="103" t="n">
        <v>5</v>
      </c>
      <c r="R684" s="103" t="s">
        <v>136</v>
      </c>
      <c r="S684" s="103" t="n">
        <v>864</v>
      </c>
      <c r="T684" s="103" t="n">
        <v>814</v>
      </c>
      <c r="U684" s="103" t="s">
        <v>1357</v>
      </c>
      <c r="V684" s="103" t="n">
        <v>2025</v>
      </c>
    </row>
    <row r="685" customFormat="false" ht="14.25" hidden="false" customHeight="false" outlineLevel="0" collapsed="false">
      <c r="A685" s="103" t="s">
        <v>1404</v>
      </c>
      <c r="B685" s="103" t="s">
        <v>673</v>
      </c>
      <c r="C685" s="104" t="n">
        <v>45885</v>
      </c>
      <c r="D685" s="103" t="s">
        <v>101</v>
      </c>
      <c r="E685" s="103" t="n">
        <v>24</v>
      </c>
      <c r="F685" s="103" t="s">
        <v>171</v>
      </c>
      <c r="G685" s="103" t="s">
        <v>90</v>
      </c>
      <c r="H685" s="103" t="n">
        <v>4.4</v>
      </c>
      <c r="I685" s="103" t="n">
        <v>978</v>
      </c>
      <c r="J685" s="103" t="n">
        <v>30</v>
      </c>
      <c r="K685" s="103" t="n">
        <v>200</v>
      </c>
      <c r="L685" s="103" t="s">
        <v>93</v>
      </c>
      <c r="M685" s="103" t="s">
        <v>65</v>
      </c>
      <c r="N685" s="103" t="s">
        <v>77</v>
      </c>
      <c r="O685" s="103" t="n">
        <v>35</v>
      </c>
      <c r="P685" s="103" t="n">
        <v>13.2</v>
      </c>
      <c r="Q685" s="103" t="n">
        <v>5</v>
      </c>
      <c r="R685" s="103" t="s">
        <v>131</v>
      </c>
      <c r="S685" s="103" t="n">
        <v>1008</v>
      </c>
      <c r="T685" s="103" t="n">
        <v>808</v>
      </c>
      <c r="U685" s="103" t="s">
        <v>1357</v>
      </c>
      <c r="V685" s="103" t="n">
        <v>2025</v>
      </c>
    </row>
    <row r="686" customFormat="false" ht="14.25" hidden="false" customHeight="false" outlineLevel="0" collapsed="false">
      <c r="A686" s="103" t="s">
        <v>1405</v>
      </c>
      <c r="B686" s="103" t="s">
        <v>674</v>
      </c>
      <c r="C686" s="104" t="n">
        <v>45886</v>
      </c>
      <c r="D686" s="103" t="s">
        <v>104</v>
      </c>
      <c r="E686" s="103" t="n">
        <v>28</v>
      </c>
      <c r="F686" s="103" t="s">
        <v>171</v>
      </c>
      <c r="G686" s="103" t="s">
        <v>86</v>
      </c>
      <c r="H686" s="103" t="n">
        <v>4.3</v>
      </c>
      <c r="I686" s="103" t="n">
        <v>356</v>
      </c>
      <c r="J686" s="103" t="n">
        <v>0</v>
      </c>
      <c r="K686" s="103" t="n">
        <v>100</v>
      </c>
      <c r="L686" s="103" t="s">
        <v>94</v>
      </c>
      <c r="M686" s="103" t="s">
        <v>67</v>
      </c>
      <c r="N686" s="103" t="s">
        <v>77</v>
      </c>
      <c r="O686" s="103" t="n">
        <v>61</v>
      </c>
      <c r="P686" s="103" t="n">
        <v>11.3</v>
      </c>
      <c r="Q686" s="103" t="n">
        <v>4</v>
      </c>
      <c r="R686" s="103" t="s">
        <v>134</v>
      </c>
      <c r="S686" s="103" t="n">
        <v>356</v>
      </c>
      <c r="T686" s="103" t="n">
        <v>256</v>
      </c>
      <c r="U686" s="103" t="s">
        <v>1357</v>
      </c>
      <c r="V686" s="103" t="n">
        <v>2025</v>
      </c>
    </row>
    <row r="687" customFormat="false" ht="14.25" hidden="false" customHeight="false" outlineLevel="0" collapsed="false">
      <c r="A687" s="103" t="s">
        <v>1406</v>
      </c>
      <c r="B687" s="103" t="s">
        <v>675</v>
      </c>
      <c r="C687" s="104" t="n">
        <v>45886</v>
      </c>
      <c r="D687" s="103" t="s">
        <v>106</v>
      </c>
      <c r="E687" s="103" t="n">
        <v>37</v>
      </c>
      <c r="F687" s="103" t="s">
        <v>170</v>
      </c>
      <c r="G687" s="103" t="s">
        <v>89</v>
      </c>
      <c r="H687" s="103" t="n">
        <v>3.9</v>
      </c>
      <c r="I687" s="103" t="n">
        <v>834</v>
      </c>
      <c r="J687" s="103" t="n">
        <v>60</v>
      </c>
      <c r="K687" s="103" t="n">
        <v>100</v>
      </c>
      <c r="L687" s="103" t="s">
        <v>93</v>
      </c>
      <c r="M687" s="103" t="s">
        <v>65</v>
      </c>
      <c r="N687" s="103" t="s">
        <v>78</v>
      </c>
      <c r="O687" s="103" t="n">
        <v>26</v>
      </c>
      <c r="P687" s="103" t="n">
        <v>10.1</v>
      </c>
      <c r="Q687" s="103" t="n">
        <v>2</v>
      </c>
      <c r="R687" s="103" t="s">
        <v>135</v>
      </c>
      <c r="S687" s="103" t="n">
        <v>894</v>
      </c>
      <c r="T687" s="103" t="n">
        <v>794</v>
      </c>
      <c r="U687" s="103" t="s">
        <v>1357</v>
      </c>
      <c r="V687" s="103" t="n">
        <v>2025</v>
      </c>
    </row>
    <row r="688" customFormat="false" ht="14.25" hidden="false" customHeight="false" outlineLevel="0" collapsed="false">
      <c r="A688" s="103" t="s">
        <v>1407</v>
      </c>
      <c r="B688" s="103" t="s">
        <v>676</v>
      </c>
      <c r="C688" s="104" t="n">
        <v>45886</v>
      </c>
      <c r="D688" s="103" t="s">
        <v>101</v>
      </c>
      <c r="E688" s="103" t="n">
        <v>33</v>
      </c>
      <c r="F688" s="103" t="s">
        <v>171</v>
      </c>
      <c r="G688" s="103" t="s">
        <v>89</v>
      </c>
      <c r="H688" s="103" t="n">
        <v>2.5</v>
      </c>
      <c r="I688" s="103" t="n">
        <v>694</v>
      </c>
      <c r="J688" s="103" t="n">
        <v>30</v>
      </c>
      <c r="K688" s="103" t="n">
        <v>150</v>
      </c>
      <c r="L688" s="103" t="s">
        <v>95</v>
      </c>
      <c r="M688" s="103" t="s">
        <v>65</v>
      </c>
      <c r="N688" s="103" t="s">
        <v>77</v>
      </c>
      <c r="O688" s="103" t="n">
        <v>65</v>
      </c>
      <c r="P688" s="103" t="n">
        <v>6.4</v>
      </c>
      <c r="Q688" s="103" t="n">
        <v>4</v>
      </c>
      <c r="R688" s="103" t="s">
        <v>135</v>
      </c>
      <c r="S688" s="103" t="n">
        <v>724</v>
      </c>
      <c r="T688" s="103" t="n">
        <v>574</v>
      </c>
      <c r="U688" s="103" t="s">
        <v>1357</v>
      </c>
      <c r="V688" s="103" t="n">
        <v>2025</v>
      </c>
    </row>
    <row r="689" customFormat="false" ht="14.25" hidden="false" customHeight="false" outlineLevel="0" collapsed="false">
      <c r="A689" s="103" t="s">
        <v>1408</v>
      </c>
      <c r="B689" s="103" t="s">
        <v>677</v>
      </c>
      <c r="C689" s="104" t="n">
        <v>45887</v>
      </c>
      <c r="D689" s="103" t="s">
        <v>105</v>
      </c>
      <c r="E689" s="103" t="n">
        <v>21</v>
      </c>
      <c r="F689" s="103" t="s">
        <v>170</v>
      </c>
      <c r="G689" s="103" t="s">
        <v>85</v>
      </c>
      <c r="H689" s="103" t="n">
        <v>3.4</v>
      </c>
      <c r="I689" s="103" t="n">
        <v>428</v>
      </c>
      <c r="J689" s="103" t="n">
        <v>60</v>
      </c>
      <c r="K689" s="103" t="n">
        <v>50</v>
      </c>
      <c r="L689" s="103" t="s">
        <v>94</v>
      </c>
      <c r="M689" s="103" t="s">
        <v>65</v>
      </c>
      <c r="N689" s="103" t="s">
        <v>77</v>
      </c>
      <c r="O689" s="103" t="n">
        <v>35</v>
      </c>
      <c r="P689" s="103" t="n">
        <v>4.3</v>
      </c>
      <c r="Q689" s="103" t="n">
        <v>3</v>
      </c>
      <c r="R689" s="103" t="s">
        <v>134</v>
      </c>
      <c r="S689" s="103" t="n">
        <v>488</v>
      </c>
      <c r="T689" s="103" t="n">
        <v>438</v>
      </c>
      <c r="U689" s="103" t="s">
        <v>1357</v>
      </c>
      <c r="V689" s="103" t="n">
        <v>2025</v>
      </c>
    </row>
    <row r="690" customFormat="false" ht="14.25" hidden="false" customHeight="false" outlineLevel="0" collapsed="false">
      <c r="A690" s="103" t="s">
        <v>1409</v>
      </c>
      <c r="B690" s="103" t="s">
        <v>678</v>
      </c>
      <c r="C690" s="104" t="n">
        <v>45887</v>
      </c>
      <c r="D690" s="103" t="s">
        <v>109</v>
      </c>
      <c r="E690" s="103" t="n">
        <v>23</v>
      </c>
      <c r="F690" s="103" t="s">
        <v>170</v>
      </c>
      <c r="G690" s="103" t="s">
        <v>89</v>
      </c>
      <c r="H690" s="103" t="n">
        <v>4</v>
      </c>
      <c r="I690" s="103" t="n">
        <v>131</v>
      </c>
      <c r="J690" s="103" t="n">
        <v>50</v>
      </c>
      <c r="K690" s="103" t="n">
        <v>50</v>
      </c>
      <c r="L690" s="103" t="s">
        <v>93</v>
      </c>
      <c r="M690" s="103" t="s">
        <v>65</v>
      </c>
      <c r="N690" s="103" t="s">
        <v>77</v>
      </c>
      <c r="O690" s="103" t="n">
        <v>65</v>
      </c>
      <c r="P690" s="103" t="n">
        <v>14.7</v>
      </c>
      <c r="Q690" s="103" t="n">
        <v>4</v>
      </c>
      <c r="R690" s="103" t="s">
        <v>135</v>
      </c>
      <c r="S690" s="103" t="n">
        <v>181</v>
      </c>
      <c r="T690" s="103" t="n">
        <v>131</v>
      </c>
      <c r="U690" s="103" t="s">
        <v>1357</v>
      </c>
      <c r="V690" s="103" t="n">
        <v>2025</v>
      </c>
    </row>
    <row r="691" customFormat="false" ht="14.25" hidden="false" customHeight="false" outlineLevel="0" collapsed="false">
      <c r="A691" s="103" t="s">
        <v>1410</v>
      </c>
      <c r="B691" s="103" t="s">
        <v>679</v>
      </c>
      <c r="C691" s="104" t="n">
        <v>45887</v>
      </c>
      <c r="D691" s="103" t="s">
        <v>108</v>
      </c>
      <c r="E691" s="103" t="n">
        <v>39</v>
      </c>
      <c r="F691" s="103" t="s">
        <v>170</v>
      </c>
      <c r="G691" s="103" t="s">
        <v>90</v>
      </c>
      <c r="H691" s="103" t="n">
        <v>3.5</v>
      </c>
      <c r="I691" s="103" t="n">
        <v>905</v>
      </c>
      <c r="J691" s="103" t="n">
        <v>0</v>
      </c>
      <c r="K691" s="103" t="n">
        <v>0</v>
      </c>
      <c r="L691" s="103" t="s">
        <v>93</v>
      </c>
      <c r="M691" s="103" t="s">
        <v>67</v>
      </c>
      <c r="N691" s="103" t="s">
        <v>77</v>
      </c>
      <c r="O691" s="103" t="n">
        <v>35</v>
      </c>
      <c r="P691" s="103" t="n">
        <v>12.1</v>
      </c>
      <c r="Q691" s="103" t="n">
        <v>5</v>
      </c>
      <c r="R691" s="103" t="s">
        <v>131</v>
      </c>
      <c r="S691" s="103" t="n">
        <v>905</v>
      </c>
      <c r="T691" s="103" t="n">
        <v>905</v>
      </c>
      <c r="U691" s="103" t="s">
        <v>1357</v>
      </c>
      <c r="V691" s="103" t="n">
        <v>2025</v>
      </c>
    </row>
    <row r="692" customFormat="false" ht="14.25" hidden="false" customHeight="false" outlineLevel="0" collapsed="false">
      <c r="A692" s="103" t="s">
        <v>1411</v>
      </c>
      <c r="B692" s="103" t="s">
        <v>680</v>
      </c>
      <c r="C692" s="104" t="n">
        <v>45888</v>
      </c>
      <c r="D692" s="103" t="s">
        <v>100</v>
      </c>
      <c r="E692" s="103" t="n">
        <v>43</v>
      </c>
      <c r="F692" s="103" t="s">
        <v>170</v>
      </c>
      <c r="G692" s="103" t="s">
        <v>87</v>
      </c>
      <c r="H692" s="103" t="n">
        <v>4.7</v>
      </c>
      <c r="I692" s="103" t="n">
        <v>1272</v>
      </c>
      <c r="J692" s="103" t="n">
        <v>30</v>
      </c>
      <c r="K692" s="103" t="n">
        <v>200</v>
      </c>
      <c r="L692" s="103" t="s">
        <v>95</v>
      </c>
      <c r="M692" s="103" t="s">
        <v>65</v>
      </c>
      <c r="N692" s="103" t="s">
        <v>77</v>
      </c>
      <c r="O692" s="103" t="n">
        <v>57</v>
      </c>
      <c r="P692" s="103" t="n">
        <v>4.9</v>
      </c>
      <c r="Q692" s="103" t="n">
        <v>5</v>
      </c>
      <c r="R692" s="103" t="s">
        <v>136</v>
      </c>
      <c r="S692" s="103" t="n">
        <v>1302</v>
      </c>
      <c r="T692" s="103" t="n">
        <v>1102</v>
      </c>
      <c r="U692" s="103" t="s">
        <v>1357</v>
      </c>
      <c r="V692" s="103" t="n">
        <v>2025</v>
      </c>
    </row>
    <row r="693" customFormat="false" ht="14.25" hidden="false" customHeight="false" outlineLevel="0" collapsed="false">
      <c r="A693" s="103" t="s">
        <v>1412</v>
      </c>
      <c r="B693" s="103" t="s">
        <v>681</v>
      </c>
      <c r="C693" s="104" t="n">
        <v>45888</v>
      </c>
      <c r="D693" s="103" t="s">
        <v>102</v>
      </c>
      <c r="E693" s="103" t="n">
        <v>20</v>
      </c>
      <c r="F693" s="103" t="s">
        <v>171</v>
      </c>
      <c r="G693" s="103" t="s">
        <v>81</v>
      </c>
      <c r="H693" s="103" t="n">
        <v>3.3</v>
      </c>
      <c r="I693" s="103" t="n">
        <v>500</v>
      </c>
      <c r="J693" s="103" t="n">
        <v>50</v>
      </c>
      <c r="K693" s="103" t="n">
        <v>75</v>
      </c>
      <c r="L693" s="103" t="s">
        <v>93</v>
      </c>
      <c r="M693" s="103" t="s">
        <v>65</v>
      </c>
      <c r="N693" s="103" t="s">
        <v>77</v>
      </c>
      <c r="O693" s="103" t="n">
        <v>67</v>
      </c>
      <c r="P693" s="103" t="n">
        <v>12.8</v>
      </c>
      <c r="Q693" s="103" t="n">
        <v>5</v>
      </c>
      <c r="R693" s="103" t="s">
        <v>138</v>
      </c>
      <c r="S693" s="103" t="n">
        <v>550</v>
      </c>
      <c r="T693" s="103" t="n">
        <v>475</v>
      </c>
      <c r="U693" s="103" t="s">
        <v>1357</v>
      </c>
      <c r="V693" s="103" t="n">
        <v>2025</v>
      </c>
    </row>
    <row r="694" customFormat="false" ht="14.25" hidden="false" customHeight="false" outlineLevel="0" collapsed="false">
      <c r="A694" s="103" t="s">
        <v>1413</v>
      </c>
      <c r="B694" s="103" t="s">
        <v>682</v>
      </c>
      <c r="C694" s="104" t="n">
        <v>45888</v>
      </c>
      <c r="D694" s="103" t="s">
        <v>101</v>
      </c>
      <c r="E694" s="103" t="n">
        <v>58</v>
      </c>
      <c r="F694" s="103" t="s">
        <v>170</v>
      </c>
      <c r="G694" s="103" t="s">
        <v>82</v>
      </c>
      <c r="H694" s="103" t="n">
        <v>3.2</v>
      </c>
      <c r="I694" s="103" t="n">
        <v>341</v>
      </c>
      <c r="J694" s="103" t="n">
        <v>30</v>
      </c>
      <c r="K694" s="103" t="n">
        <v>200</v>
      </c>
      <c r="L694" s="103" t="s">
        <v>93</v>
      </c>
      <c r="M694" s="103" t="s">
        <v>65</v>
      </c>
      <c r="N694" s="103" t="s">
        <v>77</v>
      </c>
      <c r="O694" s="103" t="n">
        <v>20</v>
      </c>
      <c r="P694" s="103" t="n">
        <v>11.5</v>
      </c>
      <c r="Q694" s="103" t="n">
        <v>4</v>
      </c>
      <c r="R694" s="103" t="s">
        <v>133</v>
      </c>
      <c r="S694" s="103" t="n">
        <v>371</v>
      </c>
      <c r="T694" s="103" t="n">
        <v>171</v>
      </c>
      <c r="U694" s="103" t="s">
        <v>1357</v>
      </c>
      <c r="V694" s="103" t="n">
        <v>2025</v>
      </c>
    </row>
    <row r="695" customFormat="false" ht="14.25" hidden="false" customHeight="false" outlineLevel="0" collapsed="false">
      <c r="A695" s="103" t="s">
        <v>1414</v>
      </c>
      <c r="B695" s="103" t="s">
        <v>683</v>
      </c>
      <c r="C695" s="104" t="n">
        <v>45889</v>
      </c>
      <c r="D695" s="103" t="s">
        <v>109</v>
      </c>
      <c r="E695" s="103" t="n">
        <v>59</v>
      </c>
      <c r="F695" s="103" t="s">
        <v>171</v>
      </c>
      <c r="G695" s="103" t="s">
        <v>84</v>
      </c>
      <c r="H695" s="103" t="n">
        <v>3.2</v>
      </c>
      <c r="I695" s="103" t="n">
        <v>1610</v>
      </c>
      <c r="J695" s="103" t="n">
        <v>60</v>
      </c>
      <c r="K695" s="103" t="n">
        <v>20</v>
      </c>
      <c r="L695" s="103" t="s">
        <v>95</v>
      </c>
      <c r="M695" s="103" t="s">
        <v>65</v>
      </c>
      <c r="N695" s="103" t="s">
        <v>77</v>
      </c>
      <c r="O695" s="103" t="n">
        <v>23</v>
      </c>
      <c r="P695" s="103" t="n">
        <v>4.8</v>
      </c>
      <c r="Q695" s="103" t="n">
        <v>5</v>
      </c>
      <c r="R695" s="103" t="s">
        <v>142</v>
      </c>
      <c r="S695" s="103" t="n">
        <v>1670</v>
      </c>
      <c r="T695" s="103" t="n">
        <v>1650</v>
      </c>
      <c r="U695" s="103" t="s">
        <v>1357</v>
      </c>
      <c r="V695" s="103" t="n">
        <v>2025</v>
      </c>
    </row>
    <row r="696" customFormat="false" ht="14.25" hidden="false" customHeight="false" outlineLevel="0" collapsed="false">
      <c r="A696" s="103" t="s">
        <v>1415</v>
      </c>
      <c r="B696" s="103" t="s">
        <v>684</v>
      </c>
      <c r="C696" s="104" t="n">
        <v>45889</v>
      </c>
      <c r="D696" s="103" t="s">
        <v>101</v>
      </c>
      <c r="E696" s="103" t="n">
        <v>31</v>
      </c>
      <c r="F696" s="103" t="s">
        <v>171</v>
      </c>
      <c r="G696" s="103" t="s">
        <v>87</v>
      </c>
      <c r="H696" s="103" t="n">
        <v>3.3</v>
      </c>
      <c r="I696" s="103" t="n">
        <v>582</v>
      </c>
      <c r="J696" s="103" t="n">
        <v>50</v>
      </c>
      <c r="K696" s="103" t="n">
        <v>50</v>
      </c>
      <c r="L696" s="103" t="s">
        <v>93</v>
      </c>
      <c r="M696" s="103" t="s">
        <v>67</v>
      </c>
      <c r="N696" s="103" t="s">
        <v>77</v>
      </c>
      <c r="O696" s="103" t="n">
        <v>15</v>
      </c>
      <c r="P696" s="103" t="n">
        <v>6.7</v>
      </c>
      <c r="Q696" s="103" t="n">
        <v>5</v>
      </c>
      <c r="R696" s="103" t="s">
        <v>139</v>
      </c>
      <c r="S696" s="103" t="n">
        <v>632</v>
      </c>
      <c r="T696" s="103" t="n">
        <v>582</v>
      </c>
      <c r="U696" s="103" t="s">
        <v>1357</v>
      </c>
      <c r="V696" s="103" t="n">
        <v>2025</v>
      </c>
    </row>
    <row r="697" customFormat="false" ht="14.25" hidden="false" customHeight="false" outlineLevel="0" collapsed="false">
      <c r="A697" s="103" t="s">
        <v>1416</v>
      </c>
      <c r="B697" s="103" t="s">
        <v>685</v>
      </c>
      <c r="C697" s="104" t="n">
        <v>45889</v>
      </c>
      <c r="D697" s="103" t="s">
        <v>100</v>
      </c>
      <c r="E697" s="103" t="n">
        <v>28</v>
      </c>
      <c r="F697" s="103" t="s">
        <v>170</v>
      </c>
      <c r="G697" s="103" t="s">
        <v>81</v>
      </c>
      <c r="H697" s="103" t="n">
        <v>3.9</v>
      </c>
      <c r="I697" s="103" t="n">
        <v>496</v>
      </c>
      <c r="J697" s="103" t="n">
        <v>50</v>
      </c>
      <c r="K697" s="103" t="n">
        <v>10</v>
      </c>
      <c r="L697" s="103" t="s">
        <v>94</v>
      </c>
      <c r="M697" s="103" t="s">
        <v>65</v>
      </c>
      <c r="N697" s="103" t="s">
        <v>78</v>
      </c>
      <c r="O697" s="103" t="n">
        <v>26</v>
      </c>
      <c r="P697" s="103" t="n">
        <v>3.2</v>
      </c>
      <c r="Q697" s="103" t="n">
        <v>4</v>
      </c>
      <c r="R697" s="103" t="s">
        <v>142</v>
      </c>
      <c r="S697" s="103" t="n">
        <v>546</v>
      </c>
      <c r="T697" s="103" t="n">
        <v>536</v>
      </c>
      <c r="U697" s="103" t="s">
        <v>1357</v>
      </c>
      <c r="V697" s="103" t="n">
        <v>2025</v>
      </c>
    </row>
    <row r="698" customFormat="false" ht="14.25" hidden="false" customHeight="false" outlineLevel="0" collapsed="false">
      <c r="A698" s="103" t="s">
        <v>1417</v>
      </c>
      <c r="B698" s="103" t="s">
        <v>686</v>
      </c>
      <c r="C698" s="104" t="n">
        <v>45890</v>
      </c>
      <c r="D698" s="103" t="s">
        <v>109</v>
      </c>
      <c r="E698" s="103" t="n">
        <v>35</v>
      </c>
      <c r="F698" s="103" t="s">
        <v>171</v>
      </c>
      <c r="G698" s="103" t="s">
        <v>88</v>
      </c>
      <c r="H698" s="103" t="n">
        <v>4.3</v>
      </c>
      <c r="I698" s="103" t="n">
        <v>1560</v>
      </c>
      <c r="J698" s="103" t="n">
        <v>0</v>
      </c>
      <c r="K698" s="103" t="n">
        <v>50</v>
      </c>
      <c r="L698" s="103" t="s">
        <v>93</v>
      </c>
      <c r="M698" s="103" t="s">
        <v>65</v>
      </c>
      <c r="N698" s="103" t="s">
        <v>77</v>
      </c>
      <c r="O698" s="103" t="n">
        <v>28</v>
      </c>
      <c r="P698" s="103" t="n">
        <v>2.1</v>
      </c>
      <c r="Q698" s="103" t="n">
        <v>4</v>
      </c>
      <c r="R698" s="103" t="s">
        <v>134</v>
      </c>
      <c r="S698" s="103" t="n">
        <v>1560</v>
      </c>
      <c r="T698" s="103" t="n">
        <v>1510</v>
      </c>
      <c r="U698" s="103" t="s">
        <v>1357</v>
      </c>
      <c r="V698" s="103" t="n">
        <v>2025</v>
      </c>
    </row>
    <row r="699" customFormat="false" ht="14.25" hidden="false" customHeight="false" outlineLevel="0" collapsed="false">
      <c r="A699" s="103" t="s">
        <v>1418</v>
      </c>
      <c r="B699" s="103" t="s">
        <v>687</v>
      </c>
      <c r="C699" s="104" t="n">
        <v>45890</v>
      </c>
      <c r="D699" s="103" t="s">
        <v>105</v>
      </c>
      <c r="E699" s="103" t="n">
        <v>29</v>
      </c>
      <c r="F699" s="103" t="s">
        <v>170</v>
      </c>
      <c r="G699" s="103" t="s">
        <v>90</v>
      </c>
      <c r="H699" s="103" t="n">
        <v>4.2</v>
      </c>
      <c r="I699" s="103" t="n">
        <v>1493</v>
      </c>
      <c r="J699" s="103" t="n">
        <v>20</v>
      </c>
      <c r="K699" s="103" t="n">
        <v>150</v>
      </c>
      <c r="L699" s="103" t="s">
        <v>95</v>
      </c>
      <c r="M699" s="103" t="s">
        <v>65</v>
      </c>
      <c r="N699" s="103" t="s">
        <v>77</v>
      </c>
      <c r="O699" s="103" t="n">
        <v>20</v>
      </c>
      <c r="P699" s="103" t="n">
        <v>11</v>
      </c>
      <c r="Q699" s="103" t="n">
        <v>4</v>
      </c>
      <c r="R699" s="103" t="s">
        <v>136</v>
      </c>
      <c r="S699" s="103" t="n">
        <v>1513</v>
      </c>
      <c r="T699" s="103" t="n">
        <v>1363</v>
      </c>
      <c r="U699" s="103" t="s">
        <v>1357</v>
      </c>
      <c r="V699" s="103" t="n">
        <v>2025</v>
      </c>
    </row>
    <row r="700" customFormat="false" ht="14.25" hidden="false" customHeight="false" outlineLevel="0" collapsed="false">
      <c r="A700" s="103" t="s">
        <v>1419</v>
      </c>
      <c r="B700" s="103" t="s">
        <v>688</v>
      </c>
      <c r="C700" s="104" t="n">
        <v>45890</v>
      </c>
      <c r="D700" s="103" t="s">
        <v>100</v>
      </c>
      <c r="E700" s="103" t="n">
        <v>40</v>
      </c>
      <c r="F700" s="103" t="s">
        <v>170</v>
      </c>
      <c r="G700" s="103" t="s">
        <v>86</v>
      </c>
      <c r="H700" s="103" t="n">
        <v>4.5</v>
      </c>
      <c r="I700" s="103" t="n">
        <v>873</v>
      </c>
      <c r="J700" s="103" t="n">
        <v>60</v>
      </c>
      <c r="K700" s="103" t="n">
        <v>10</v>
      </c>
      <c r="L700" s="103" t="s">
        <v>93</v>
      </c>
      <c r="M700" s="103" t="s">
        <v>65</v>
      </c>
      <c r="N700" s="103" t="s">
        <v>78</v>
      </c>
      <c r="O700" s="103" t="n">
        <v>15</v>
      </c>
      <c r="P700" s="103" t="n">
        <v>4.4</v>
      </c>
      <c r="Q700" s="103" t="n">
        <v>3</v>
      </c>
      <c r="R700" s="103" t="s">
        <v>136</v>
      </c>
      <c r="S700" s="103" t="n">
        <v>933</v>
      </c>
      <c r="T700" s="103" t="n">
        <v>923</v>
      </c>
      <c r="U700" s="103" t="s">
        <v>1357</v>
      </c>
      <c r="V700" s="103" t="n">
        <v>2025</v>
      </c>
    </row>
    <row r="701" customFormat="false" ht="14.25" hidden="false" customHeight="false" outlineLevel="0" collapsed="false">
      <c r="A701" s="103" t="s">
        <v>1420</v>
      </c>
      <c r="B701" s="103" t="s">
        <v>689</v>
      </c>
      <c r="C701" s="104" t="n">
        <v>45891</v>
      </c>
      <c r="D701" s="103" t="s">
        <v>107</v>
      </c>
      <c r="E701" s="103" t="n">
        <v>29</v>
      </c>
      <c r="F701" s="103" t="s">
        <v>170</v>
      </c>
      <c r="G701" s="103" t="s">
        <v>81</v>
      </c>
      <c r="H701" s="103" t="n">
        <v>4.7</v>
      </c>
      <c r="I701" s="103" t="n">
        <v>942</v>
      </c>
      <c r="J701" s="103" t="n">
        <v>60</v>
      </c>
      <c r="K701" s="103" t="n">
        <v>150</v>
      </c>
      <c r="L701" s="103" t="s">
        <v>97</v>
      </c>
      <c r="M701" s="103" t="s">
        <v>65</v>
      </c>
      <c r="N701" s="103" t="s">
        <v>78</v>
      </c>
      <c r="O701" s="103" t="n">
        <v>36</v>
      </c>
      <c r="P701" s="103" t="n">
        <v>12.4</v>
      </c>
      <c r="Q701" s="103" t="n">
        <v>5</v>
      </c>
      <c r="R701" s="103" t="s">
        <v>140</v>
      </c>
      <c r="S701" s="103" t="n">
        <v>1002</v>
      </c>
      <c r="T701" s="103" t="n">
        <v>852</v>
      </c>
      <c r="U701" s="103" t="s">
        <v>1357</v>
      </c>
      <c r="V701" s="103" t="n">
        <v>2025</v>
      </c>
    </row>
    <row r="702" customFormat="false" ht="14.25" hidden="false" customHeight="false" outlineLevel="0" collapsed="false">
      <c r="A702" s="103" t="s">
        <v>1421</v>
      </c>
      <c r="B702" s="103" t="s">
        <v>340</v>
      </c>
      <c r="C702" s="104" t="n">
        <v>45891</v>
      </c>
      <c r="D702" s="103" t="s">
        <v>103</v>
      </c>
      <c r="E702" s="103" t="n">
        <v>30</v>
      </c>
      <c r="F702" s="103" t="s">
        <v>170</v>
      </c>
      <c r="G702" s="103" t="s">
        <v>90</v>
      </c>
      <c r="H702" s="103" t="n">
        <v>4.5</v>
      </c>
      <c r="I702" s="103" t="n">
        <v>486</v>
      </c>
      <c r="J702" s="103" t="n">
        <v>50</v>
      </c>
      <c r="K702" s="103" t="n">
        <v>30</v>
      </c>
      <c r="L702" s="103" t="s">
        <v>95</v>
      </c>
      <c r="M702" s="103" t="s">
        <v>65</v>
      </c>
      <c r="N702" s="103" t="s">
        <v>77</v>
      </c>
      <c r="O702" s="103" t="n">
        <v>48</v>
      </c>
      <c r="P702" s="103" t="n">
        <v>14.9</v>
      </c>
      <c r="Q702" s="103" t="n">
        <v>4</v>
      </c>
      <c r="R702" s="103" t="s">
        <v>134</v>
      </c>
      <c r="S702" s="103" t="n">
        <v>536</v>
      </c>
      <c r="T702" s="103" t="n">
        <v>506</v>
      </c>
      <c r="U702" s="103" t="s">
        <v>1357</v>
      </c>
      <c r="V702" s="103" t="n">
        <v>2025</v>
      </c>
    </row>
    <row r="703" customFormat="false" ht="14.25" hidden="false" customHeight="false" outlineLevel="0" collapsed="false">
      <c r="A703" s="103" t="s">
        <v>1422</v>
      </c>
      <c r="B703" s="103" t="s">
        <v>341</v>
      </c>
      <c r="C703" s="104" t="n">
        <v>45891</v>
      </c>
      <c r="D703" s="103" t="s">
        <v>107</v>
      </c>
      <c r="E703" s="103" t="n">
        <v>42</v>
      </c>
      <c r="F703" s="103" t="s">
        <v>171</v>
      </c>
      <c r="G703" s="103" t="s">
        <v>83</v>
      </c>
      <c r="H703" s="103" t="n">
        <v>2.5</v>
      </c>
      <c r="I703" s="103" t="n">
        <v>252</v>
      </c>
      <c r="J703" s="103" t="n">
        <v>50</v>
      </c>
      <c r="K703" s="103" t="n">
        <v>0</v>
      </c>
      <c r="L703" s="103" t="s">
        <v>93</v>
      </c>
      <c r="M703" s="103" t="s">
        <v>67</v>
      </c>
      <c r="N703" s="103" t="s">
        <v>77</v>
      </c>
      <c r="O703" s="103" t="n">
        <v>70</v>
      </c>
      <c r="P703" s="103" t="n">
        <v>1.6</v>
      </c>
      <c r="Q703" s="103" t="n">
        <v>2</v>
      </c>
      <c r="R703" s="103" t="s">
        <v>135</v>
      </c>
      <c r="S703" s="103" t="n">
        <v>302</v>
      </c>
      <c r="T703" s="103" t="n">
        <v>302</v>
      </c>
      <c r="U703" s="103" t="s">
        <v>1357</v>
      </c>
      <c r="V703" s="103" t="n">
        <v>2025</v>
      </c>
    </row>
    <row r="704" customFormat="false" ht="14.25" hidden="false" customHeight="false" outlineLevel="0" collapsed="false">
      <c r="A704" s="103" t="s">
        <v>1423</v>
      </c>
      <c r="B704" s="103" t="s">
        <v>342</v>
      </c>
      <c r="C704" s="104" t="n">
        <v>45892</v>
      </c>
      <c r="D704" s="103" t="s">
        <v>104</v>
      </c>
      <c r="E704" s="103" t="n">
        <v>36</v>
      </c>
      <c r="F704" s="103" t="s">
        <v>171</v>
      </c>
      <c r="G704" s="103" t="s">
        <v>86</v>
      </c>
      <c r="H704" s="103" t="n">
        <v>4.3</v>
      </c>
      <c r="I704" s="103" t="n">
        <v>1083</v>
      </c>
      <c r="J704" s="103" t="n">
        <v>0</v>
      </c>
      <c r="K704" s="103" t="n">
        <v>50</v>
      </c>
      <c r="L704" s="103" t="s">
        <v>93</v>
      </c>
      <c r="M704" s="103" t="s">
        <v>65</v>
      </c>
      <c r="N704" s="103" t="s">
        <v>77</v>
      </c>
      <c r="O704" s="103" t="n">
        <v>25</v>
      </c>
      <c r="P704" s="103" t="n">
        <v>7.4</v>
      </c>
      <c r="Q704" s="103" t="n">
        <v>3</v>
      </c>
      <c r="R704" s="103" t="s">
        <v>135</v>
      </c>
      <c r="S704" s="103" t="n">
        <v>1083</v>
      </c>
      <c r="T704" s="103" t="n">
        <v>1033</v>
      </c>
      <c r="U704" s="103" t="s">
        <v>1357</v>
      </c>
      <c r="V704" s="103" t="n">
        <v>2025</v>
      </c>
    </row>
    <row r="705" customFormat="false" ht="14.25" hidden="false" customHeight="false" outlineLevel="0" collapsed="false">
      <c r="A705" s="103" t="s">
        <v>1424</v>
      </c>
      <c r="B705" s="103" t="s">
        <v>343</v>
      </c>
      <c r="C705" s="104" t="n">
        <v>45892</v>
      </c>
      <c r="D705" s="103" t="s">
        <v>101</v>
      </c>
      <c r="E705" s="103" t="n">
        <v>53</v>
      </c>
      <c r="F705" s="103" t="s">
        <v>170</v>
      </c>
      <c r="G705" s="103" t="s">
        <v>89</v>
      </c>
      <c r="H705" s="103" t="n">
        <v>3</v>
      </c>
      <c r="I705" s="103" t="n">
        <v>285</v>
      </c>
      <c r="J705" s="103" t="n">
        <v>20</v>
      </c>
      <c r="K705" s="103" t="n">
        <v>0</v>
      </c>
      <c r="L705" s="103" t="s">
        <v>93</v>
      </c>
      <c r="M705" s="103" t="s">
        <v>65</v>
      </c>
      <c r="N705" s="103" t="s">
        <v>77</v>
      </c>
      <c r="O705" s="103" t="n">
        <v>17</v>
      </c>
      <c r="P705" s="103" t="n">
        <v>12.1</v>
      </c>
      <c r="Q705" s="103" t="n">
        <v>4</v>
      </c>
      <c r="R705" s="103" t="s">
        <v>132</v>
      </c>
      <c r="S705" s="103" t="n">
        <v>305</v>
      </c>
      <c r="T705" s="103" t="n">
        <v>305</v>
      </c>
      <c r="U705" s="103" t="s">
        <v>1357</v>
      </c>
      <c r="V705" s="103" t="n">
        <v>2025</v>
      </c>
    </row>
    <row r="706" customFormat="false" ht="14.25" hidden="false" customHeight="false" outlineLevel="0" collapsed="false">
      <c r="A706" s="103" t="s">
        <v>1425</v>
      </c>
      <c r="B706" s="103" t="s">
        <v>344</v>
      </c>
      <c r="C706" s="104" t="n">
        <v>45892</v>
      </c>
      <c r="D706" s="103" t="s">
        <v>103</v>
      </c>
      <c r="E706" s="103" t="n">
        <v>25</v>
      </c>
      <c r="F706" s="103" t="s">
        <v>171</v>
      </c>
      <c r="G706" s="103" t="s">
        <v>89</v>
      </c>
      <c r="H706" s="103" t="n">
        <v>2.8</v>
      </c>
      <c r="I706" s="103" t="n">
        <v>875</v>
      </c>
      <c r="J706" s="103" t="n">
        <v>60</v>
      </c>
      <c r="K706" s="103" t="n">
        <v>100</v>
      </c>
      <c r="L706" s="103" t="s">
        <v>94</v>
      </c>
      <c r="M706" s="103" t="s">
        <v>65</v>
      </c>
      <c r="N706" s="103" t="s">
        <v>77</v>
      </c>
      <c r="O706" s="103" t="n">
        <v>56</v>
      </c>
      <c r="P706" s="103" t="n">
        <v>11.9</v>
      </c>
      <c r="Q706" s="103" t="n">
        <v>5</v>
      </c>
      <c r="R706" s="103" t="s">
        <v>138</v>
      </c>
      <c r="S706" s="103" t="n">
        <v>935</v>
      </c>
      <c r="T706" s="103" t="n">
        <v>835</v>
      </c>
      <c r="U706" s="103" t="s">
        <v>1357</v>
      </c>
      <c r="V706" s="103" t="n">
        <v>2025</v>
      </c>
    </row>
    <row r="707" customFormat="false" ht="14.25" hidden="false" customHeight="false" outlineLevel="0" collapsed="false">
      <c r="A707" s="103" t="s">
        <v>1426</v>
      </c>
      <c r="B707" s="103" t="s">
        <v>345</v>
      </c>
      <c r="C707" s="104" t="n">
        <v>45893</v>
      </c>
      <c r="D707" s="103" t="s">
        <v>107</v>
      </c>
      <c r="E707" s="103" t="n">
        <v>46</v>
      </c>
      <c r="F707" s="103" t="s">
        <v>170</v>
      </c>
      <c r="G707" s="103" t="s">
        <v>86</v>
      </c>
      <c r="H707" s="103" t="n">
        <v>4.1</v>
      </c>
      <c r="I707" s="103" t="n">
        <v>1700</v>
      </c>
      <c r="J707" s="103" t="n">
        <v>40</v>
      </c>
      <c r="K707" s="103" t="n">
        <v>150</v>
      </c>
      <c r="L707" s="103" t="s">
        <v>96</v>
      </c>
      <c r="M707" s="103" t="s">
        <v>65</v>
      </c>
      <c r="N707" s="103" t="s">
        <v>77</v>
      </c>
      <c r="O707" s="103" t="n">
        <v>20</v>
      </c>
      <c r="P707" s="103" t="n">
        <v>11.5</v>
      </c>
      <c r="Q707" s="103" t="n">
        <v>5</v>
      </c>
      <c r="R707" s="103" t="s">
        <v>133</v>
      </c>
      <c r="S707" s="103" t="n">
        <v>1740</v>
      </c>
      <c r="T707" s="103" t="n">
        <v>1590</v>
      </c>
      <c r="U707" s="103" t="s">
        <v>1357</v>
      </c>
      <c r="V707" s="103" t="n">
        <v>2025</v>
      </c>
    </row>
    <row r="708" customFormat="false" ht="14.25" hidden="false" customHeight="false" outlineLevel="0" collapsed="false">
      <c r="A708" s="103" t="s">
        <v>1427</v>
      </c>
      <c r="B708" s="103" t="s">
        <v>346</v>
      </c>
      <c r="C708" s="104" t="n">
        <v>45893</v>
      </c>
      <c r="D708" s="103" t="s">
        <v>103</v>
      </c>
      <c r="E708" s="103" t="n">
        <v>49</v>
      </c>
      <c r="F708" s="103" t="s">
        <v>170</v>
      </c>
      <c r="G708" s="103" t="s">
        <v>88</v>
      </c>
      <c r="H708" s="103" t="n">
        <v>3.3</v>
      </c>
      <c r="I708" s="103" t="n">
        <v>1721</v>
      </c>
      <c r="J708" s="103" t="n">
        <v>40</v>
      </c>
      <c r="K708" s="103" t="n">
        <v>20</v>
      </c>
      <c r="L708" s="103" t="s">
        <v>94</v>
      </c>
      <c r="M708" s="103" t="s">
        <v>65</v>
      </c>
      <c r="N708" s="103" t="s">
        <v>77</v>
      </c>
      <c r="O708" s="103" t="n">
        <v>20</v>
      </c>
      <c r="P708" s="103" t="n">
        <v>5.6</v>
      </c>
      <c r="Q708" s="103" t="n">
        <v>5</v>
      </c>
      <c r="R708" s="103" t="s">
        <v>136</v>
      </c>
      <c r="S708" s="103" t="n">
        <v>1761</v>
      </c>
      <c r="T708" s="103" t="n">
        <v>1741</v>
      </c>
      <c r="U708" s="103" t="s">
        <v>1357</v>
      </c>
      <c r="V708" s="103" t="n">
        <v>2025</v>
      </c>
    </row>
    <row r="709" customFormat="false" ht="14.25" hidden="false" customHeight="false" outlineLevel="0" collapsed="false">
      <c r="A709" s="103" t="s">
        <v>1428</v>
      </c>
      <c r="B709" s="103" t="s">
        <v>347</v>
      </c>
      <c r="C709" s="104" t="n">
        <v>45893</v>
      </c>
      <c r="D709" s="103" t="s">
        <v>111</v>
      </c>
      <c r="E709" s="103" t="n">
        <v>35</v>
      </c>
      <c r="F709" s="103" t="s">
        <v>170</v>
      </c>
      <c r="G709" s="103" t="s">
        <v>88</v>
      </c>
      <c r="H709" s="103" t="n">
        <v>2.6</v>
      </c>
      <c r="I709" s="103" t="n">
        <v>522</v>
      </c>
      <c r="J709" s="103" t="n">
        <v>20</v>
      </c>
      <c r="K709" s="103" t="n">
        <v>20</v>
      </c>
      <c r="L709" s="103" t="s">
        <v>93</v>
      </c>
      <c r="M709" s="103" t="s">
        <v>65</v>
      </c>
      <c r="N709" s="103" t="s">
        <v>77</v>
      </c>
      <c r="O709" s="103" t="n">
        <v>34</v>
      </c>
      <c r="P709" s="103" t="n">
        <v>7.1</v>
      </c>
      <c r="Q709" s="103" t="n">
        <v>4</v>
      </c>
      <c r="R709" s="103" t="s">
        <v>140</v>
      </c>
      <c r="S709" s="103" t="n">
        <v>542</v>
      </c>
      <c r="T709" s="103" t="n">
        <v>522</v>
      </c>
      <c r="U709" s="103" t="s">
        <v>1357</v>
      </c>
      <c r="V709" s="103" t="n">
        <v>2025</v>
      </c>
    </row>
    <row r="710" customFormat="false" ht="14.25" hidden="false" customHeight="false" outlineLevel="0" collapsed="false">
      <c r="A710" s="103" t="s">
        <v>1429</v>
      </c>
      <c r="B710" s="103" t="s">
        <v>348</v>
      </c>
      <c r="C710" s="104" t="n">
        <v>45894</v>
      </c>
      <c r="D710" s="103" t="s">
        <v>101</v>
      </c>
      <c r="E710" s="103" t="n">
        <v>23</v>
      </c>
      <c r="F710" s="103" t="s">
        <v>171</v>
      </c>
      <c r="G710" s="103" t="s">
        <v>88</v>
      </c>
      <c r="H710" s="103" t="n">
        <v>2.8</v>
      </c>
      <c r="I710" s="103" t="n">
        <v>1169</v>
      </c>
      <c r="J710" s="103" t="n">
        <v>30</v>
      </c>
      <c r="K710" s="103" t="n">
        <v>100</v>
      </c>
      <c r="L710" s="103" t="s">
        <v>95</v>
      </c>
      <c r="M710" s="103" t="s">
        <v>67</v>
      </c>
      <c r="N710" s="103" t="s">
        <v>77</v>
      </c>
      <c r="O710" s="103" t="n">
        <v>35</v>
      </c>
      <c r="P710" s="103" t="n">
        <v>9.1</v>
      </c>
      <c r="Q710" s="103" t="n">
        <v>5</v>
      </c>
      <c r="R710" s="103" t="s">
        <v>140</v>
      </c>
      <c r="S710" s="103" t="n">
        <v>1199</v>
      </c>
      <c r="T710" s="103" t="n">
        <v>1099</v>
      </c>
      <c r="U710" s="103" t="s">
        <v>1357</v>
      </c>
      <c r="V710" s="103" t="n">
        <v>2025</v>
      </c>
    </row>
    <row r="711" customFormat="false" ht="14.25" hidden="false" customHeight="false" outlineLevel="0" collapsed="false">
      <c r="A711" s="103" t="s">
        <v>1430</v>
      </c>
      <c r="B711" s="103" t="s">
        <v>349</v>
      </c>
      <c r="C711" s="104" t="n">
        <v>45894</v>
      </c>
      <c r="D711" s="103" t="s">
        <v>103</v>
      </c>
      <c r="E711" s="103" t="n">
        <v>35</v>
      </c>
      <c r="F711" s="103" t="s">
        <v>171</v>
      </c>
      <c r="G711" s="103" t="s">
        <v>81</v>
      </c>
      <c r="H711" s="103" t="n">
        <v>2.5</v>
      </c>
      <c r="I711" s="103" t="n">
        <v>916</v>
      </c>
      <c r="J711" s="103" t="n">
        <v>0</v>
      </c>
      <c r="K711" s="103" t="n">
        <v>30</v>
      </c>
      <c r="L711" s="103" t="s">
        <v>93</v>
      </c>
      <c r="M711" s="103" t="s">
        <v>65</v>
      </c>
      <c r="N711" s="103" t="s">
        <v>77</v>
      </c>
      <c r="O711" s="103" t="n">
        <v>16</v>
      </c>
      <c r="P711" s="103" t="n">
        <v>14.6</v>
      </c>
      <c r="Q711" s="103" t="n">
        <v>4</v>
      </c>
      <c r="R711" s="103" t="s">
        <v>131</v>
      </c>
      <c r="S711" s="103" t="n">
        <v>916</v>
      </c>
      <c r="T711" s="103" t="n">
        <v>886</v>
      </c>
      <c r="U711" s="103" t="s">
        <v>1357</v>
      </c>
      <c r="V711" s="103" t="n">
        <v>2025</v>
      </c>
    </row>
    <row r="712" customFormat="false" ht="14.25" hidden="false" customHeight="false" outlineLevel="0" collapsed="false">
      <c r="A712" s="103" t="s">
        <v>1431</v>
      </c>
      <c r="B712" s="103" t="s">
        <v>350</v>
      </c>
      <c r="C712" s="104" t="n">
        <v>45894</v>
      </c>
      <c r="D712" s="103" t="s">
        <v>106</v>
      </c>
      <c r="E712" s="103" t="n">
        <v>36</v>
      </c>
      <c r="F712" s="103" t="s">
        <v>171</v>
      </c>
      <c r="G712" s="103" t="s">
        <v>84</v>
      </c>
      <c r="H712" s="103" t="n">
        <v>4.8</v>
      </c>
      <c r="I712" s="103" t="n">
        <v>1591</v>
      </c>
      <c r="J712" s="103" t="n">
        <v>20</v>
      </c>
      <c r="K712" s="103" t="n">
        <v>20</v>
      </c>
      <c r="L712" s="103" t="s">
        <v>95</v>
      </c>
      <c r="M712" s="103" t="s">
        <v>67</v>
      </c>
      <c r="N712" s="103" t="s">
        <v>77</v>
      </c>
      <c r="O712" s="103" t="n">
        <v>40</v>
      </c>
      <c r="P712" s="103" t="n">
        <v>5.2</v>
      </c>
      <c r="Q712" s="103" t="n">
        <v>5</v>
      </c>
      <c r="R712" s="103" t="s">
        <v>134</v>
      </c>
      <c r="S712" s="103" t="n">
        <v>1611</v>
      </c>
      <c r="T712" s="103" t="n">
        <v>1591</v>
      </c>
      <c r="U712" s="103" t="s">
        <v>1357</v>
      </c>
      <c r="V712" s="103" t="n">
        <v>2025</v>
      </c>
    </row>
    <row r="713" customFormat="false" ht="14.25" hidden="false" customHeight="false" outlineLevel="0" collapsed="false">
      <c r="A713" s="103" t="s">
        <v>1432</v>
      </c>
      <c r="B713" s="103" t="s">
        <v>351</v>
      </c>
      <c r="C713" s="104" t="n">
        <v>45895</v>
      </c>
      <c r="D713" s="103" t="s">
        <v>102</v>
      </c>
      <c r="E713" s="103" t="n">
        <v>39</v>
      </c>
      <c r="F713" s="103" t="s">
        <v>171</v>
      </c>
      <c r="G713" s="103" t="s">
        <v>81</v>
      </c>
      <c r="H713" s="103" t="n">
        <v>2.6</v>
      </c>
      <c r="I713" s="103" t="n">
        <v>576</v>
      </c>
      <c r="J713" s="103" t="n">
        <v>40</v>
      </c>
      <c r="K713" s="103" t="n">
        <v>150</v>
      </c>
      <c r="L713" s="103" t="s">
        <v>95</v>
      </c>
      <c r="M713" s="103" t="s">
        <v>65</v>
      </c>
      <c r="N713" s="103" t="s">
        <v>77</v>
      </c>
      <c r="O713" s="103" t="n">
        <v>45</v>
      </c>
      <c r="P713" s="103" t="n">
        <v>13.9</v>
      </c>
      <c r="Q713" s="103" t="n">
        <v>2</v>
      </c>
      <c r="R713" s="103" t="s">
        <v>136</v>
      </c>
      <c r="S713" s="103" t="n">
        <v>616</v>
      </c>
      <c r="T713" s="103" t="n">
        <v>466</v>
      </c>
      <c r="U713" s="103" t="s">
        <v>1357</v>
      </c>
      <c r="V713" s="103" t="n">
        <v>2025</v>
      </c>
    </row>
    <row r="714" customFormat="false" ht="14.25" hidden="false" customHeight="false" outlineLevel="0" collapsed="false">
      <c r="A714" s="103" t="s">
        <v>1433</v>
      </c>
      <c r="B714" s="103" t="s">
        <v>352</v>
      </c>
      <c r="C714" s="104" t="n">
        <v>45895</v>
      </c>
      <c r="D714" s="103" t="s">
        <v>102</v>
      </c>
      <c r="E714" s="103" t="n">
        <v>54</v>
      </c>
      <c r="F714" s="103" t="s">
        <v>170</v>
      </c>
      <c r="G714" s="103" t="s">
        <v>85</v>
      </c>
      <c r="H714" s="103" t="n">
        <v>3</v>
      </c>
      <c r="I714" s="103" t="n">
        <v>126</v>
      </c>
      <c r="J714" s="103" t="n">
        <v>50</v>
      </c>
      <c r="K714" s="103" t="n">
        <v>20</v>
      </c>
      <c r="L714" s="103" t="s">
        <v>93</v>
      </c>
      <c r="M714" s="103" t="s">
        <v>66</v>
      </c>
      <c r="N714" s="103" t="s">
        <v>78</v>
      </c>
      <c r="O714" s="103" t="n">
        <v>40</v>
      </c>
      <c r="P714" s="103" t="n">
        <v>4.4</v>
      </c>
      <c r="Q714" s="103" t="n">
        <v>4</v>
      </c>
      <c r="R714" s="103" t="s">
        <v>133</v>
      </c>
      <c r="S714" s="103" t="n">
        <v>176</v>
      </c>
      <c r="T714" s="103" t="n">
        <v>156</v>
      </c>
      <c r="U714" s="103" t="s">
        <v>1357</v>
      </c>
      <c r="V714" s="103" t="n">
        <v>2025</v>
      </c>
    </row>
    <row r="715" customFormat="false" ht="14.25" hidden="false" customHeight="false" outlineLevel="0" collapsed="false">
      <c r="A715" s="103" t="s">
        <v>1434</v>
      </c>
      <c r="B715" s="103" t="s">
        <v>353</v>
      </c>
      <c r="C715" s="104" t="n">
        <v>45895</v>
      </c>
      <c r="D715" s="103" t="s">
        <v>106</v>
      </c>
      <c r="E715" s="103" t="n">
        <v>49</v>
      </c>
      <c r="F715" s="103" t="s">
        <v>171</v>
      </c>
      <c r="G715" s="103" t="s">
        <v>82</v>
      </c>
      <c r="H715" s="103" t="n">
        <v>3.5</v>
      </c>
      <c r="I715" s="103" t="n">
        <v>393</v>
      </c>
      <c r="J715" s="103" t="n">
        <v>40</v>
      </c>
      <c r="K715" s="103" t="n">
        <v>100</v>
      </c>
      <c r="L715" s="103" t="s">
        <v>93</v>
      </c>
      <c r="M715" s="103" t="s">
        <v>65</v>
      </c>
      <c r="N715" s="103" t="s">
        <v>77</v>
      </c>
      <c r="O715" s="103" t="n">
        <v>70</v>
      </c>
      <c r="P715" s="103" t="n">
        <v>14.8</v>
      </c>
      <c r="Q715" s="103" t="n">
        <v>4</v>
      </c>
      <c r="R715" s="103" t="s">
        <v>132</v>
      </c>
      <c r="S715" s="103" t="n">
        <v>433</v>
      </c>
      <c r="T715" s="103" t="n">
        <v>333</v>
      </c>
      <c r="U715" s="103" t="s">
        <v>1357</v>
      </c>
      <c r="V715" s="103" t="n">
        <v>2025</v>
      </c>
    </row>
    <row r="716" customFormat="false" ht="14.25" hidden="false" customHeight="false" outlineLevel="0" collapsed="false">
      <c r="A716" s="103" t="s">
        <v>1435</v>
      </c>
      <c r="B716" s="103" t="s">
        <v>354</v>
      </c>
      <c r="C716" s="104" t="n">
        <v>45896</v>
      </c>
      <c r="D716" s="103" t="s">
        <v>109</v>
      </c>
      <c r="E716" s="103" t="n">
        <v>58</v>
      </c>
      <c r="F716" s="103" t="s">
        <v>171</v>
      </c>
      <c r="G716" s="103" t="s">
        <v>86</v>
      </c>
      <c r="H716" s="103" t="n">
        <v>3.4</v>
      </c>
      <c r="I716" s="103" t="n">
        <v>707</v>
      </c>
      <c r="J716" s="103" t="n">
        <v>50</v>
      </c>
      <c r="K716" s="103" t="n">
        <v>10</v>
      </c>
      <c r="L716" s="103" t="s">
        <v>95</v>
      </c>
      <c r="M716" s="103" t="s">
        <v>66</v>
      </c>
      <c r="N716" s="103" t="s">
        <v>78</v>
      </c>
      <c r="O716" s="103" t="n">
        <v>46</v>
      </c>
      <c r="P716" s="103" t="n">
        <v>10.2</v>
      </c>
      <c r="Q716" s="103" t="n">
        <v>4</v>
      </c>
      <c r="R716" s="103" t="s">
        <v>141</v>
      </c>
      <c r="S716" s="103" t="n">
        <v>757</v>
      </c>
      <c r="T716" s="103" t="n">
        <v>747</v>
      </c>
      <c r="U716" s="103" t="s">
        <v>1357</v>
      </c>
      <c r="V716" s="103" t="n">
        <v>2025</v>
      </c>
    </row>
    <row r="717" customFormat="false" ht="14.25" hidden="false" customHeight="false" outlineLevel="0" collapsed="false">
      <c r="A717" s="103" t="s">
        <v>1436</v>
      </c>
      <c r="B717" s="103" t="s">
        <v>355</v>
      </c>
      <c r="C717" s="104" t="n">
        <v>45896</v>
      </c>
      <c r="D717" s="103" t="s">
        <v>110</v>
      </c>
      <c r="E717" s="103" t="n">
        <v>20</v>
      </c>
      <c r="F717" s="103" t="s">
        <v>171</v>
      </c>
      <c r="G717" s="103" t="s">
        <v>87</v>
      </c>
      <c r="H717" s="103" t="n">
        <v>4.8</v>
      </c>
      <c r="I717" s="103" t="n">
        <v>650</v>
      </c>
      <c r="J717" s="103" t="n">
        <v>0</v>
      </c>
      <c r="K717" s="103" t="n">
        <v>0</v>
      </c>
      <c r="L717" s="103" t="s">
        <v>95</v>
      </c>
      <c r="M717" s="103" t="s">
        <v>65</v>
      </c>
      <c r="N717" s="103" t="s">
        <v>77</v>
      </c>
      <c r="O717" s="103" t="n">
        <v>24</v>
      </c>
      <c r="P717" s="103" t="n">
        <v>7.2</v>
      </c>
      <c r="Q717" s="103" t="n">
        <v>5</v>
      </c>
      <c r="R717" s="103" t="s">
        <v>141</v>
      </c>
      <c r="S717" s="103" t="n">
        <v>650</v>
      </c>
      <c r="T717" s="103" t="n">
        <v>650</v>
      </c>
      <c r="U717" s="103" t="s">
        <v>1357</v>
      </c>
      <c r="V717" s="103" t="n">
        <v>2025</v>
      </c>
    </row>
    <row r="718" customFormat="false" ht="14.25" hidden="false" customHeight="false" outlineLevel="0" collapsed="false">
      <c r="A718" s="103" t="s">
        <v>1437</v>
      </c>
      <c r="B718" s="103" t="s">
        <v>356</v>
      </c>
      <c r="C718" s="104" t="n">
        <v>45896</v>
      </c>
      <c r="D718" s="103" t="s">
        <v>109</v>
      </c>
      <c r="E718" s="103" t="n">
        <v>45</v>
      </c>
      <c r="F718" s="103" t="s">
        <v>170</v>
      </c>
      <c r="G718" s="103" t="s">
        <v>82</v>
      </c>
      <c r="H718" s="103" t="n">
        <v>2.6</v>
      </c>
      <c r="I718" s="103" t="n">
        <v>1449</v>
      </c>
      <c r="J718" s="103" t="n">
        <v>50</v>
      </c>
      <c r="K718" s="103" t="n">
        <v>75</v>
      </c>
      <c r="L718" s="103" t="s">
        <v>93</v>
      </c>
      <c r="M718" s="103" t="s">
        <v>65</v>
      </c>
      <c r="N718" s="103" t="s">
        <v>78</v>
      </c>
      <c r="O718" s="103" t="n">
        <v>37</v>
      </c>
      <c r="P718" s="103" t="n">
        <v>9.4</v>
      </c>
      <c r="Q718" s="103" t="n">
        <v>3</v>
      </c>
      <c r="R718" s="103" t="s">
        <v>132</v>
      </c>
      <c r="S718" s="103" t="n">
        <v>1499</v>
      </c>
      <c r="T718" s="103" t="n">
        <v>1424</v>
      </c>
      <c r="U718" s="103" t="s">
        <v>1357</v>
      </c>
      <c r="V718" s="103" t="n">
        <v>2025</v>
      </c>
    </row>
    <row r="719" customFormat="false" ht="14.25" hidden="false" customHeight="false" outlineLevel="0" collapsed="false">
      <c r="A719" s="103" t="s">
        <v>1438</v>
      </c>
      <c r="B719" s="103" t="s">
        <v>357</v>
      </c>
      <c r="C719" s="104" t="n">
        <v>45897</v>
      </c>
      <c r="D719" s="103" t="s">
        <v>100</v>
      </c>
      <c r="E719" s="103" t="n">
        <v>27</v>
      </c>
      <c r="F719" s="103" t="s">
        <v>170</v>
      </c>
      <c r="G719" s="103" t="s">
        <v>83</v>
      </c>
      <c r="H719" s="103" t="n">
        <v>3.8</v>
      </c>
      <c r="I719" s="103" t="n">
        <v>1263</v>
      </c>
      <c r="J719" s="103" t="n">
        <v>20</v>
      </c>
      <c r="K719" s="103" t="n">
        <v>150</v>
      </c>
      <c r="L719" s="103" t="s">
        <v>93</v>
      </c>
      <c r="M719" s="103" t="s">
        <v>65</v>
      </c>
      <c r="N719" s="103" t="s">
        <v>77</v>
      </c>
      <c r="O719" s="103" t="n">
        <v>20</v>
      </c>
      <c r="P719" s="103" t="n">
        <v>4.5</v>
      </c>
      <c r="Q719" s="103" t="n">
        <v>4</v>
      </c>
      <c r="R719" s="103" t="s">
        <v>135</v>
      </c>
      <c r="S719" s="103" t="n">
        <v>1283</v>
      </c>
      <c r="T719" s="103" t="n">
        <v>1133</v>
      </c>
      <c r="U719" s="103" t="s">
        <v>1357</v>
      </c>
      <c r="V719" s="103" t="n">
        <v>2025</v>
      </c>
    </row>
    <row r="720" customFormat="false" ht="14.25" hidden="false" customHeight="false" outlineLevel="0" collapsed="false">
      <c r="A720" s="103" t="s">
        <v>1439</v>
      </c>
      <c r="B720" s="103" t="s">
        <v>358</v>
      </c>
      <c r="C720" s="104" t="n">
        <v>45897</v>
      </c>
      <c r="D720" s="103" t="s">
        <v>100</v>
      </c>
      <c r="E720" s="103" t="n">
        <v>52</v>
      </c>
      <c r="F720" s="103" t="s">
        <v>171</v>
      </c>
      <c r="G720" s="103" t="s">
        <v>81</v>
      </c>
      <c r="H720" s="103" t="n">
        <v>4.2</v>
      </c>
      <c r="I720" s="103" t="n">
        <v>623</v>
      </c>
      <c r="J720" s="103" t="n">
        <v>50</v>
      </c>
      <c r="K720" s="103" t="n">
        <v>0</v>
      </c>
      <c r="L720" s="103" t="s">
        <v>94</v>
      </c>
      <c r="M720" s="103" t="s">
        <v>65</v>
      </c>
      <c r="N720" s="103" t="s">
        <v>77</v>
      </c>
      <c r="O720" s="103" t="n">
        <v>37</v>
      </c>
      <c r="P720" s="103" t="n">
        <v>4.5</v>
      </c>
      <c r="Q720" s="103" t="n">
        <v>4</v>
      </c>
      <c r="R720" s="103" t="s">
        <v>136</v>
      </c>
      <c r="S720" s="103" t="n">
        <v>673</v>
      </c>
      <c r="T720" s="103" t="n">
        <v>673</v>
      </c>
      <c r="U720" s="103" t="s">
        <v>1357</v>
      </c>
      <c r="V720" s="103" t="n">
        <v>2025</v>
      </c>
    </row>
    <row r="721" customFormat="false" ht="14.25" hidden="false" customHeight="false" outlineLevel="0" collapsed="false">
      <c r="A721" s="103" t="s">
        <v>1440</v>
      </c>
      <c r="B721" s="103" t="s">
        <v>359</v>
      </c>
      <c r="C721" s="104" t="n">
        <v>45897</v>
      </c>
      <c r="D721" s="103" t="s">
        <v>103</v>
      </c>
      <c r="E721" s="103" t="n">
        <v>46</v>
      </c>
      <c r="F721" s="103" t="s">
        <v>171</v>
      </c>
      <c r="G721" s="103" t="s">
        <v>81</v>
      </c>
      <c r="H721" s="103" t="n">
        <v>4.8</v>
      </c>
      <c r="I721" s="103" t="n">
        <v>889</v>
      </c>
      <c r="J721" s="103" t="n">
        <v>30</v>
      </c>
      <c r="K721" s="103" t="n">
        <v>200</v>
      </c>
      <c r="L721" s="103" t="s">
        <v>93</v>
      </c>
      <c r="M721" s="103" t="s">
        <v>67</v>
      </c>
      <c r="N721" s="103" t="s">
        <v>77</v>
      </c>
      <c r="O721" s="103" t="n">
        <v>42</v>
      </c>
      <c r="P721" s="103" t="n">
        <v>2.1</v>
      </c>
      <c r="Q721" s="103" t="n">
        <v>5</v>
      </c>
      <c r="R721" s="103" t="s">
        <v>134</v>
      </c>
      <c r="S721" s="103" t="n">
        <v>919</v>
      </c>
      <c r="T721" s="103" t="n">
        <v>719</v>
      </c>
      <c r="U721" s="103" t="s">
        <v>1357</v>
      </c>
      <c r="V721" s="103" t="n">
        <v>2025</v>
      </c>
    </row>
    <row r="722" customFormat="false" ht="14.25" hidden="false" customHeight="false" outlineLevel="0" collapsed="false">
      <c r="A722" s="103" t="s">
        <v>1441</v>
      </c>
      <c r="B722" s="103" t="s">
        <v>360</v>
      </c>
      <c r="C722" s="104" t="n">
        <v>45898</v>
      </c>
      <c r="D722" s="103" t="s">
        <v>107</v>
      </c>
      <c r="E722" s="103" t="n">
        <v>32</v>
      </c>
      <c r="F722" s="103" t="s">
        <v>171</v>
      </c>
      <c r="G722" s="103" t="s">
        <v>90</v>
      </c>
      <c r="H722" s="103" t="n">
        <v>4.1</v>
      </c>
      <c r="I722" s="103" t="n">
        <v>281</v>
      </c>
      <c r="J722" s="103" t="n">
        <v>20</v>
      </c>
      <c r="K722" s="103" t="n">
        <v>20</v>
      </c>
      <c r="L722" s="103" t="s">
        <v>93</v>
      </c>
      <c r="M722" s="103" t="s">
        <v>65</v>
      </c>
      <c r="N722" s="103" t="s">
        <v>77</v>
      </c>
      <c r="O722" s="103" t="n">
        <v>63</v>
      </c>
      <c r="P722" s="103" t="n">
        <v>2.2</v>
      </c>
      <c r="Q722" s="103" t="n">
        <v>4</v>
      </c>
      <c r="R722" s="103" t="s">
        <v>133</v>
      </c>
      <c r="S722" s="103" t="n">
        <v>301</v>
      </c>
      <c r="T722" s="103" t="n">
        <v>281</v>
      </c>
      <c r="U722" s="103" t="s">
        <v>1357</v>
      </c>
      <c r="V722" s="103" t="n">
        <v>2025</v>
      </c>
    </row>
    <row r="723" customFormat="false" ht="14.25" hidden="false" customHeight="false" outlineLevel="0" collapsed="false">
      <c r="A723" s="103" t="s">
        <v>1442</v>
      </c>
      <c r="B723" s="103" t="s">
        <v>361</v>
      </c>
      <c r="C723" s="104" t="n">
        <v>45898</v>
      </c>
      <c r="D723" s="103" t="s">
        <v>107</v>
      </c>
      <c r="E723" s="103" t="n">
        <v>50</v>
      </c>
      <c r="F723" s="103" t="s">
        <v>171</v>
      </c>
      <c r="G723" s="103" t="s">
        <v>82</v>
      </c>
      <c r="H723" s="103" t="n">
        <v>4.5</v>
      </c>
      <c r="I723" s="103" t="n">
        <v>1629</v>
      </c>
      <c r="J723" s="103" t="n">
        <v>0</v>
      </c>
      <c r="K723" s="103" t="n">
        <v>20</v>
      </c>
      <c r="L723" s="103" t="s">
        <v>93</v>
      </c>
      <c r="M723" s="103" t="s">
        <v>65</v>
      </c>
      <c r="N723" s="103" t="s">
        <v>77</v>
      </c>
      <c r="O723" s="103" t="n">
        <v>44</v>
      </c>
      <c r="P723" s="103" t="n">
        <v>5.5</v>
      </c>
      <c r="Q723" s="103" t="n">
        <v>5</v>
      </c>
      <c r="R723" s="103" t="s">
        <v>142</v>
      </c>
      <c r="S723" s="103" t="n">
        <v>1629</v>
      </c>
      <c r="T723" s="103" t="n">
        <v>1609</v>
      </c>
      <c r="U723" s="103" t="s">
        <v>1357</v>
      </c>
      <c r="V723" s="103" t="n">
        <v>2025</v>
      </c>
    </row>
    <row r="724" customFormat="false" ht="14.25" hidden="false" customHeight="false" outlineLevel="0" collapsed="false">
      <c r="A724" s="103" t="s">
        <v>1443</v>
      </c>
      <c r="B724" s="103" t="s">
        <v>362</v>
      </c>
      <c r="C724" s="104" t="n">
        <v>45898</v>
      </c>
      <c r="D724" s="103" t="s">
        <v>102</v>
      </c>
      <c r="E724" s="103" t="n">
        <v>24</v>
      </c>
      <c r="F724" s="103" t="s">
        <v>170</v>
      </c>
      <c r="G724" s="103" t="s">
        <v>90</v>
      </c>
      <c r="H724" s="103" t="n">
        <v>2.7</v>
      </c>
      <c r="I724" s="103" t="n">
        <v>1692</v>
      </c>
      <c r="J724" s="103" t="n">
        <v>20</v>
      </c>
      <c r="K724" s="103" t="n">
        <v>30</v>
      </c>
      <c r="L724" s="103" t="s">
        <v>93</v>
      </c>
      <c r="M724" s="103" t="s">
        <v>65</v>
      </c>
      <c r="N724" s="103" t="s">
        <v>77</v>
      </c>
      <c r="O724" s="103" t="n">
        <v>28</v>
      </c>
      <c r="P724" s="103" t="n">
        <v>11.6</v>
      </c>
      <c r="Q724" s="103" t="n">
        <v>5</v>
      </c>
      <c r="R724" s="103" t="s">
        <v>131</v>
      </c>
      <c r="S724" s="103" t="n">
        <v>1712</v>
      </c>
      <c r="T724" s="103" t="n">
        <v>1682</v>
      </c>
      <c r="U724" s="103" t="s">
        <v>1357</v>
      </c>
      <c r="V724" s="103" t="n">
        <v>2025</v>
      </c>
    </row>
    <row r="725" customFormat="false" ht="14.25" hidden="false" customHeight="false" outlineLevel="0" collapsed="false">
      <c r="A725" s="103" t="s">
        <v>1444</v>
      </c>
      <c r="B725" s="103" t="s">
        <v>363</v>
      </c>
      <c r="C725" s="104" t="n">
        <v>45899</v>
      </c>
      <c r="D725" s="103" t="s">
        <v>108</v>
      </c>
      <c r="E725" s="103" t="n">
        <v>29</v>
      </c>
      <c r="F725" s="103" t="s">
        <v>170</v>
      </c>
      <c r="G725" s="103" t="s">
        <v>87</v>
      </c>
      <c r="H725" s="103" t="n">
        <v>3.5</v>
      </c>
      <c r="I725" s="103" t="n">
        <v>1766</v>
      </c>
      <c r="J725" s="103" t="n">
        <v>30</v>
      </c>
      <c r="K725" s="103" t="n">
        <v>0</v>
      </c>
      <c r="L725" s="103" t="s">
        <v>94</v>
      </c>
      <c r="M725" s="103" t="s">
        <v>66</v>
      </c>
      <c r="N725" s="103" t="s">
        <v>78</v>
      </c>
      <c r="O725" s="103" t="n">
        <v>51</v>
      </c>
      <c r="P725" s="103" t="n">
        <v>9.3</v>
      </c>
      <c r="Q725" s="103" t="n">
        <v>4</v>
      </c>
      <c r="R725" s="103" t="s">
        <v>134</v>
      </c>
      <c r="S725" s="103" t="n">
        <v>1796</v>
      </c>
      <c r="T725" s="103" t="n">
        <v>1796</v>
      </c>
      <c r="U725" s="103" t="s">
        <v>1357</v>
      </c>
      <c r="V725" s="103" t="n">
        <v>2025</v>
      </c>
    </row>
    <row r="726" customFormat="false" ht="14.25" hidden="false" customHeight="false" outlineLevel="0" collapsed="false">
      <c r="A726" s="103" t="s">
        <v>1445</v>
      </c>
      <c r="B726" s="103" t="s">
        <v>364</v>
      </c>
      <c r="C726" s="104" t="n">
        <v>45899</v>
      </c>
      <c r="D726" s="103" t="s">
        <v>109</v>
      </c>
      <c r="E726" s="103" t="n">
        <v>47</v>
      </c>
      <c r="F726" s="103" t="s">
        <v>171</v>
      </c>
      <c r="G726" s="103" t="s">
        <v>90</v>
      </c>
      <c r="H726" s="103" t="n">
        <v>3.4</v>
      </c>
      <c r="I726" s="103" t="n">
        <v>1579</v>
      </c>
      <c r="J726" s="103" t="n">
        <v>0</v>
      </c>
      <c r="K726" s="103" t="n">
        <v>200</v>
      </c>
      <c r="L726" s="103" t="s">
        <v>97</v>
      </c>
      <c r="M726" s="103" t="s">
        <v>65</v>
      </c>
      <c r="N726" s="103" t="s">
        <v>77</v>
      </c>
      <c r="O726" s="103" t="n">
        <v>69</v>
      </c>
      <c r="P726" s="103" t="n">
        <v>2</v>
      </c>
      <c r="Q726" s="103" t="n">
        <v>4</v>
      </c>
      <c r="R726" s="103" t="s">
        <v>139</v>
      </c>
      <c r="S726" s="103" t="n">
        <v>1579</v>
      </c>
      <c r="T726" s="103" t="n">
        <v>1379</v>
      </c>
      <c r="U726" s="103" t="s">
        <v>1357</v>
      </c>
      <c r="V726" s="103" t="n">
        <v>2025</v>
      </c>
    </row>
    <row r="727" customFormat="false" ht="14.25" hidden="false" customHeight="false" outlineLevel="0" collapsed="false">
      <c r="A727" s="103" t="s">
        <v>1446</v>
      </c>
      <c r="B727" s="103" t="s">
        <v>365</v>
      </c>
      <c r="C727" s="104" t="n">
        <v>45899</v>
      </c>
      <c r="D727" s="103" t="s">
        <v>111</v>
      </c>
      <c r="E727" s="103" t="n">
        <v>38</v>
      </c>
      <c r="F727" s="103" t="s">
        <v>171</v>
      </c>
      <c r="G727" s="103" t="s">
        <v>82</v>
      </c>
      <c r="H727" s="103" t="n">
        <v>4.7</v>
      </c>
      <c r="I727" s="103" t="n">
        <v>412</v>
      </c>
      <c r="J727" s="103" t="n">
        <v>40</v>
      </c>
      <c r="K727" s="103" t="n">
        <v>20</v>
      </c>
      <c r="L727" s="103" t="s">
        <v>95</v>
      </c>
      <c r="M727" s="103" t="s">
        <v>66</v>
      </c>
      <c r="N727" s="103" t="s">
        <v>78</v>
      </c>
      <c r="O727" s="103" t="n">
        <v>46</v>
      </c>
      <c r="P727" s="103" t="n">
        <v>12.9</v>
      </c>
      <c r="Q727" s="103" t="n">
        <v>4</v>
      </c>
      <c r="R727" s="103" t="s">
        <v>134</v>
      </c>
      <c r="S727" s="103" t="n">
        <v>452</v>
      </c>
      <c r="T727" s="103" t="n">
        <v>432</v>
      </c>
      <c r="U727" s="103" t="s">
        <v>1357</v>
      </c>
      <c r="V727" s="103" t="n">
        <v>2025</v>
      </c>
    </row>
    <row r="728" customFormat="false" ht="14.25" hidden="false" customHeight="false" outlineLevel="0" collapsed="false">
      <c r="A728" s="103" t="s">
        <v>1447</v>
      </c>
      <c r="B728" s="103" t="s">
        <v>366</v>
      </c>
      <c r="C728" s="104" t="n">
        <v>45900</v>
      </c>
      <c r="D728" s="103" t="s">
        <v>101</v>
      </c>
      <c r="E728" s="103" t="n">
        <v>48</v>
      </c>
      <c r="F728" s="103" t="s">
        <v>172</v>
      </c>
      <c r="G728" s="103" t="s">
        <v>86</v>
      </c>
      <c r="H728" s="103" t="n">
        <v>2.9</v>
      </c>
      <c r="I728" s="103" t="n">
        <v>198</v>
      </c>
      <c r="J728" s="103" t="n">
        <v>30</v>
      </c>
      <c r="K728" s="103" t="n">
        <v>30</v>
      </c>
      <c r="L728" s="103" t="s">
        <v>93</v>
      </c>
      <c r="M728" s="103" t="s">
        <v>65</v>
      </c>
      <c r="N728" s="103" t="s">
        <v>78</v>
      </c>
      <c r="O728" s="103" t="n">
        <v>63</v>
      </c>
      <c r="P728" s="103" t="n">
        <v>9.2</v>
      </c>
      <c r="Q728" s="103" t="n">
        <v>5</v>
      </c>
      <c r="R728" s="103" t="s">
        <v>134</v>
      </c>
      <c r="S728" s="103" t="n">
        <v>228</v>
      </c>
      <c r="T728" s="103" t="n">
        <v>198</v>
      </c>
      <c r="U728" s="103" t="s">
        <v>1357</v>
      </c>
      <c r="V728" s="103" t="n">
        <v>2025</v>
      </c>
    </row>
    <row r="729" customFormat="false" ht="14.25" hidden="false" customHeight="false" outlineLevel="0" collapsed="false">
      <c r="A729" s="103" t="s">
        <v>1448</v>
      </c>
      <c r="B729" s="103" t="s">
        <v>367</v>
      </c>
      <c r="C729" s="104" t="n">
        <v>45900</v>
      </c>
      <c r="D729" s="103" t="s">
        <v>104</v>
      </c>
      <c r="E729" s="103" t="n">
        <v>41</v>
      </c>
      <c r="F729" s="103" t="s">
        <v>171</v>
      </c>
      <c r="G729" s="103" t="s">
        <v>83</v>
      </c>
      <c r="H729" s="103" t="n">
        <v>2.9</v>
      </c>
      <c r="I729" s="103" t="n">
        <v>1094</v>
      </c>
      <c r="J729" s="103" t="n">
        <v>0</v>
      </c>
      <c r="K729" s="103" t="n">
        <v>0</v>
      </c>
      <c r="L729" s="103" t="s">
        <v>94</v>
      </c>
      <c r="M729" s="103" t="s">
        <v>65</v>
      </c>
      <c r="N729" s="103" t="s">
        <v>77</v>
      </c>
      <c r="O729" s="103" t="n">
        <v>48</v>
      </c>
      <c r="P729" s="103" t="n">
        <v>14.4</v>
      </c>
      <c r="Q729" s="103" t="n">
        <v>2</v>
      </c>
      <c r="R729" s="103" t="s">
        <v>138</v>
      </c>
      <c r="S729" s="103" t="n">
        <v>1094</v>
      </c>
      <c r="T729" s="103" t="n">
        <v>1094</v>
      </c>
      <c r="U729" s="103" t="s">
        <v>1357</v>
      </c>
      <c r="V729" s="103" t="n">
        <v>2025</v>
      </c>
    </row>
    <row r="730" customFormat="false" ht="14.25" hidden="false" customHeight="false" outlineLevel="0" collapsed="false">
      <c r="A730" s="103" t="s">
        <v>1449</v>
      </c>
      <c r="B730" s="103" t="s">
        <v>368</v>
      </c>
      <c r="C730" s="104" t="n">
        <v>45900</v>
      </c>
      <c r="D730" s="103" t="s">
        <v>105</v>
      </c>
      <c r="E730" s="103" t="n">
        <v>37</v>
      </c>
      <c r="F730" s="103" t="s">
        <v>170</v>
      </c>
      <c r="G730" s="103" t="s">
        <v>81</v>
      </c>
      <c r="H730" s="103" t="n">
        <v>3.3</v>
      </c>
      <c r="I730" s="103" t="n">
        <v>1653</v>
      </c>
      <c r="J730" s="103" t="n">
        <v>50</v>
      </c>
      <c r="K730" s="103" t="n">
        <v>30</v>
      </c>
      <c r="L730" s="103" t="s">
        <v>94</v>
      </c>
      <c r="M730" s="103" t="s">
        <v>66</v>
      </c>
      <c r="N730" s="103" t="s">
        <v>77</v>
      </c>
      <c r="O730" s="103" t="n">
        <v>55</v>
      </c>
      <c r="P730" s="103" t="n">
        <v>10.2</v>
      </c>
      <c r="Q730" s="103" t="n">
        <v>4</v>
      </c>
      <c r="R730" s="103" t="s">
        <v>136</v>
      </c>
      <c r="S730" s="103" t="n">
        <v>1703</v>
      </c>
      <c r="T730" s="103" t="n">
        <v>1673</v>
      </c>
      <c r="U730" s="103" t="s">
        <v>1357</v>
      </c>
      <c r="V730" s="103" t="n">
        <v>2025</v>
      </c>
    </row>
    <row r="731" customFormat="false" ht="14.25" hidden="false" customHeight="false" outlineLevel="0" collapsed="false">
      <c r="A731" s="103" t="s">
        <v>1450</v>
      </c>
      <c r="B731" s="103" t="s">
        <v>369</v>
      </c>
      <c r="C731" s="104" t="n">
        <v>45901</v>
      </c>
      <c r="D731" s="103" t="s">
        <v>107</v>
      </c>
      <c r="E731" s="103" t="n">
        <v>54</v>
      </c>
      <c r="F731" s="103" t="s">
        <v>171</v>
      </c>
      <c r="G731" s="103" t="s">
        <v>87</v>
      </c>
      <c r="H731" s="103" t="n">
        <v>2.6</v>
      </c>
      <c r="I731" s="103" t="n">
        <v>418</v>
      </c>
      <c r="J731" s="103" t="n">
        <v>20</v>
      </c>
      <c r="K731" s="103" t="n">
        <v>0</v>
      </c>
      <c r="L731" s="103" t="s">
        <v>93</v>
      </c>
      <c r="M731" s="103" t="s">
        <v>65</v>
      </c>
      <c r="N731" s="103" t="s">
        <v>77</v>
      </c>
      <c r="O731" s="103" t="n">
        <v>58</v>
      </c>
      <c r="P731" s="103" t="n">
        <v>3</v>
      </c>
      <c r="Q731" s="103" t="n">
        <v>5</v>
      </c>
      <c r="R731" s="103" t="s">
        <v>131</v>
      </c>
      <c r="S731" s="103" t="n">
        <v>438</v>
      </c>
      <c r="T731" s="103" t="n">
        <v>438</v>
      </c>
      <c r="U731" s="103" t="s">
        <v>1451</v>
      </c>
      <c r="V731" s="103" t="n">
        <v>2025</v>
      </c>
    </row>
    <row r="732" customFormat="false" ht="14.25" hidden="false" customHeight="false" outlineLevel="0" collapsed="false">
      <c r="A732" s="103" t="s">
        <v>1452</v>
      </c>
      <c r="B732" s="103" t="s">
        <v>370</v>
      </c>
      <c r="C732" s="104" t="n">
        <v>45901</v>
      </c>
      <c r="D732" s="103" t="s">
        <v>101</v>
      </c>
      <c r="E732" s="103" t="n">
        <v>21</v>
      </c>
      <c r="F732" s="103" t="s">
        <v>170</v>
      </c>
      <c r="G732" s="103" t="s">
        <v>81</v>
      </c>
      <c r="H732" s="103" t="n">
        <v>3</v>
      </c>
      <c r="I732" s="103" t="n">
        <v>132</v>
      </c>
      <c r="J732" s="103" t="n">
        <v>0</v>
      </c>
      <c r="K732" s="103" t="n">
        <v>50</v>
      </c>
      <c r="L732" s="103" t="s">
        <v>97</v>
      </c>
      <c r="M732" s="103" t="s">
        <v>65</v>
      </c>
      <c r="N732" s="103" t="s">
        <v>77</v>
      </c>
      <c r="O732" s="103" t="n">
        <v>65</v>
      </c>
      <c r="P732" s="103" t="n">
        <v>7.4</v>
      </c>
      <c r="Q732" s="103" t="n">
        <v>5</v>
      </c>
      <c r="R732" s="103" t="s">
        <v>138</v>
      </c>
      <c r="S732" s="103" t="n">
        <v>132</v>
      </c>
      <c r="T732" s="103" t="n">
        <v>82</v>
      </c>
      <c r="U732" s="103" t="s">
        <v>1451</v>
      </c>
      <c r="V732" s="103" t="n">
        <v>2025</v>
      </c>
    </row>
    <row r="733" customFormat="false" ht="14.25" hidden="false" customHeight="false" outlineLevel="0" collapsed="false">
      <c r="A733" s="103" t="s">
        <v>1453</v>
      </c>
      <c r="B733" s="103" t="s">
        <v>371</v>
      </c>
      <c r="C733" s="104" t="n">
        <v>45901</v>
      </c>
      <c r="D733" s="103" t="s">
        <v>105</v>
      </c>
      <c r="E733" s="103" t="n">
        <v>45</v>
      </c>
      <c r="F733" s="103" t="s">
        <v>171</v>
      </c>
      <c r="G733" s="103" t="s">
        <v>85</v>
      </c>
      <c r="H733" s="103" t="n">
        <v>4.9</v>
      </c>
      <c r="I733" s="103" t="n">
        <v>1473</v>
      </c>
      <c r="J733" s="103" t="n">
        <v>20</v>
      </c>
      <c r="K733" s="103" t="n">
        <v>50</v>
      </c>
      <c r="L733" s="103" t="s">
        <v>94</v>
      </c>
      <c r="M733" s="103" t="s">
        <v>65</v>
      </c>
      <c r="N733" s="103" t="s">
        <v>77</v>
      </c>
      <c r="O733" s="103" t="n">
        <v>36</v>
      </c>
      <c r="P733" s="103" t="n">
        <v>9.9</v>
      </c>
      <c r="Q733" s="103" t="n">
        <v>4</v>
      </c>
      <c r="R733" s="103" t="s">
        <v>136</v>
      </c>
      <c r="S733" s="103" t="n">
        <v>1493</v>
      </c>
      <c r="T733" s="103" t="n">
        <v>1443</v>
      </c>
      <c r="U733" s="103" t="s">
        <v>1451</v>
      </c>
      <c r="V733" s="103" t="n">
        <v>2025</v>
      </c>
    </row>
    <row r="734" customFormat="false" ht="14.25" hidden="false" customHeight="false" outlineLevel="0" collapsed="false">
      <c r="A734" s="103" t="s">
        <v>1454</v>
      </c>
      <c r="B734" s="103" t="s">
        <v>372</v>
      </c>
      <c r="C734" s="104" t="n">
        <v>45902</v>
      </c>
      <c r="D734" s="103" t="s">
        <v>101</v>
      </c>
      <c r="E734" s="103" t="n">
        <v>37</v>
      </c>
      <c r="F734" s="103" t="s">
        <v>170</v>
      </c>
      <c r="G734" s="103" t="s">
        <v>83</v>
      </c>
      <c r="H734" s="103" t="n">
        <v>3.6</v>
      </c>
      <c r="I734" s="103" t="n">
        <v>249</v>
      </c>
      <c r="J734" s="103" t="n">
        <v>50</v>
      </c>
      <c r="K734" s="103" t="n">
        <v>100</v>
      </c>
      <c r="L734" s="103" t="s">
        <v>97</v>
      </c>
      <c r="M734" s="103" t="s">
        <v>65</v>
      </c>
      <c r="N734" s="103" t="s">
        <v>77</v>
      </c>
      <c r="O734" s="103" t="n">
        <v>45</v>
      </c>
      <c r="P734" s="103" t="n">
        <v>0.9</v>
      </c>
      <c r="Q734" s="103" t="n">
        <v>4</v>
      </c>
      <c r="R734" s="103" t="s">
        <v>137</v>
      </c>
      <c r="S734" s="103" t="n">
        <v>299</v>
      </c>
      <c r="T734" s="103" t="n">
        <v>199</v>
      </c>
      <c r="U734" s="103" t="s">
        <v>1451</v>
      </c>
      <c r="V734" s="103" t="n">
        <v>2025</v>
      </c>
    </row>
    <row r="735" customFormat="false" ht="14.25" hidden="false" customHeight="false" outlineLevel="0" collapsed="false">
      <c r="A735" s="103" t="s">
        <v>1455</v>
      </c>
      <c r="B735" s="103" t="s">
        <v>373</v>
      </c>
      <c r="C735" s="104" t="n">
        <v>45902</v>
      </c>
      <c r="D735" s="103" t="s">
        <v>103</v>
      </c>
      <c r="E735" s="103" t="n">
        <v>41</v>
      </c>
      <c r="F735" s="103" t="s">
        <v>170</v>
      </c>
      <c r="G735" s="103" t="s">
        <v>84</v>
      </c>
      <c r="H735" s="103" t="n">
        <v>4.1</v>
      </c>
      <c r="I735" s="103" t="n">
        <v>815</v>
      </c>
      <c r="J735" s="103" t="n">
        <v>0</v>
      </c>
      <c r="K735" s="103" t="n">
        <v>150</v>
      </c>
      <c r="L735" s="103" t="s">
        <v>94</v>
      </c>
      <c r="M735" s="103" t="s">
        <v>65</v>
      </c>
      <c r="N735" s="103" t="s">
        <v>78</v>
      </c>
      <c r="O735" s="103" t="n">
        <v>21</v>
      </c>
      <c r="P735" s="103" t="n">
        <v>0.7</v>
      </c>
      <c r="Q735" s="103" t="n">
        <v>3</v>
      </c>
      <c r="R735" s="103" t="s">
        <v>131</v>
      </c>
      <c r="S735" s="103" t="n">
        <v>815</v>
      </c>
      <c r="T735" s="103" t="n">
        <v>665</v>
      </c>
      <c r="U735" s="103" t="s">
        <v>1451</v>
      </c>
      <c r="V735" s="103" t="n">
        <v>2025</v>
      </c>
    </row>
    <row r="736" customFormat="false" ht="14.25" hidden="false" customHeight="false" outlineLevel="0" collapsed="false">
      <c r="A736" s="103" t="s">
        <v>1456</v>
      </c>
      <c r="B736" s="103" t="s">
        <v>374</v>
      </c>
      <c r="C736" s="104" t="n">
        <v>45902</v>
      </c>
      <c r="D736" s="103" t="s">
        <v>105</v>
      </c>
      <c r="E736" s="103" t="n">
        <v>49</v>
      </c>
      <c r="F736" s="103" t="s">
        <v>171</v>
      </c>
      <c r="G736" s="103" t="s">
        <v>90</v>
      </c>
      <c r="H736" s="103" t="n">
        <v>4.3</v>
      </c>
      <c r="I736" s="103" t="n">
        <v>1261</v>
      </c>
      <c r="J736" s="103" t="n">
        <v>40</v>
      </c>
      <c r="K736" s="103" t="n">
        <v>30</v>
      </c>
      <c r="L736" s="103" t="s">
        <v>94</v>
      </c>
      <c r="M736" s="103" t="s">
        <v>65</v>
      </c>
      <c r="N736" s="103" t="s">
        <v>77</v>
      </c>
      <c r="O736" s="103" t="n">
        <v>55</v>
      </c>
      <c r="P736" s="103" t="n">
        <v>2.4</v>
      </c>
      <c r="Q736" s="103" t="n">
        <v>4</v>
      </c>
      <c r="R736" s="103" t="s">
        <v>136</v>
      </c>
      <c r="S736" s="103" t="n">
        <v>1301</v>
      </c>
      <c r="T736" s="103" t="n">
        <v>1271</v>
      </c>
      <c r="U736" s="103" t="s">
        <v>1451</v>
      </c>
      <c r="V736" s="103" t="n">
        <v>2025</v>
      </c>
    </row>
    <row r="737" customFormat="false" ht="14.25" hidden="false" customHeight="false" outlineLevel="0" collapsed="false">
      <c r="A737" s="103" t="s">
        <v>1457</v>
      </c>
      <c r="B737" s="103" t="s">
        <v>375</v>
      </c>
      <c r="C737" s="104" t="n">
        <v>45903</v>
      </c>
      <c r="D737" s="103" t="s">
        <v>104</v>
      </c>
      <c r="E737" s="103" t="n">
        <v>58</v>
      </c>
      <c r="F737" s="103" t="s">
        <v>171</v>
      </c>
      <c r="G737" s="103" t="s">
        <v>89</v>
      </c>
      <c r="H737" s="103" t="n">
        <v>3.4</v>
      </c>
      <c r="I737" s="103" t="n">
        <v>518</v>
      </c>
      <c r="J737" s="103" t="n">
        <v>30</v>
      </c>
      <c r="K737" s="103" t="n">
        <v>100</v>
      </c>
      <c r="L737" s="103" t="s">
        <v>93</v>
      </c>
      <c r="M737" s="103" t="s">
        <v>67</v>
      </c>
      <c r="N737" s="103" t="s">
        <v>77</v>
      </c>
      <c r="O737" s="103" t="n">
        <v>35</v>
      </c>
      <c r="P737" s="103" t="n">
        <v>4.1</v>
      </c>
      <c r="Q737" s="103" t="n">
        <v>4</v>
      </c>
      <c r="R737" s="103" t="s">
        <v>141</v>
      </c>
      <c r="S737" s="103" t="n">
        <v>548</v>
      </c>
      <c r="T737" s="103" t="n">
        <v>448</v>
      </c>
      <c r="U737" s="103" t="s">
        <v>1451</v>
      </c>
      <c r="V737" s="103" t="n">
        <v>2025</v>
      </c>
    </row>
    <row r="738" customFormat="false" ht="14.25" hidden="false" customHeight="false" outlineLevel="0" collapsed="false">
      <c r="A738" s="103" t="s">
        <v>1458</v>
      </c>
      <c r="B738" s="103" t="s">
        <v>376</v>
      </c>
      <c r="C738" s="104" t="n">
        <v>45903</v>
      </c>
      <c r="D738" s="103" t="s">
        <v>101</v>
      </c>
      <c r="E738" s="103" t="n">
        <v>53</v>
      </c>
      <c r="F738" s="103" t="s">
        <v>171</v>
      </c>
      <c r="G738" s="103" t="s">
        <v>82</v>
      </c>
      <c r="H738" s="103" t="n">
        <v>2.9</v>
      </c>
      <c r="I738" s="103" t="n">
        <v>261</v>
      </c>
      <c r="J738" s="103" t="n">
        <v>0</v>
      </c>
      <c r="K738" s="103" t="n">
        <v>30</v>
      </c>
      <c r="L738" s="103" t="s">
        <v>94</v>
      </c>
      <c r="M738" s="103" t="s">
        <v>65</v>
      </c>
      <c r="N738" s="103" t="s">
        <v>77</v>
      </c>
      <c r="O738" s="103" t="n">
        <v>30</v>
      </c>
      <c r="P738" s="103" t="n">
        <v>6.7</v>
      </c>
      <c r="Q738" s="103" t="n">
        <v>5</v>
      </c>
      <c r="R738" s="103" t="s">
        <v>138</v>
      </c>
      <c r="S738" s="103" t="n">
        <v>261</v>
      </c>
      <c r="T738" s="103" t="n">
        <v>231</v>
      </c>
      <c r="U738" s="103" t="s">
        <v>1451</v>
      </c>
      <c r="V738" s="103" t="n">
        <v>2025</v>
      </c>
    </row>
    <row r="739" customFormat="false" ht="14.25" hidden="false" customHeight="false" outlineLevel="0" collapsed="false">
      <c r="A739" s="103" t="s">
        <v>1459</v>
      </c>
      <c r="B739" s="103" t="s">
        <v>377</v>
      </c>
      <c r="C739" s="104" t="n">
        <v>45903</v>
      </c>
      <c r="D739" s="103" t="s">
        <v>106</v>
      </c>
      <c r="E739" s="103" t="n">
        <v>51</v>
      </c>
      <c r="F739" s="103" t="s">
        <v>171</v>
      </c>
      <c r="G739" s="103" t="s">
        <v>81</v>
      </c>
      <c r="H739" s="103" t="n">
        <v>3</v>
      </c>
      <c r="I739" s="103" t="n">
        <v>1414</v>
      </c>
      <c r="J739" s="103" t="n">
        <v>50</v>
      </c>
      <c r="K739" s="103" t="n">
        <v>20</v>
      </c>
      <c r="L739" s="103" t="s">
        <v>93</v>
      </c>
      <c r="M739" s="103" t="s">
        <v>65</v>
      </c>
      <c r="N739" s="103" t="s">
        <v>78</v>
      </c>
      <c r="O739" s="103" t="n">
        <v>34</v>
      </c>
      <c r="P739" s="103" t="n">
        <v>7.6</v>
      </c>
      <c r="Q739" s="103" t="n">
        <v>4</v>
      </c>
      <c r="R739" s="103" t="s">
        <v>137</v>
      </c>
      <c r="S739" s="103" t="n">
        <v>1464</v>
      </c>
      <c r="T739" s="103" t="n">
        <v>1444</v>
      </c>
      <c r="U739" s="103" t="s">
        <v>1451</v>
      </c>
      <c r="V739" s="103" t="n">
        <v>2025</v>
      </c>
    </row>
    <row r="740" customFormat="false" ht="14.25" hidden="false" customHeight="false" outlineLevel="0" collapsed="false">
      <c r="A740" s="103" t="s">
        <v>1460</v>
      </c>
      <c r="B740" s="103" t="s">
        <v>378</v>
      </c>
      <c r="C740" s="104" t="n">
        <v>45904</v>
      </c>
      <c r="D740" s="103" t="s">
        <v>104</v>
      </c>
      <c r="E740" s="103" t="n">
        <v>53</v>
      </c>
      <c r="F740" s="103" t="s">
        <v>171</v>
      </c>
      <c r="G740" s="103" t="s">
        <v>90</v>
      </c>
      <c r="H740" s="103" t="n">
        <v>3.3</v>
      </c>
      <c r="I740" s="103" t="n">
        <v>1179</v>
      </c>
      <c r="J740" s="103" t="n">
        <v>0</v>
      </c>
      <c r="K740" s="103" t="n">
        <v>75</v>
      </c>
      <c r="L740" s="103" t="s">
        <v>96</v>
      </c>
      <c r="M740" s="103" t="s">
        <v>65</v>
      </c>
      <c r="N740" s="103" t="s">
        <v>77</v>
      </c>
      <c r="O740" s="103" t="n">
        <v>57</v>
      </c>
      <c r="P740" s="103" t="n">
        <v>2.5</v>
      </c>
      <c r="Q740" s="103" t="n">
        <v>5</v>
      </c>
      <c r="R740" s="103" t="s">
        <v>135</v>
      </c>
      <c r="S740" s="103" t="n">
        <v>1179</v>
      </c>
      <c r="T740" s="103" t="n">
        <v>1104</v>
      </c>
      <c r="U740" s="103" t="s">
        <v>1451</v>
      </c>
      <c r="V740" s="103" t="n">
        <v>2025</v>
      </c>
    </row>
    <row r="741" customFormat="false" ht="14.25" hidden="false" customHeight="false" outlineLevel="0" collapsed="false">
      <c r="A741" s="103" t="s">
        <v>1461</v>
      </c>
      <c r="B741" s="103" t="s">
        <v>379</v>
      </c>
      <c r="C741" s="104" t="n">
        <v>45904</v>
      </c>
      <c r="D741" s="103" t="s">
        <v>105</v>
      </c>
      <c r="E741" s="103" t="n">
        <v>19</v>
      </c>
      <c r="F741" s="103" t="s">
        <v>171</v>
      </c>
      <c r="G741" s="103" t="s">
        <v>87</v>
      </c>
      <c r="H741" s="103" t="n">
        <v>4.1</v>
      </c>
      <c r="I741" s="103" t="n">
        <v>1781</v>
      </c>
      <c r="J741" s="103" t="n">
        <v>20</v>
      </c>
      <c r="K741" s="103" t="n">
        <v>30</v>
      </c>
      <c r="L741" s="103" t="s">
        <v>95</v>
      </c>
      <c r="M741" s="103" t="s">
        <v>65</v>
      </c>
      <c r="N741" s="103" t="s">
        <v>77</v>
      </c>
      <c r="O741" s="103" t="n">
        <v>58</v>
      </c>
      <c r="P741" s="103" t="n">
        <v>10.3</v>
      </c>
      <c r="Q741" s="103" t="n">
        <v>5</v>
      </c>
      <c r="R741" s="103" t="s">
        <v>131</v>
      </c>
      <c r="S741" s="103" t="n">
        <v>1801</v>
      </c>
      <c r="T741" s="103" t="n">
        <v>1771</v>
      </c>
      <c r="U741" s="103" t="s">
        <v>1451</v>
      </c>
      <c r="V741" s="103" t="n">
        <v>2025</v>
      </c>
    </row>
    <row r="742" customFormat="false" ht="14.25" hidden="false" customHeight="false" outlineLevel="0" collapsed="false">
      <c r="A742" s="103" t="s">
        <v>1462</v>
      </c>
      <c r="B742" s="103" t="s">
        <v>380</v>
      </c>
      <c r="C742" s="104" t="n">
        <v>45904</v>
      </c>
      <c r="D742" s="103" t="s">
        <v>104</v>
      </c>
      <c r="E742" s="103" t="n">
        <v>32</v>
      </c>
      <c r="F742" s="103" t="s">
        <v>170</v>
      </c>
      <c r="G742" s="103" t="s">
        <v>81</v>
      </c>
      <c r="H742" s="103" t="n">
        <v>3.5</v>
      </c>
      <c r="I742" s="103" t="n">
        <v>698</v>
      </c>
      <c r="J742" s="103" t="n">
        <v>60</v>
      </c>
      <c r="K742" s="103" t="n">
        <v>20</v>
      </c>
      <c r="L742" s="103" t="s">
        <v>96</v>
      </c>
      <c r="M742" s="103" t="s">
        <v>65</v>
      </c>
      <c r="N742" s="103" t="s">
        <v>77</v>
      </c>
      <c r="O742" s="103" t="n">
        <v>61</v>
      </c>
      <c r="P742" s="103" t="n">
        <v>9.1</v>
      </c>
      <c r="Q742" s="103" t="n">
        <v>1</v>
      </c>
      <c r="R742" s="103" t="s">
        <v>139</v>
      </c>
      <c r="S742" s="103" t="n">
        <v>758</v>
      </c>
      <c r="T742" s="103" t="n">
        <v>738</v>
      </c>
      <c r="U742" s="103" t="s">
        <v>1451</v>
      </c>
      <c r="V742" s="103" t="n">
        <v>2025</v>
      </c>
    </row>
    <row r="743" customFormat="false" ht="14.25" hidden="false" customHeight="false" outlineLevel="0" collapsed="false">
      <c r="A743" s="103" t="s">
        <v>1463</v>
      </c>
      <c r="B743" s="103" t="s">
        <v>381</v>
      </c>
      <c r="C743" s="104" t="n">
        <v>45905</v>
      </c>
      <c r="D743" s="103" t="s">
        <v>101</v>
      </c>
      <c r="E743" s="103" t="n">
        <v>51</v>
      </c>
      <c r="F743" s="103" t="s">
        <v>171</v>
      </c>
      <c r="G743" s="103" t="s">
        <v>84</v>
      </c>
      <c r="H743" s="103" t="n">
        <v>2.5</v>
      </c>
      <c r="I743" s="103" t="n">
        <v>224</v>
      </c>
      <c r="J743" s="103" t="n">
        <v>0</v>
      </c>
      <c r="K743" s="103" t="n">
        <v>200</v>
      </c>
      <c r="L743" s="103" t="s">
        <v>95</v>
      </c>
      <c r="M743" s="103" t="s">
        <v>66</v>
      </c>
      <c r="N743" s="103" t="s">
        <v>77</v>
      </c>
      <c r="O743" s="103" t="n">
        <v>64</v>
      </c>
      <c r="P743" s="103" t="n">
        <v>4.8</v>
      </c>
      <c r="Q743" s="103" t="n">
        <v>5</v>
      </c>
      <c r="R743" s="103" t="s">
        <v>133</v>
      </c>
      <c r="S743" s="103" t="n">
        <v>224</v>
      </c>
      <c r="T743" s="103" t="n">
        <v>24</v>
      </c>
      <c r="U743" s="103" t="s">
        <v>1451</v>
      </c>
      <c r="V743" s="103" t="n">
        <v>2025</v>
      </c>
    </row>
    <row r="744" customFormat="false" ht="14.25" hidden="false" customHeight="false" outlineLevel="0" collapsed="false">
      <c r="A744" s="103" t="s">
        <v>1464</v>
      </c>
      <c r="B744" s="103" t="s">
        <v>382</v>
      </c>
      <c r="C744" s="104" t="n">
        <v>45905</v>
      </c>
      <c r="D744" s="103" t="s">
        <v>110</v>
      </c>
      <c r="E744" s="103" t="n">
        <v>53</v>
      </c>
      <c r="F744" s="103" t="s">
        <v>171</v>
      </c>
      <c r="G744" s="103" t="s">
        <v>83</v>
      </c>
      <c r="H744" s="103" t="n">
        <v>3.8</v>
      </c>
      <c r="I744" s="103" t="n">
        <v>1354</v>
      </c>
      <c r="J744" s="103" t="n">
        <v>40</v>
      </c>
      <c r="K744" s="103" t="n">
        <v>50</v>
      </c>
      <c r="L744" s="103" t="s">
        <v>96</v>
      </c>
      <c r="M744" s="103" t="s">
        <v>65</v>
      </c>
      <c r="N744" s="103" t="s">
        <v>78</v>
      </c>
      <c r="O744" s="103" t="n">
        <v>33</v>
      </c>
      <c r="P744" s="103" t="n">
        <v>0.7</v>
      </c>
      <c r="Q744" s="103" t="n">
        <v>1</v>
      </c>
      <c r="R744" s="103" t="s">
        <v>139</v>
      </c>
      <c r="S744" s="103" t="n">
        <v>1394</v>
      </c>
      <c r="T744" s="103" t="n">
        <v>1344</v>
      </c>
      <c r="U744" s="103" t="s">
        <v>1451</v>
      </c>
      <c r="V744" s="103" t="n">
        <v>2025</v>
      </c>
    </row>
    <row r="745" customFormat="false" ht="14.25" hidden="false" customHeight="false" outlineLevel="0" collapsed="false">
      <c r="A745" s="103" t="s">
        <v>1465</v>
      </c>
      <c r="B745" s="103" t="s">
        <v>383</v>
      </c>
      <c r="C745" s="104" t="n">
        <v>45905</v>
      </c>
      <c r="D745" s="103" t="s">
        <v>101</v>
      </c>
      <c r="E745" s="103" t="n">
        <v>23</v>
      </c>
      <c r="F745" s="103" t="s">
        <v>170</v>
      </c>
      <c r="G745" s="103" t="s">
        <v>83</v>
      </c>
      <c r="H745" s="103" t="n">
        <v>4.8</v>
      </c>
      <c r="I745" s="103" t="n">
        <v>997</v>
      </c>
      <c r="J745" s="103" t="n">
        <v>0</v>
      </c>
      <c r="K745" s="103" t="n">
        <v>100</v>
      </c>
      <c r="L745" s="103" t="s">
        <v>93</v>
      </c>
      <c r="M745" s="103" t="s">
        <v>65</v>
      </c>
      <c r="N745" s="103" t="s">
        <v>77</v>
      </c>
      <c r="O745" s="103" t="n">
        <v>62</v>
      </c>
      <c r="P745" s="103" t="n">
        <v>1.6</v>
      </c>
      <c r="Q745" s="103" t="n">
        <v>5</v>
      </c>
      <c r="R745" s="103" t="s">
        <v>141</v>
      </c>
      <c r="S745" s="103" t="n">
        <v>997</v>
      </c>
      <c r="T745" s="103" t="n">
        <v>897</v>
      </c>
      <c r="U745" s="103" t="s">
        <v>1451</v>
      </c>
      <c r="V745" s="103" t="n">
        <v>2025</v>
      </c>
    </row>
    <row r="746" customFormat="false" ht="14.25" hidden="false" customHeight="false" outlineLevel="0" collapsed="false">
      <c r="A746" s="103" t="s">
        <v>1466</v>
      </c>
      <c r="B746" s="103" t="s">
        <v>384</v>
      </c>
      <c r="C746" s="104" t="n">
        <v>45906</v>
      </c>
      <c r="D746" s="103" t="s">
        <v>101</v>
      </c>
      <c r="E746" s="103" t="n">
        <v>56</v>
      </c>
      <c r="F746" s="103" t="s">
        <v>171</v>
      </c>
      <c r="G746" s="103" t="s">
        <v>81</v>
      </c>
      <c r="H746" s="103" t="n">
        <v>4.5</v>
      </c>
      <c r="I746" s="103" t="n">
        <v>478</v>
      </c>
      <c r="J746" s="103" t="n">
        <v>30</v>
      </c>
      <c r="K746" s="103" t="n">
        <v>75</v>
      </c>
      <c r="L746" s="103" t="s">
        <v>94</v>
      </c>
      <c r="M746" s="103" t="s">
        <v>65</v>
      </c>
      <c r="N746" s="103" t="s">
        <v>77</v>
      </c>
      <c r="O746" s="103" t="n">
        <v>46</v>
      </c>
      <c r="P746" s="103" t="n">
        <v>6.2</v>
      </c>
      <c r="Q746" s="103" t="n">
        <v>5</v>
      </c>
      <c r="R746" s="103" t="s">
        <v>141</v>
      </c>
      <c r="S746" s="103" t="n">
        <v>508</v>
      </c>
      <c r="T746" s="103" t="n">
        <v>433</v>
      </c>
      <c r="U746" s="103" t="s">
        <v>1451</v>
      </c>
      <c r="V746" s="103" t="n">
        <v>2025</v>
      </c>
    </row>
    <row r="747" customFormat="false" ht="14.25" hidden="false" customHeight="false" outlineLevel="0" collapsed="false">
      <c r="A747" s="103" t="s">
        <v>1467</v>
      </c>
      <c r="B747" s="103" t="s">
        <v>385</v>
      </c>
      <c r="C747" s="104" t="n">
        <v>45906</v>
      </c>
      <c r="D747" s="103" t="s">
        <v>103</v>
      </c>
      <c r="E747" s="103" t="n">
        <v>59</v>
      </c>
      <c r="F747" s="103" t="s">
        <v>170</v>
      </c>
      <c r="G747" s="103" t="s">
        <v>87</v>
      </c>
      <c r="H747" s="103" t="n">
        <v>4.6</v>
      </c>
      <c r="I747" s="103" t="n">
        <v>1433</v>
      </c>
      <c r="J747" s="103" t="n">
        <v>0</v>
      </c>
      <c r="K747" s="103" t="n">
        <v>50</v>
      </c>
      <c r="L747" s="103" t="s">
        <v>95</v>
      </c>
      <c r="M747" s="103" t="s">
        <v>67</v>
      </c>
      <c r="N747" s="103" t="s">
        <v>77</v>
      </c>
      <c r="O747" s="103" t="n">
        <v>29</v>
      </c>
      <c r="P747" s="103" t="n">
        <v>2.7</v>
      </c>
      <c r="Q747" s="103" t="n">
        <v>4</v>
      </c>
      <c r="R747" s="103" t="s">
        <v>132</v>
      </c>
      <c r="S747" s="103" t="n">
        <v>1433</v>
      </c>
      <c r="T747" s="103" t="n">
        <v>1383</v>
      </c>
      <c r="U747" s="103" t="s">
        <v>1451</v>
      </c>
      <c r="V747" s="103" t="n">
        <v>2025</v>
      </c>
    </row>
    <row r="748" customFormat="false" ht="14.25" hidden="false" customHeight="false" outlineLevel="0" collapsed="false">
      <c r="A748" s="103" t="s">
        <v>1468</v>
      </c>
      <c r="B748" s="103" t="s">
        <v>386</v>
      </c>
      <c r="C748" s="104" t="n">
        <v>45906</v>
      </c>
      <c r="D748" s="103" t="s">
        <v>109</v>
      </c>
      <c r="E748" s="103" t="n">
        <v>29</v>
      </c>
      <c r="F748" s="103" t="s">
        <v>171</v>
      </c>
      <c r="G748" s="103" t="s">
        <v>83</v>
      </c>
      <c r="H748" s="103" t="n">
        <v>4.5</v>
      </c>
      <c r="I748" s="103" t="n">
        <v>462</v>
      </c>
      <c r="J748" s="103" t="n">
        <v>60</v>
      </c>
      <c r="K748" s="103" t="n">
        <v>100</v>
      </c>
      <c r="L748" s="103" t="s">
        <v>95</v>
      </c>
      <c r="M748" s="103" t="s">
        <v>65</v>
      </c>
      <c r="N748" s="103" t="s">
        <v>77</v>
      </c>
      <c r="O748" s="103" t="n">
        <v>19</v>
      </c>
      <c r="P748" s="103" t="n">
        <v>6</v>
      </c>
      <c r="Q748" s="103" t="n">
        <v>4</v>
      </c>
      <c r="R748" s="103" t="s">
        <v>135</v>
      </c>
      <c r="S748" s="103" t="n">
        <v>522</v>
      </c>
      <c r="T748" s="103" t="n">
        <v>422</v>
      </c>
      <c r="U748" s="103" t="s">
        <v>1451</v>
      </c>
      <c r="V748" s="103" t="n">
        <v>2025</v>
      </c>
    </row>
    <row r="749" customFormat="false" ht="14.25" hidden="false" customHeight="false" outlineLevel="0" collapsed="false">
      <c r="A749" s="103" t="s">
        <v>1469</v>
      </c>
      <c r="B749" s="103" t="s">
        <v>387</v>
      </c>
      <c r="C749" s="104" t="n">
        <v>45907</v>
      </c>
      <c r="D749" s="103" t="s">
        <v>106</v>
      </c>
      <c r="E749" s="103" t="n">
        <v>20</v>
      </c>
      <c r="F749" s="103" t="s">
        <v>170</v>
      </c>
      <c r="G749" s="103" t="s">
        <v>83</v>
      </c>
      <c r="H749" s="103" t="n">
        <v>3.3</v>
      </c>
      <c r="I749" s="103" t="n">
        <v>558</v>
      </c>
      <c r="J749" s="103" t="n">
        <v>20</v>
      </c>
      <c r="K749" s="103" t="n">
        <v>75</v>
      </c>
      <c r="L749" s="103" t="s">
        <v>95</v>
      </c>
      <c r="M749" s="103" t="s">
        <v>65</v>
      </c>
      <c r="N749" s="103" t="s">
        <v>77</v>
      </c>
      <c r="O749" s="103" t="n">
        <v>25</v>
      </c>
      <c r="P749" s="103" t="n">
        <v>9.6</v>
      </c>
      <c r="Q749" s="103" t="n">
        <v>4</v>
      </c>
      <c r="R749" s="103" t="s">
        <v>132</v>
      </c>
      <c r="S749" s="103" t="n">
        <v>578</v>
      </c>
      <c r="T749" s="103" t="n">
        <v>503</v>
      </c>
      <c r="U749" s="103" t="s">
        <v>1451</v>
      </c>
      <c r="V749" s="103" t="n">
        <v>2025</v>
      </c>
    </row>
    <row r="750" customFormat="false" ht="14.25" hidden="false" customHeight="false" outlineLevel="0" collapsed="false">
      <c r="A750" s="103" t="s">
        <v>1470</v>
      </c>
      <c r="B750" s="103" t="s">
        <v>388</v>
      </c>
      <c r="C750" s="104" t="n">
        <v>45907</v>
      </c>
      <c r="D750" s="103" t="s">
        <v>111</v>
      </c>
      <c r="E750" s="103" t="n">
        <v>35</v>
      </c>
      <c r="F750" s="103" t="s">
        <v>170</v>
      </c>
      <c r="G750" s="103" t="s">
        <v>84</v>
      </c>
      <c r="H750" s="103" t="n">
        <v>4.4</v>
      </c>
      <c r="I750" s="103" t="n">
        <v>275</v>
      </c>
      <c r="J750" s="103" t="n">
        <v>0</v>
      </c>
      <c r="K750" s="103" t="n">
        <v>10</v>
      </c>
      <c r="L750" s="103" t="s">
        <v>93</v>
      </c>
      <c r="M750" s="103" t="s">
        <v>65</v>
      </c>
      <c r="N750" s="103" t="s">
        <v>77</v>
      </c>
      <c r="O750" s="103" t="n">
        <v>29</v>
      </c>
      <c r="P750" s="103" t="n">
        <v>8.4</v>
      </c>
      <c r="Q750" s="103" t="n">
        <v>4</v>
      </c>
      <c r="R750" s="103" t="s">
        <v>139</v>
      </c>
      <c r="S750" s="103" t="n">
        <v>275</v>
      </c>
      <c r="T750" s="103" t="n">
        <v>265</v>
      </c>
      <c r="U750" s="103" t="s">
        <v>1451</v>
      </c>
      <c r="V750" s="103" t="n">
        <v>2025</v>
      </c>
    </row>
    <row r="751" customFormat="false" ht="14.25" hidden="false" customHeight="false" outlineLevel="0" collapsed="false">
      <c r="A751" s="103" t="s">
        <v>1471</v>
      </c>
      <c r="B751" s="103" t="s">
        <v>389</v>
      </c>
      <c r="C751" s="104" t="n">
        <v>45907</v>
      </c>
      <c r="D751" s="103" t="s">
        <v>107</v>
      </c>
      <c r="E751" s="103" t="n">
        <v>57</v>
      </c>
      <c r="F751" s="103" t="s">
        <v>170</v>
      </c>
      <c r="G751" s="103" t="s">
        <v>82</v>
      </c>
      <c r="H751" s="103" t="n">
        <v>2.9</v>
      </c>
      <c r="I751" s="103" t="n">
        <v>791</v>
      </c>
      <c r="J751" s="103" t="n">
        <v>40</v>
      </c>
      <c r="K751" s="103" t="n">
        <v>20</v>
      </c>
      <c r="L751" s="103" t="s">
        <v>93</v>
      </c>
      <c r="M751" s="103" t="s">
        <v>65</v>
      </c>
      <c r="N751" s="103" t="s">
        <v>78</v>
      </c>
      <c r="O751" s="103" t="n">
        <v>43</v>
      </c>
      <c r="P751" s="103" t="n">
        <v>3.9</v>
      </c>
      <c r="Q751" s="103" t="n">
        <v>4</v>
      </c>
      <c r="R751" s="103" t="s">
        <v>138</v>
      </c>
      <c r="S751" s="103" t="n">
        <v>831</v>
      </c>
      <c r="T751" s="103" t="n">
        <v>811</v>
      </c>
      <c r="U751" s="103" t="s">
        <v>1451</v>
      </c>
      <c r="V751" s="103" t="n">
        <v>2025</v>
      </c>
    </row>
    <row r="752" customFormat="false" ht="14.25" hidden="false" customHeight="false" outlineLevel="0" collapsed="false">
      <c r="A752" s="103" t="s">
        <v>1472</v>
      </c>
      <c r="B752" s="103" t="s">
        <v>390</v>
      </c>
      <c r="C752" s="104" t="n">
        <v>45908</v>
      </c>
      <c r="D752" s="103" t="s">
        <v>100</v>
      </c>
      <c r="E752" s="103" t="n">
        <v>38</v>
      </c>
      <c r="F752" s="103" t="s">
        <v>172</v>
      </c>
      <c r="G752" s="103" t="s">
        <v>87</v>
      </c>
      <c r="H752" s="103" t="n">
        <v>4.1</v>
      </c>
      <c r="I752" s="103" t="n">
        <v>824</v>
      </c>
      <c r="J752" s="103" t="n">
        <v>50</v>
      </c>
      <c r="K752" s="103" t="n">
        <v>10</v>
      </c>
      <c r="L752" s="103" t="s">
        <v>96</v>
      </c>
      <c r="M752" s="103" t="s">
        <v>65</v>
      </c>
      <c r="N752" s="103" t="s">
        <v>77</v>
      </c>
      <c r="O752" s="103" t="n">
        <v>64</v>
      </c>
      <c r="P752" s="103" t="n">
        <v>5.5</v>
      </c>
      <c r="Q752" s="103" t="n">
        <v>4</v>
      </c>
      <c r="R752" s="103" t="s">
        <v>134</v>
      </c>
      <c r="S752" s="103" t="n">
        <v>874</v>
      </c>
      <c r="T752" s="103" t="n">
        <v>864</v>
      </c>
      <c r="U752" s="103" t="s">
        <v>1451</v>
      </c>
      <c r="V752" s="103" t="n">
        <v>2025</v>
      </c>
    </row>
    <row r="753" customFormat="false" ht="14.25" hidden="false" customHeight="false" outlineLevel="0" collapsed="false">
      <c r="A753" s="103" t="s">
        <v>1473</v>
      </c>
      <c r="B753" s="103" t="s">
        <v>391</v>
      </c>
      <c r="C753" s="104" t="n">
        <v>45908</v>
      </c>
      <c r="D753" s="103" t="s">
        <v>109</v>
      </c>
      <c r="E753" s="103" t="n">
        <v>32</v>
      </c>
      <c r="F753" s="103" t="s">
        <v>171</v>
      </c>
      <c r="G753" s="103" t="s">
        <v>87</v>
      </c>
      <c r="H753" s="103" t="n">
        <v>4.1</v>
      </c>
      <c r="I753" s="103" t="n">
        <v>984</v>
      </c>
      <c r="J753" s="103" t="n">
        <v>0</v>
      </c>
      <c r="K753" s="103" t="n">
        <v>20</v>
      </c>
      <c r="L753" s="103" t="s">
        <v>94</v>
      </c>
      <c r="M753" s="103" t="s">
        <v>65</v>
      </c>
      <c r="N753" s="103" t="s">
        <v>78</v>
      </c>
      <c r="O753" s="103" t="n">
        <v>59</v>
      </c>
      <c r="P753" s="103" t="n">
        <v>9.4</v>
      </c>
      <c r="Q753" s="103" t="n">
        <v>5</v>
      </c>
      <c r="R753" s="103" t="s">
        <v>136</v>
      </c>
      <c r="S753" s="103" t="n">
        <v>984</v>
      </c>
      <c r="T753" s="103" t="n">
        <v>964</v>
      </c>
      <c r="U753" s="103" t="s">
        <v>1451</v>
      </c>
      <c r="V753" s="103" t="n">
        <v>2025</v>
      </c>
    </row>
    <row r="754" customFormat="false" ht="14.25" hidden="false" customHeight="false" outlineLevel="0" collapsed="false">
      <c r="A754" s="103" t="s">
        <v>1474</v>
      </c>
      <c r="B754" s="103" t="s">
        <v>392</v>
      </c>
      <c r="C754" s="104" t="n">
        <v>45908</v>
      </c>
      <c r="D754" s="103" t="s">
        <v>100</v>
      </c>
      <c r="E754" s="103" t="n">
        <v>50</v>
      </c>
      <c r="F754" s="103" t="s">
        <v>170</v>
      </c>
      <c r="G754" s="103" t="s">
        <v>86</v>
      </c>
      <c r="H754" s="103" t="n">
        <v>2.6</v>
      </c>
      <c r="I754" s="103" t="n">
        <v>1311</v>
      </c>
      <c r="J754" s="103" t="n">
        <v>0</v>
      </c>
      <c r="K754" s="103" t="n">
        <v>0</v>
      </c>
      <c r="L754" s="103" t="s">
        <v>93</v>
      </c>
      <c r="M754" s="103" t="s">
        <v>65</v>
      </c>
      <c r="N754" s="103" t="s">
        <v>77</v>
      </c>
      <c r="O754" s="103" t="n">
        <v>18</v>
      </c>
      <c r="P754" s="103" t="n">
        <v>13</v>
      </c>
      <c r="Q754" s="103" t="n">
        <v>3</v>
      </c>
      <c r="R754" s="103" t="s">
        <v>142</v>
      </c>
      <c r="S754" s="103" t="n">
        <v>1311</v>
      </c>
      <c r="T754" s="103" t="n">
        <v>1311</v>
      </c>
      <c r="U754" s="103" t="s">
        <v>1451</v>
      </c>
      <c r="V754" s="103" t="n">
        <v>2025</v>
      </c>
    </row>
    <row r="755" customFormat="false" ht="14.25" hidden="false" customHeight="false" outlineLevel="0" collapsed="false">
      <c r="A755" s="103" t="s">
        <v>1475</v>
      </c>
      <c r="B755" s="103" t="s">
        <v>393</v>
      </c>
      <c r="C755" s="104" t="n">
        <v>45909</v>
      </c>
      <c r="D755" s="103" t="s">
        <v>103</v>
      </c>
      <c r="E755" s="103" t="n">
        <v>52</v>
      </c>
      <c r="F755" s="103" t="s">
        <v>171</v>
      </c>
      <c r="G755" s="103" t="s">
        <v>86</v>
      </c>
      <c r="H755" s="103" t="n">
        <v>4.5</v>
      </c>
      <c r="I755" s="103" t="n">
        <v>1642</v>
      </c>
      <c r="J755" s="103" t="n">
        <v>30</v>
      </c>
      <c r="K755" s="103" t="n">
        <v>150</v>
      </c>
      <c r="L755" s="103" t="s">
        <v>95</v>
      </c>
      <c r="M755" s="103" t="s">
        <v>67</v>
      </c>
      <c r="N755" s="103" t="s">
        <v>77</v>
      </c>
      <c r="O755" s="103" t="n">
        <v>63</v>
      </c>
      <c r="P755" s="103" t="n">
        <v>11.4</v>
      </c>
      <c r="Q755" s="103" t="n">
        <v>5</v>
      </c>
      <c r="R755" s="103" t="s">
        <v>133</v>
      </c>
      <c r="S755" s="103" t="n">
        <v>1672</v>
      </c>
      <c r="T755" s="103" t="n">
        <v>1522</v>
      </c>
      <c r="U755" s="103" t="s">
        <v>1451</v>
      </c>
      <c r="V755" s="103" t="n">
        <v>2025</v>
      </c>
    </row>
    <row r="756" customFormat="false" ht="14.25" hidden="false" customHeight="false" outlineLevel="0" collapsed="false">
      <c r="A756" s="103" t="s">
        <v>1476</v>
      </c>
      <c r="B756" s="103" t="s">
        <v>394</v>
      </c>
      <c r="C756" s="104" t="n">
        <v>45909</v>
      </c>
      <c r="D756" s="103" t="s">
        <v>106</v>
      </c>
      <c r="E756" s="103" t="n">
        <v>43</v>
      </c>
      <c r="F756" s="103" t="s">
        <v>171</v>
      </c>
      <c r="G756" s="103" t="s">
        <v>83</v>
      </c>
      <c r="H756" s="103" t="n">
        <v>4.8</v>
      </c>
      <c r="I756" s="103" t="n">
        <v>351</v>
      </c>
      <c r="J756" s="103" t="n">
        <v>40</v>
      </c>
      <c r="K756" s="103" t="n">
        <v>75</v>
      </c>
      <c r="L756" s="103" t="s">
        <v>96</v>
      </c>
      <c r="M756" s="103" t="s">
        <v>65</v>
      </c>
      <c r="N756" s="103" t="s">
        <v>77</v>
      </c>
      <c r="O756" s="103" t="n">
        <v>50</v>
      </c>
      <c r="P756" s="103" t="n">
        <v>8.5</v>
      </c>
      <c r="Q756" s="103" t="n">
        <v>5</v>
      </c>
      <c r="R756" s="103" t="s">
        <v>137</v>
      </c>
      <c r="S756" s="103" t="n">
        <v>391</v>
      </c>
      <c r="T756" s="103" t="n">
        <v>316</v>
      </c>
      <c r="U756" s="103" t="s">
        <v>1451</v>
      </c>
      <c r="V756" s="103" t="n">
        <v>2025</v>
      </c>
    </row>
    <row r="757" customFormat="false" ht="14.25" hidden="false" customHeight="false" outlineLevel="0" collapsed="false">
      <c r="A757" s="103" t="s">
        <v>1477</v>
      </c>
      <c r="B757" s="103" t="s">
        <v>395</v>
      </c>
      <c r="C757" s="104" t="n">
        <v>45909</v>
      </c>
      <c r="D757" s="103" t="s">
        <v>101</v>
      </c>
      <c r="E757" s="103" t="n">
        <v>25</v>
      </c>
      <c r="F757" s="103" t="s">
        <v>171</v>
      </c>
      <c r="G757" s="103" t="s">
        <v>89</v>
      </c>
      <c r="H757" s="103" t="n">
        <v>3.2</v>
      </c>
      <c r="I757" s="103" t="n">
        <v>211</v>
      </c>
      <c r="J757" s="103" t="n">
        <v>60</v>
      </c>
      <c r="K757" s="103" t="n">
        <v>10</v>
      </c>
      <c r="L757" s="103" t="s">
        <v>93</v>
      </c>
      <c r="M757" s="103" t="s">
        <v>67</v>
      </c>
      <c r="N757" s="103" t="s">
        <v>77</v>
      </c>
      <c r="O757" s="103" t="n">
        <v>62</v>
      </c>
      <c r="P757" s="103" t="n">
        <v>5.8</v>
      </c>
      <c r="Q757" s="103" t="n">
        <v>4</v>
      </c>
      <c r="R757" s="103" t="s">
        <v>133</v>
      </c>
      <c r="S757" s="103" t="n">
        <v>271</v>
      </c>
      <c r="T757" s="103" t="n">
        <v>261</v>
      </c>
      <c r="U757" s="103" t="s">
        <v>1451</v>
      </c>
      <c r="V757" s="103" t="n">
        <v>2025</v>
      </c>
    </row>
    <row r="758" customFormat="false" ht="14.25" hidden="false" customHeight="false" outlineLevel="0" collapsed="false">
      <c r="A758" s="103" t="s">
        <v>1478</v>
      </c>
      <c r="B758" s="103" t="s">
        <v>396</v>
      </c>
      <c r="C758" s="104" t="n">
        <v>45910</v>
      </c>
      <c r="D758" s="103" t="s">
        <v>102</v>
      </c>
      <c r="E758" s="103" t="n">
        <v>53</v>
      </c>
      <c r="F758" s="103" t="s">
        <v>170</v>
      </c>
      <c r="G758" s="103" t="s">
        <v>86</v>
      </c>
      <c r="H758" s="103" t="n">
        <v>4.5</v>
      </c>
      <c r="I758" s="103" t="n">
        <v>151</v>
      </c>
      <c r="J758" s="103" t="n">
        <v>50</v>
      </c>
      <c r="K758" s="103" t="n">
        <v>150</v>
      </c>
      <c r="L758" s="103" t="s">
        <v>96</v>
      </c>
      <c r="M758" s="103" t="s">
        <v>66</v>
      </c>
      <c r="N758" s="103" t="s">
        <v>77</v>
      </c>
      <c r="O758" s="103" t="n">
        <v>37</v>
      </c>
      <c r="P758" s="103" t="n">
        <v>5.8</v>
      </c>
      <c r="Q758" s="103" t="n">
        <v>5</v>
      </c>
      <c r="R758" s="103" t="s">
        <v>141</v>
      </c>
      <c r="S758" s="103" t="n">
        <v>201</v>
      </c>
      <c r="T758" s="103" t="n">
        <v>51</v>
      </c>
      <c r="U758" s="103" t="s">
        <v>1451</v>
      </c>
      <c r="V758" s="103" t="n">
        <v>2025</v>
      </c>
    </row>
    <row r="759" customFormat="false" ht="14.25" hidden="false" customHeight="false" outlineLevel="0" collapsed="false">
      <c r="A759" s="103" t="s">
        <v>1479</v>
      </c>
      <c r="B759" s="103" t="s">
        <v>397</v>
      </c>
      <c r="C759" s="104" t="n">
        <v>45910</v>
      </c>
      <c r="D759" s="103" t="s">
        <v>107</v>
      </c>
      <c r="E759" s="103" t="n">
        <v>47</v>
      </c>
      <c r="F759" s="103" t="s">
        <v>171</v>
      </c>
      <c r="G759" s="103" t="s">
        <v>83</v>
      </c>
      <c r="H759" s="103" t="n">
        <v>2.7</v>
      </c>
      <c r="I759" s="103" t="n">
        <v>361</v>
      </c>
      <c r="J759" s="103" t="n">
        <v>20</v>
      </c>
      <c r="K759" s="103" t="n">
        <v>75</v>
      </c>
      <c r="L759" s="103" t="s">
        <v>97</v>
      </c>
      <c r="M759" s="103" t="s">
        <v>66</v>
      </c>
      <c r="N759" s="103" t="s">
        <v>78</v>
      </c>
      <c r="O759" s="103" t="n">
        <v>29</v>
      </c>
      <c r="P759" s="103" t="n">
        <v>13.3</v>
      </c>
      <c r="Q759" s="103" t="n">
        <v>3</v>
      </c>
      <c r="R759" s="103" t="s">
        <v>132</v>
      </c>
      <c r="S759" s="103" t="n">
        <v>381</v>
      </c>
      <c r="T759" s="103" t="n">
        <v>306</v>
      </c>
      <c r="U759" s="103" t="s">
        <v>1451</v>
      </c>
      <c r="V759" s="103" t="n">
        <v>2025</v>
      </c>
    </row>
    <row r="760" customFormat="false" ht="14.25" hidden="false" customHeight="false" outlineLevel="0" collapsed="false">
      <c r="A760" s="103" t="s">
        <v>1480</v>
      </c>
      <c r="B760" s="103" t="s">
        <v>398</v>
      </c>
      <c r="C760" s="104" t="n">
        <v>45910</v>
      </c>
      <c r="D760" s="103" t="s">
        <v>110</v>
      </c>
      <c r="E760" s="103" t="n">
        <v>40</v>
      </c>
      <c r="F760" s="103" t="s">
        <v>170</v>
      </c>
      <c r="G760" s="103" t="s">
        <v>88</v>
      </c>
      <c r="H760" s="103" t="n">
        <v>4</v>
      </c>
      <c r="I760" s="103" t="n">
        <v>1225</v>
      </c>
      <c r="J760" s="103" t="n">
        <v>0</v>
      </c>
      <c r="K760" s="103" t="n">
        <v>100</v>
      </c>
      <c r="L760" s="103" t="s">
        <v>97</v>
      </c>
      <c r="M760" s="103" t="s">
        <v>65</v>
      </c>
      <c r="N760" s="103" t="s">
        <v>77</v>
      </c>
      <c r="O760" s="103" t="n">
        <v>60</v>
      </c>
      <c r="P760" s="103" t="n">
        <v>1.1</v>
      </c>
      <c r="Q760" s="103" t="n">
        <v>1</v>
      </c>
      <c r="R760" s="103" t="s">
        <v>134</v>
      </c>
      <c r="S760" s="103" t="n">
        <v>1225</v>
      </c>
      <c r="T760" s="103" t="n">
        <v>1125</v>
      </c>
      <c r="U760" s="103" t="s">
        <v>1451</v>
      </c>
      <c r="V760" s="103" t="n">
        <v>2025</v>
      </c>
    </row>
    <row r="761" customFormat="false" ht="14.25" hidden="false" customHeight="false" outlineLevel="0" collapsed="false">
      <c r="A761" s="103" t="s">
        <v>1481</v>
      </c>
      <c r="B761" s="103" t="s">
        <v>399</v>
      </c>
      <c r="C761" s="104" t="n">
        <v>45911</v>
      </c>
      <c r="D761" s="103" t="s">
        <v>102</v>
      </c>
      <c r="E761" s="103" t="n">
        <v>59</v>
      </c>
      <c r="F761" s="103" t="s">
        <v>170</v>
      </c>
      <c r="G761" s="103" t="s">
        <v>85</v>
      </c>
      <c r="H761" s="103" t="n">
        <v>3.7</v>
      </c>
      <c r="I761" s="103" t="n">
        <v>1342</v>
      </c>
      <c r="J761" s="103" t="n">
        <v>60</v>
      </c>
      <c r="K761" s="103" t="n">
        <v>0</v>
      </c>
      <c r="L761" s="103" t="s">
        <v>96</v>
      </c>
      <c r="M761" s="103" t="s">
        <v>67</v>
      </c>
      <c r="N761" s="103" t="s">
        <v>78</v>
      </c>
      <c r="O761" s="103" t="n">
        <v>58</v>
      </c>
      <c r="P761" s="103" t="n">
        <v>14.8</v>
      </c>
      <c r="Q761" s="103" t="n">
        <v>5</v>
      </c>
      <c r="R761" s="103" t="s">
        <v>135</v>
      </c>
      <c r="S761" s="103" t="n">
        <v>1402</v>
      </c>
      <c r="T761" s="103" t="n">
        <v>1402</v>
      </c>
      <c r="U761" s="103" t="s">
        <v>1451</v>
      </c>
      <c r="V761" s="103" t="n">
        <v>2025</v>
      </c>
    </row>
    <row r="762" customFormat="false" ht="14.25" hidden="false" customHeight="false" outlineLevel="0" collapsed="false">
      <c r="A762" s="103" t="s">
        <v>1482</v>
      </c>
      <c r="B762" s="103" t="s">
        <v>400</v>
      </c>
      <c r="C762" s="104" t="n">
        <v>45911</v>
      </c>
      <c r="D762" s="103" t="s">
        <v>103</v>
      </c>
      <c r="E762" s="103" t="n">
        <v>31</v>
      </c>
      <c r="F762" s="103" t="s">
        <v>170</v>
      </c>
      <c r="G762" s="103" t="s">
        <v>85</v>
      </c>
      <c r="H762" s="103" t="n">
        <v>3.9</v>
      </c>
      <c r="I762" s="103" t="n">
        <v>1441</v>
      </c>
      <c r="J762" s="103" t="n">
        <v>50</v>
      </c>
      <c r="K762" s="103" t="n">
        <v>100</v>
      </c>
      <c r="L762" s="103" t="s">
        <v>94</v>
      </c>
      <c r="M762" s="103" t="s">
        <v>65</v>
      </c>
      <c r="N762" s="103" t="s">
        <v>77</v>
      </c>
      <c r="O762" s="103" t="n">
        <v>17</v>
      </c>
      <c r="P762" s="103" t="n">
        <v>10.1</v>
      </c>
      <c r="Q762" s="103" t="n">
        <v>4</v>
      </c>
      <c r="R762" s="103" t="s">
        <v>140</v>
      </c>
      <c r="S762" s="103" t="n">
        <v>1491</v>
      </c>
      <c r="T762" s="103" t="n">
        <v>1391</v>
      </c>
      <c r="U762" s="103" t="s">
        <v>1451</v>
      </c>
      <c r="V762" s="103" t="n">
        <v>2025</v>
      </c>
    </row>
    <row r="763" customFormat="false" ht="14.25" hidden="false" customHeight="false" outlineLevel="0" collapsed="false">
      <c r="A763" s="103" t="s">
        <v>1483</v>
      </c>
      <c r="B763" s="103" t="s">
        <v>401</v>
      </c>
      <c r="C763" s="104" t="n">
        <v>45911</v>
      </c>
      <c r="D763" s="103" t="s">
        <v>109</v>
      </c>
      <c r="E763" s="103" t="n">
        <v>31</v>
      </c>
      <c r="F763" s="103" t="s">
        <v>170</v>
      </c>
      <c r="G763" s="103" t="s">
        <v>87</v>
      </c>
      <c r="H763" s="103" t="n">
        <v>4.8</v>
      </c>
      <c r="I763" s="103" t="n">
        <v>529</v>
      </c>
      <c r="J763" s="103" t="n">
        <v>20</v>
      </c>
      <c r="K763" s="103" t="n">
        <v>20</v>
      </c>
      <c r="L763" s="103" t="s">
        <v>93</v>
      </c>
      <c r="M763" s="103" t="s">
        <v>65</v>
      </c>
      <c r="N763" s="103" t="s">
        <v>77</v>
      </c>
      <c r="O763" s="103" t="n">
        <v>46</v>
      </c>
      <c r="P763" s="103" t="n">
        <v>10.4</v>
      </c>
      <c r="Q763" s="103" t="n">
        <v>5</v>
      </c>
      <c r="R763" s="103" t="s">
        <v>131</v>
      </c>
      <c r="S763" s="103" t="n">
        <v>549</v>
      </c>
      <c r="T763" s="103" t="n">
        <v>529</v>
      </c>
      <c r="U763" s="103" t="s">
        <v>1451</v>
      </c>
      <c r="V763" s="103" t="n">
        <v>2025</v>
      </c>
    </row>
    <row r="764" customFormat="false" ht="14.25" hidden="false" customHeight="false" outlineLevel="0" collapsed="false">
      <c r="A764" s="103" t="s">
        <v>1484</v>
      </c>
      <c r="B764" s="103" t="s">
        <v>402</v>
      </c>
      <c r="C764" s="104" t="n">
        <v>45912</v>
      </c>
      <c r="D764" s="103" t="s">
        <v>110</v>
      </c>
      <c r="E764" s="103" t="n">
        <v>19</v>
      </c>
      <c r="F764" s="103" t="s">
        <v>171</v>
      </c>
      <c r="G764" s="103" t="s">
        <v>89</v>
      </c>
      <c r="H764" s="103" t="n">
        <v>4.7</v>
      </c>
      <c r="I764" s="103" t="n">
        <v>634</v>
      </c>
      <c r="J764" s="103" t="n">
        <v>60</v>
      </c>
      <c r="K764" s="103" t="n">
        <v>150</v>
      </c>
      <c r="L764" s="103" t="s">
        <v>93</v>
      </c>
      <c r="M764" s="103" t="s">
        <v>65</v>
      </c>
      <c r="N764" s="103" t="s">
        <v>77</v>
      </c>
      <c r="O764" s="103" t="n">
        <v>24</v>
      </c>
      <c r="P764" s="103" t="n">
        <v>1.1</v>
      </c>
      <c r="Q764" s="103" t="n">
        <v>5</v>
      </c>
      <c r="R764" s="103" t="s">
        <v>140</v>
      </c>
      <c r="S764" s="103" t="n">
        <v>694</v>
      </c>
      <c r="T764" s="103" t="n">
        <v>544</v>
      </c>
      <c r="U764" s="103" t="s">
        <v>1451</v>
      </c>
      <c r="V764" s="103" t="n">
        <v>2025</v>
      </c>
    </row>
    <row r="765" customFormat="false" ht="14.25" hidden="false" customHeight="false" outlineLevel="0" collapsed="false">
      <c r="A765" s="103" t="s">
        <v>1485</v>
      </c>
      <c r="B765" s="103" t="s">
        <v>403</v>
      </c>
      <c r="C765" s="104" t="n">
        <v>45912</v>
      </c>
      <c r="D765" s="103" t="s">
        <v>104</v>
      </c>
      <c r="E765" s="103" t="n">
        <v>54</v>
      </c>
      <c r="F765" s="103" t="s">
        <v>171</v>
      </c>
      <c r="G765" s="103" t="s">
        <v>84</v>
      </c>
      <c r="H765" s="103" t="n">
        <v>4.5</v>
      </c>
      <c r="I765" s="103" t="n">
        <v>932</v>
      </c>
      <c r="J765" s="103" t="n">
        <v>40</v>
      </c>
      <c r="K765" s="103" t="n">
        <v>75</v>
      </c>
      <c r="L765" s="103" t="s">
        <v>93</v>
      </c>
      <c r="M765" s="103" t="s">
        <v>65</v>
      </c>
      <c r="N765" s="103" t="s">
        <v>77</v>
      </c>
      <c r="O765" s="103" t="n">
        <v>54</v>
      </c>
      <c r="P765" s="103" t="n">
        <v>9.3</v>
      </c>
      <c r="Q765" s="103" t="n">
        <v>5</v>
      </c>
      <c r="R765" s="103" t="s">
        <v>140</v>
      </c>
      <c r="S765" s="103" t="n">
        <v>972</v>
      </c>
      <c r="T765" s="103" t="n">
        <v>897</v>
      </c>
      <c r="U765" s="103" t="s">
        <v>1451</v>
      </c>
      <c r="V765" s="103" t="n">
        <v>2025</v>
      </c>
    </row>
    <row r="766" customFormat="false" ht="14.25" hidden="false" customHeight="false" outlineLevel="0" collapsed="false">
      <c r="A766" s="103" t="s">
        <v>1486</v>
      </c>
      <c r="B766" s="103" t="s">
        <v>404</v>
      </c>
      <c r="C766" s="104" t="n">
        <v>45912</v>
      </c>
      <c r="D766" s="103" t="s">
        <v>105</v>
      </c>
      <c r="E766" s="103" t="n">
        <v>22</v>
      </c>
      <c r="F766" s="103" t="s">
        <v>171</v>
      </c>
      <c r="G766" s="103" t="s">
        <v>82</v>
      </c>
      <c r="H766" s="103" t="n">
        <v>3.2</v>
      </c>
      <c r="I766" s="103" t="n">
        <v>226</v>
      </c>
      <c r="J766" s="103" t="n">
        <v>40</v>
      </c>
      <c r="K766" s="103" t="n">
        <v>30</v>
      </c>
      <c r="L766" s="103" t="s">
        <v>94</v>
      </c>
      <c r="M766" s="103" t="s">
        <v>65</v>
      </c>
      <c r="N766" s="103" t="s">
        <v>77</v>
      </c>
      <c r="O766" s="103" t="n">
        <v>52</v>
      </c>
      <c r="P766" s="103" t="n">
        <v>7.5</v>
      </c>
      <c r="Q766" s="103" t="n">
        <v>5</v>
      </c>
      <c r="R766" s="103" t="s">
        <v>138</v>
      </c>
      <c r="S766" s="103" t="n">
        <v>266</v>
      </c>
      <c r="T766" s="103" t="n">
        <v>236</v>
      </c>
      <c r="U766" s="103" t="s">
        <v>1451</v>
      </c>
      <c r="V766" s="103" t="n">
        <v>2025</v>
      </c>
    </row>
    <row r="767" customFormat="false" ht="14.25" hidden="false" customHeight="false" outlineLevel="0" collapsed="false">
      <c r="A767" s="103" t="s">
        <v>1487</v>
      </c>
      <c r="B767" s="103" t="s">
        <v>405</v>
      </c>
      <c r="C767" s="104" t="n">
        <v>45913</v>
      </c>
      <c r="D767" s="103" t="s">
        <v>110</v>
      </c>
      <c r="E767" s="103" t="n">
        <v>55</v>
      </c>
      <c r="F767" s="103" t="s">
        <v>171</v>
      </c>
      <c r="G767" s="103" t="s">
        <v>86</v>
      </c>
      <c r="H767" s="103" t="n">
        <v>4.8</v>
      </c>
      <c r="I767" s="103" t="n">
        <v>1147</v>
      </c>
      <c r="J767" s="103" t="n">
        <v>50</v>
      </c>
      <c r="K767" s="103" t="n">
        <v>150</v>
      </c>
      <c r="L767" s="103" t="s">
        <v>93</v>
      </c>
      <c r="M767" s="103" t="s">
        <v>65</v>
      </c>
      <c r="N767" s="103" t="s">
        <v>77</v>
      </c>
      <c r="O767" s="103" t="n">
        <v>36</v>
      </c>
      <c r="P767" s="103" t="n">
        <v>2</v>
      </c>
      <c r="Q767" s="103" t="n">
        <v>5</v>
      </c>
      <c r="R767" s="103" t="s">
        <v>138</v>
      </c>
      <c r="S767" s="103" t="n">
        <v>1197</v>
      </c>
      <c r="T767" s="103" t="n">
        <v>1047</v>
      </c>
      <c r="U767" s="103" t="s">
        <v>1451</v>
      </c>
      <c r="V767" s="103" t="n">
        <v>2025</v>
      </c>
    </row>
    <row r="768" customFormat="false" ht="14.25" hidden="false" customHeight="false" outlineLevel="0" collapsed="false">
      <c r="A768" s="103" t="s">
        <v>1488</v>
      </c>
      <c r="B768" s="103" t="s">
        <v>406</v>
      </c>
      <c r="C768" s="104" t="n">
        <v>45913</v>
      </c>
      <c r="D768" s="103" t="s">
        <v>111</v>
      </c>
      <c r="E768" s="103" t="n">
        <v>58</v>
      </c>
      <c r="F768" s="103" t="s">
        <v>171</v>
      </c>
      <c r="G768" s="103" t="s">
        <v>88</v>
      </c>
      <c r="H768" s="103" t="n">
        <v>2.7</v>
      </c>
      <c r="I768" s="103" t="n">
        <v>1773</v>
      </c>
      <c r="J768" s="103" t="n">
        <v>20</v>
      </c>
      <c r="K768" s="103" t="n">
        <v>200</v>
      </c>
      <c r="L768" s="103" t="s">
        <v>93</v>
      </c>
      <c r="M768" s="103" t="s">
        <v>65</v>
      </c>
      <c r="N768" s="103" t="s">
        <v>77</v>
      </c>
      <c r="O768" s="103" t="n">
        <v>28</v>
      </c>
      <c r="P768" s="103" t="n">
        <v>4.5</v>
      </c>
      <c r="Q768" s="103" t="n">
        <v>2</v>
      </c>
      <c r="R768" s="103" t="s">
        <v>132</v>
      </c>
      <c r="S768" s="103" t="n">
        <v>1793</v>
      </c>
      <c r="T768" s="103" t="n">
        <v>1593</v>
      </c>
      <c r="U768" s="103" t="s">
        <v>1451</v>
      </c>
      <c r="V768" s="103" t="n">
        <v>2025</v>
      </c>
    </row>
    <row r="769" customFormat="false" ht="14.25" hidden="false" customHeight="false" outlineLevel="0" collapsed="false">
      <c r="A769" s="103" t="s">
        <v>1489</v>
      </c>
      <c r="B769" s="103" t="s">
        <v>407</v>
      </c>
      <c r="C769" s="104" t="n">
        <v>45913</v>
      </c>
      <c r="D769" s="103" t="s">
        <v>103</v>
      </c>
      <c r="E769" s="103" t="n">
        <v>31</v>
      </c>
      <c r="F769" s="103" t="s">
        <v>171</v>
      </c>
      <c r="G769" s="103" t="s">
        <v>83</v>
      </c>
      <c r="H769" s="103" t="n">
        <v>4.6</v>
      </c>
      <c r="I769" s="103" t="n">
        <v>726</v>
      </c>
      <c r="J769" s="103" t="n">
        <v>40</v>
      </c>
      <c r="K769" s="103" t="n">
        <v>10</v>
      </c>
      <c r="L769" s="103" t="s">
        <v>93</v>
      </c>
      <c r="M769" s="103" t="s">
        <v>65</v>
      </c>
      <c r="N769" s="103" t="s">
        <v>77</v>
      </c>
      <c r="O769" s="103" t="n">
        <v>31</v>
      </c>
      <c r="P769" s="103" t="n">
        <v>13.4</v>
      </c>
      <c r="Q769" s="103" t="n">
        <v>3</v>
      </c>
      <c r="R769" s="103" t="s">
        <v>140</v>
      </c>
      <c r="S769" s="103" t="n">
        <v>766</v>
      </c>
      <c r="T769" s="103" t="n">
        <v>756</v>
      </c>
      <c r="U769" s="103" t="s">
        <v>1451</v>
      </c>
      <c r="V769" s="103" t="n">
        <v>2025</v>
      </c>
    </row>
    <row r="770" customFormat="false" ht="14.25" hidden="false" customHeight="false" outlineLevel="0" collapsed="false">
      <c r="A770" s="103" t="s">
        <v>1490</v>
      </c>
      <c r="B770" s="103" t="s">
        <v>408</v>
      </c>
      <c r="C770" s="104" t="n">
        <v>45914</v>
      </c>
      <c r="D770" s="103" t="s">
        <v>108</v>
      </c>
      <c r="E770" s="103" t="n">
        <v>56</v>
      </c>
      <c r="F770" s="103" t="s">
        <v>171</v>
      </c>
      <c r="G770" s="103" t="s">
        <v>89</v>
      </c>
      <c r="H770" s="103" t="n">
        <v>3.3</v>
      </c>
      <c r="I770" s="103" t="n">
        <v>1385</v>
      </c>
      <c r="J770" s="103" t="n">
        <v>50</v>
      </c>
      <c r="K770" s="103" t="n">
        <v>75</v>
      </c>
      <c r="L770" s="103" t="s">
        <v>93</v>
      </c>
      <c r="M770" s="103" t="s">
        <v>65</v>
      </c>
      <c r="N770" s="103" t="s">
        <v>77</v>
      </c>
      <c r="O770" s="103" t="n">
        <v>35</v>
      </c>
      <c r="P770" s="103" t="n">
        <v>8.5</v>
      </c>
      <c r="Q770" s="103" t="n">
        <v>5</v>
      </c>
      <c r="R770" s="103" t="s">
        <v>137</v>
      </c>
      <c r="S770" s="103" t="n">
        <v>1435</v>
      </c>
      <c r="T770" s="103" t="n">
        <v>1360</v>
      </c>
      <c r="U770" s="103" t="s">
        <v>1451</v>
      </c>
      <c r="V770" s="103" t="n">
        <v>2025</v>
      </c>
    </row>
    <row r="771" customFormat="false" ht="14.25" hidden="false" customHeight="false" outlineLevel="0" collapsed="false">
      <c r="A771" s="103" t="s">
        <v>1491</v>
      </c>
      <c r="B771" s="103" t="s">
        <v>409</v>
      </c>
      <c r="C771" s="104" t="n">
        <v>45914</v>
      </c>
      <c r="D771" s="103" t="s">
        <v>105</v>
      </c>
      <c r="E771" s="103" t="n">
        <v>42</v>
      </c>
      <c r="F771" s="103" t="s">
        <v>170</v>
      </c>
      <c r="G771" s="103" t="s">
        <v>87</v>
      </c>
      <c r="H771" s="103" t="n">
        <v>2.6</v>
      </c>
      <c r="I771" s="103" t="n">
        <v>960</v>
      </c>
      <c r="J771" s="103" t="n">
        <v>40</v>
      </c>
      <c r="K771" s="103" t="n">
        <v>50</v>
      </c>
      <c r="L771" s="103" t="s">
        <v>96</v>
      </c>
      <c r="M771" s="103" t="s">
        <v>65</v>
      </c>
      <c r="N771" s="103" t="s">
        <v>77</v>
      </c>
      <c r="O771" s="103" t="n">
        <v>65</v>
      </c>
      <c r="P771" s="103" t="n">
        <v>6.5</v>
      </c>
      <c r="Q771" s="103" t="n">
        <v>4</v>
      </c>
      <c r="R771" s="103" t="s">
        <v>141</v>
      </c>
      <c r="S771" s="103" t="n">
        <v>1000</v>
      </c>
      <c r="T771" s="103" t="n">
        <v>950</v>
      </c>
      <c r="U771" s="103" t="s">
        <v>1451</v>
      </c>
      <c r="V771" s="103" t="n">
        <v>2025</v>
      </c>
    </row>
    <row r="772" customFormat="false" ht="14.25" hidden="false" customHeight="false" outlineLevel="0" collapsed="false">
      <c r="A772" s="103" t="s">
        <v>1492</v>
      </c>
      <c r="B772" s="103" t="s">
        <v>410</v>
      </c>
      <c r="C772" s="104" t="n">
        <v>45914</v>
      </c>
      <c r="D772" s="103" t="s">
        <v>100</v>
      </c>
      <c r="E772" s="103" t="n">
        <v>37</v>
      </c>
      <c r="F772" s="103" t="s">
        <v>170</v>
      </c>
      <c r="G772" s="103" t="s">
        <v>86</v>
      </c>
      <c r="H772" s="103" t="n">
        <v>4.2</v>
      </c>
      <c r="I772" s="103" t="n">
        <v>335</v>
      </c>
      <c r="J772" s="103" t="n">
        <v>40</v>
      </c>
      <c r="K772" s="103" t="n">
        <v>50</v>
      </c>
      <c r="L772" s="103" t="s">
        <v>93</v>
      </c>
      <c r="M772" s="103" t="s">
        <v>67</v>
      </c>
      <c r="N772" s="103" t="s">
        <v>77</v>
      </c>
      <c r="O772" s="103" t="n">
        <v>62</v>
      </c>
      <c r="P772" s="103" t="n">
        <v>1.6</v>
      </c>
      <c r="Q772" s="103" t="n">
        <v>4</v>
      </c>
      <c r="R772" s="103" t="s">
        <v>140</v>
      </c>
      <c r="S772" s="103" t="n">
        <v>375</v>
      </c>
      <c r="T772" s="103" t="n">
        <v>325</v>
      </c>
      <c r="U772" s="103" t="s">
        <v>1451</v>
      </c>
      <c r="V772" s="103" t="n">
        <v>2025</v>
      </c>
    </row>
    <row r="773" customFormat="false" ht="14.25" hidden="false" customHeight="false" outlineLevel="0" collapsed="false">
      <c r="A773" s="103" t="s">
        <v>1493</v>
      </c>
      <c r="B773" s="103" t="s">
        <v>411</v>
      </c>
      <c r="C773" s="104" t="n">
        <v>45915</v>
      </c>
      <c r="D773" s="103" t="s">
        <v>107</v>
      </c>
      <c r="E773" s="103" t="n">
        <v>19</v>
      </c>
      <c r="F773" s="103" t="s">
        <v>171</v>
      </c>
      <c r="G773" s="103" t="s">
        <v>89</v>
      </c>
      <c r="H773" s="103" t="n">
        <v>3.1</v>
      </c>
      <c r="I773" s="103" t="n">
        <v>1098</v>
      </c>
      <c r="J773" s="103" t="n">
        <v>60</v>
      </c>
      <c r="K773" s="103" t="n">
        <v>20</v>
      </c>
      <c r="L773" s="103" t="s">
        <v>94</v>
      </c>
      <c r="M773" s="103" t="s">
        <v>65</v>
      </c>
      <c r="N773" s="103" t="s">
        <v>77</v>
      </c>
      <c r="O773" s="103" t="n">
        <v>29</v>
      </c>
      <c r="P773" s="103" t="n">
        <v>10.9</v>
      </c>
      <c r="Q773" s="103" t="n">
        <v>4</v>
      </c>
      <c r="R773" s="103" t="s">
        <v>134</v>
      </c>
      <c r="S773" s="103" t="n">
        <v>1158</v>
      </c>
      <c r="T773" s="103" t="n">
        <v>1138</v>
      </c>
      <c r="U773" s="103" t="s">
        <v>1451</v>
      </c>
      <c r="V773" s="103" t="n">
        <v>2025</v>
      </c>
    </row>
    <row r="774" customFormat="false" ht="14.25" hidden="false" customHeight="false" outlineLevel="0" collapsed="false">
      <c r="A774" s="103" t="s">
        <v>1494</v>
      </c>
      <c r="B774" s="103" t="s">
        <v>412</v>
      </c>
      <c r="C774" s="104" t="n">
        <v>45915</v>
      </c>
      <c r="D774" s="103" t="s">
        <v>100</v>
      </c>
      <c r="E774" s="103" t="n">
        <v>56</v>
      </c>
      <c r="F774" s="103" t="s">
        <v>170</v>
      </c>
      <c r="G774" s="103" t="s">
        <v>86</v>
      </c>
      <c r="H774" s="103" t="n">
        <v>3.1</v>
      </c>
      <c r="I774" s="103" t="n">
        <v>624</v>
      </c>
      <c r="J774" s="103" t="n">
        <v>60</v>
      </c>
      <c r="K774" s="103" t="n">
        <v>150</v>
      </c>
      <c r="L774" s="103" t="s">
        <v>94</v>
      </c>
      <c r="M774" s="103" t="s">
        <v>66</v>
      </c>
      <c r="N774" s="103" t="s">
        <v>77</v>
      </c>
      <c r="O774" s="103" t="n">
        <v>29</v>
      </c>
      <c r="P774" s="103" t="n">
        <v>10.7</v>
      </c>
      <c r="Q774" s="103" t="n">
        <v>5</v>
      </c>
      <c r="R774" s="103" t="s">
        <v>131</v>
      </c>
      <c r="S774" s="103" t="n">
        <v>684</v>
      </c>
      <c r="T774" s="103" t="n">
        <v>534</v>
      </c>
      <c r="U774" s="103" t="s">
        <v>1451</v>
      </c>
      <c r="V774" s="103" t="n">
        <v>2025</v>
      </c>
    </row>
    <row r="775" customFormat="false" ht="14.25" hidden="false" customHeight="false" outlineLevel="0" collapsed="false">
      <c r="A775" s="103" t="s">
        <v>1495</v>
      </c>
      <c r="B775" s="103" t="s">
        <v>413</v>
      </c>
      <c r="C775" s="104" t="n">
        <v>45915</v>
      </c>
      <c r="D775" s="103" t="s">
        <v>110</v>
      </c>
      <c r="E775" s="103" t="n">
        <v>23</v>
      </c>
      <c r="F775" s="103" t="s">
        <v>171</v>
      </c>
      <c r="G775" s="103" t="s">
        <v>82</v>
      </c>
      <c r="H775" s="103" t="n">
        <v>3.3</v>
      </c>
      <c r="I775" s="103" t="n">
        <v>178</v>
      </c>
      <c r="J775" s="103" t="n">
        <v>40</v>
      </c>
      <c r="K775" s="103" t="n">
        <v>150</v>
      </c>
      <c r="L775" s="103" t="s">
        <v>93</v>
      </c>
      <c r="M775" s="103" t="s">
        <v>67</v>
      </c>
      <c r="N775" s="103" t="s">
        <v>78</v>
      </c>
      <c r="O775" s="103" t="n">
        <v>15</v>
      </c>
      <c r="P775" s="103" t="n">
        <v>9.4</v>
      </c>
      <c r="Q775" s="103" t="n">
        <v>3</v>
      </c>
      <c r="R775" s="103" t="s">
        <v>136</v>
      </c>
      <c r="S775" s="103" t="n">
        <v>218</v>
      </c>
      <c r="T775" s="103" t="n">
        <v>68</v>
      </c>
      <c r="U775" s="103" t="s">
        <v>1451</v>
      </c>
      <c r="V775" s="103" t="n">
        <v>2025</v>
      </c>
    </row>
    <row r="776" customFormat="false" ht="14.25" hidden="false" customHeight="false" outlineLevel="0" collapsed="false">
      <c r="A776" s="103" t="s">
        <v>1496</v>
      </c>
      <c r="B776" s="103" t="s">
        <v>414</v>
      </c>
      <c r="C776" s="104" t="n">
        <v>45916</v>
      </c>
      <c r="D776" s="103" t="s">
        <v>100</v>
      </c>
      <c r="E776" s="103" t="n">
        <v>34</v>
      </c>
      <c r="F776" s="103" t="s">
        <v>171</v>
      </c>
      <c r="G776" s="103" t="s">
        <v>82</v>
      </c>
      <c r="H776" s="103" t="n">
        <v>2.7</v>
      </c>
      <c r="I776" s="103" t="n">
        <v>1187</v>
      </c>
      <c r="J776" s="103" t="n">
        <v>30</v>
      </c>
      <c r="K776" s="103" t="n">
        <v>50</v>
      </c>
      <c r="L776" s="103" t="s">
        <v>97</v>
      </c>
      <c r="M776" s="103" t="s">
        <v>65</v>
      </c>
      <c r="N776" s="103" t="s">
        <v>77</v>
      </c>
      <c r="O776" s="103" t="n">
        <v>38</v>
      </c>
      <c r="P776" s="103" t="n">
        <v>7.9</v>
      </c>
      <c r="Q776" s="103" t="n">
        <v>5</v>
      </c>
      <c r="R776" s="103" t="s">
        <v>132</v>
      </c>
      <c r="S776" s="103" t="n">
        <v>1217</v>
      </c>
      <c r="T776" s="103" t="n">
        <v>1167</v>
      </c>
      <c r="U776" s="103" t="s">
        <v>1451</v>
      </c>
      <c r="V776" s="103" t="n">
        <v>2025</v>
      </c>
    </row>
    <row r="777" customFormat="false" ht="14.25" hidden="false" customHeight="false" outlineLevel="0" collapsed="false">
      <c r="A777" s="103" t="s">
        <v>1497</v>
      </c>
      <c r="B777" s="103" t="s">
        <v>415</v>
      </c>
      <c r="C777" s="104" t="n">
        <v>45916</v>
      </c>
      <c r="D777" s="103" t="s">
        <v>111</v>
      </c>
      <c r="E777" s="103" t="n">
        <v>42</v>
      </c>
      <c r="F777" s="103" t="s">
        <v>170</v>
      </c>
      <c r="G777" s="103" t="s">
        <v>84</v>
      </c>
      <c r="H777" s="103" t="n">
        <v>2.9</v>
      </c>
      <c r="I777" s="103" t="n">
        <v>1563</v>
      </c>
      <c r="J777" s="103" t="n">
        <v>60</v>
      </c>
      <c r="K777" s="103" t="n">
        <v>150</v>
      </c>
      <c r="L777" s="103" t="s">
        <v>94</v>
      </c>
      <c r="M777" s="103" t="s">
        <v>66</v>
      </c>
      <c r="N777" s="103" t="s">
        <v>78</v>
      </c>
      <c r="O777" s="103" t="n">
        <v>69</v>
      </c>
      <c r="P777" s="103" t="n">
        <v>6.8</v>
      </c>
      <c r="Q777" s="103" t="n">
        <v>3</v>
      </c>
      <c r="R777" s="103" t="s">
        <v>132</v>
      </c>
      <c r="S777" s="103" t="n">
        <v>1623</v>
      </c>
      <c r="T777" s="103" t="n">
        <v>1473</v>
      </c>
      <c r="U777" s="103" t="s">
        <v>1451</v>
      </c>
      <c r="V777" s="103" t="n">
        <v>2025</v>
      </c>
    </row>
    <row r="778" customFormat="false" ht="14.25" hidden="false" customHeight="false" outlineLevel="0" collapsed="false">
      <c r="A778" s="103" t="s">
        <v>1498</v>
      </c>
      <c r="B778" s="103" t="s">
        <v>416</v>
      </c>
      <c r="C778" s="104" t="n">
        <v>45916</v>
      </c>
      <c r="D778" s="103" t="s">
        <v>103</v>
      </c>
      <c r="E778" s="103" t="n">
        <v>45</v>
      </c>
      <c r="F778" s="103" t="s">
        <v>170</v>
      </c>
      <c r="G778" s="103" t="s">
        <v>85</v>
      </c>
      <c r="H778" s="103" t="n">
        <v>2.5</v>
      </c>
      <c r="I778" s="103" t="n">
        <v>699</v>
      </c>
      <c r="J778" s="103" t="n">
        <v>20</v>
      </c>
      <c r="K778" s="103" t="n">
        <v>150</v>
      </c>
      <c r="L778" s="103" t="s">
        <v>93</v>
      </c>
      <c r="M778" s="103" t="s">
        <v>67</v>
      </c>
      <c r="N778" s="103" t="s">
        <v>77</v>
      </c>
      <c r="O778" s="103" t="n">
        <v>69</v>
      </c>
      <c r="P778" s="103" t="n">
        <v>9.1</v>
      </c>
      <c r="Q778" s="103" t="n">
        <v>2</v>
      </c>
      <c r="R778" s="103" t="s">
        <v>139</v>
      </c>
      <c r="S778" s="103" t="n">
        <v>719</v>
      </c>
      <c r="T778" s="103" t="n">
        <v>569</v>
      </c>
      <c r="U778" s="103" t="s">
        <v>1451</v>
      </c>
      <c r="V778" s="103" t="n">
        <v>2025</v>
      </c>
    </row>
    <row r="779" customFormat="false" ht="14.25" hidden="false" customHeight="false" outlineLevel="0" collapsed="false">
      <c r="A779" s="103" t="s">
        <v>1499</v>
      </c>
      <c r="B779" s="103" t="s">
        <v>417</v>
      </c>
      <c r="C779" s="104" t="n">
        <v>45917</v>
      </c>
      <c r="D779" s="103" t="s">
        <v>104</v>
      </c>
      <c r="E779" s="103" t="n">
        <v>19</v>
      </c>
      <c r="F779" s="103" t="s">
        <v>171</v>
      </c>
      <c r="G779" s="103" t="s">
        <v>90</v>
      </c>
      <c r="H779" s="103" t="n">
        <v>3.6</v>
      </c>
      <c r="I779" s="103" t="n">
        <v>776</v>
      </c>
      <c r="J779" s="103" t="n">
        <v>50</v>
      </c>
      <c r="K779" s="103" t="n">
        <v>20</v>
      </c>
      <c r="L779" s="103" t="s">
        <v>93</v>
      </c>
      <c r="M779" s="103" t="s">
        <v>65</v>
      </c>
      <c r="N779" s="103" t="s">
        <v>78</v>
      </c>
      <c r="O779" s="103" t="n">
        <v>26</v>
      </c>
      <c r="P779" s="103" t="n">
        <v>3.9</v>
      </c>
      <c r="Q779" s="103" t="n">
        <v>4</v>
      </c>
      <c r="R779" s="103" t="s">
        <v>134</v>
      </c>
      <c r="S779" s="103" t="n">
        <v>826</v>
      </c>
      <c r="T779" s="103" t="n">
        <v>806</v>
      </c>
      <c r="U779" s="103" t="s">
        <v>1451</v>
      </c>
      <c r="V779" s="103" t="n">
        <v>2025</v>
      </c>
    </row>
    <row r="780" customFormat="false" ht="14.25" hidden="false" customHeight="false" outlineLevel="0" collapsed="false">
      <c r="A780" s="103" t="s">
        <v>1500</v>
      </c>
      <c r="B780" s="103" t="s">
        <v>418</v>
      </c>
      <c r="C780" s="104" t="n">
        <v>45917</v>
      </c>
      <c r="D780" s="103" t="s">
        <v>109</v>
      </c>
      <c r="E780" s="103" t="n">
        <v>52</v>
      </c>
      <c r="F780" s="103" t="s">
        <v>172</v>
      </c>
      <c r="G780" s="103" t="s">
        <v>90</v>
      </c>
      <c r="H780" s="103" t="n">
        <v>2.7</v>
      </c>
      <c r="I780" s="103" t="n">
        <v>1617</v>
      </c>
      <c r="J780" s="103" t="n">
        <v>50</v>
      </c>
      <c r="K780" s="103" t="n">
        <v>10</v>
      </c>
      <c r="L780" s="103" t="s">
        <v>93</v>
      </c>
      <c r="M780" s="103" t="s">
        <v>65</v>
      </c>
      <c r="N780" s="103" t="s">
        <v>77</v>
      </c>
      <c r="O780" s="103" t="n">
        <v>24</v>
      </c>
      <c r="P780" s="103" t="n">
        <v>14.1</v>
      </c>
      <c r="Q780" s="103" t="n">
        <v>3</v>
      </c>
      <c r="R780" s="103" t="s">
        <v>138</v>
      </c>
      <c r="S780" s="103" t="n">
        <v>1667</v>
      </c>
      <c r="T780" s="103" t="n">
        <v>1657</v>
      </c>
      <c r="U780" s="103" t="s">
        <v>1451</v>
      </c>
      <c r="V780" s="103" t="n">
        <v>2025</v>
      </c>
    </row>
    <row r="781" customFormat="false" ht="14.25" hidden="false" customHeight="false" outlineLevel="0" collapsed="false">
      <c r="A781" s="103" t="s">
        <v>1501</v>
      </c>
      <c r="B781" s="103" t="s">
        <v>419</v>
      </c>
      <c r="C781" s="104" t="n">
        <v>45917</v>
      </c>
      <c r="D781" s="103" t="s">
        <v>107</v>
      </c>
      <c r="E781" s="103" t="n">
        <v>54</v>
      </c>
      <c r="F781" s="103" t="s">
        <v>170</v>
      </c>
      <c r="G781" s="103" t="s">
        <v>86</v>
      </c>
      <c r="H781" s="103" t="n">
        <v>4.2</v>
      </c>
      <c r="I781" s="103" t="n">
        <v>1487</v>
      </c>
      <c r="J781" s="103" t="n">
        <v>20</v>
      </c>
      <c r="K781" s="103" t="n">
        <v>200</v>
      </c>
      <c r="L781" s="103" t="s">
        <v>93</v>
      </c>
      <c r="M781" s="103" t="s">
        <v>66</v>
      </c>
      <c r="N781" s="103" t="s">
        <v>77</v>
      </c>
      <c r="O781" s="103" t="n">
        <v>60</v>
      </c>
      <c r="P781" s="103" t="n">
        <v>9</v>
      </c>
      <c r="Q781" s="103" t="n">
        <v>5</v>
      </c>
      <c r="R781" s="103" t="s">
        <v>135</v>
      </c>
      <c r="S781" s="103" t="n">
        <v>1507</v>
      </c>
      <c r="T781" s="103" t="n">
        <v>1307</v>
      </c>
      <c r="U781" s="103" t="s">
        <v>1451</v>
      </c>
      <c r="V781" s="103" t="n">
        <v>2025</v>
      </c>
    </row>
    <row r="782" customFormat="false" ht="14.25" hidden="false" customHeight="false" outlineLevel="0" collapsed="false">
      <c r="A782" s="103" t="s">
        <v>1502</v>
      </c>
      <c r="B782" s="103" t="s">
        <v>420</v>
      </c>
      <c r="C782" s="104" t="n">
        <v>45918</v>
      </c>
      <c r="D782" s="103" t="s">
        <v>111</v>
      </c>
      <c r="E782" s="103" t="n">
        <v>22</v>
      </c>
      <c r="F782" s="103" t="s">
        <v>170</v>
      </c>
      <c r="G782" s="103" t="s">
        <v>84</v>
      </c>
      <c r="H782" s="103" t="n">
        <v>3.1</v>
      </c>
      <c r="I782" s="103" t="n">
        <v>1321</v>
      </c>
      <c r="J782" s="103" t="n">
        <v>20</v>
      </c>
      <c r="K782" s="103" t="n">
        <v>10</v>
      </c>
      <c r="L782" s="103" t="s">
        <v>93</v>
      </c>
      <c r="M782" s="103" t="s">
        <v>65</v>
      </c>
      <c r="N782" s="103" t="s">
        <v>78</v>
      </c>
      <c r="O782" s="103" t="n">
        <v>56</v>
      </c>
      <c r="P782" s="103" t="n">
        <v>5</v>
      </c>
      <c r="Q782" s="103" t="n">
        <v>2</v>
      </c>
      <c r="R782" s="103" t="s">
        <v>141</v>
      </c>
      <c r="S782" s="103" t="n">
        <v>1341</v>
      </c>
      <c r="T782" s="103" t="n">
        <v>1331</v>
      </c>
      <c r="U782" s="103" t="s">
        <v>1451</v>
      </c>
      <c r="V782" s="103" t="n">
        <v>2025</v>
      </c>
    </row>
    <row r="783" customFormat="false" ht="14.25" hidden="false" customHeight="false" outlineLevel="0" collapsed="false">
      <c r="A783" s="103" t="s">
        <v>1503</v>
      </c>
      <c r="B783" s="103" t="s">
        <v>421</v>
      </c>
      <c r="C783" s="104" t="n">
        <v>45918</v>
      </c>
      <c r="D783" s="103" t="s">
        <v>111</v>
      </c>
      <c r="E783" s="103" t="n">
        <v>18</v>
      </c>
      <c r="F783" s="103" t="s">
        <v>170</v>
      </c>
      <c r="G783" s="103" t="s">
        <v>90</v>
      </c>
      <c r="H783" s="103" t="n">
        <v>4.9</v>
      </c>
      <c r="I783" s="103" t="n">
        <v>538</v>
      </c>
      <c r="J783" s="103" t="n">
        <v>20</v>
      </c>
      <c r="K783" s="103" t="n">
        <v>200</v>
      </c>
      <c r="L783" s="103" t="s">
        <v>94</v>
      </c>
      <c r="M783" s="103" t="s">
        <v>65</v>
      </c>
      <c r="N783" s="103" t="s">
        <v>78</v>
      </c>
      <c r="O783" s="103" t="n">
        <v>56</v>
      </c>
      <c r="P783" s="103" t="n">
        <v>7</v>
      </c>
      <c r="Q783" s="103" t="n">
        <v>3</v>
      </c>
      <c r="R783" s="103" t="s">
        <v>137</v>
      </c>
      <c r="S783" s="103" t="n">
        <v>558</v>
      </c>
      <c r="T783" s="103" t="n">
        <v>358</v>
      </c>
      <c r="U783" s="103" t="s">
        <v>1451</v>
      </c>
      <c r="V783" s="103" t="n">
        <v>2025</v>
      </c>
    </row>
    <row r="784" customFormat="false" ht="14.25" hidden="false" customHeight="false" outlineLevel="0" collapsed="false">
      <c r="A784" s="103" t="s">
        <v>1504</v>
      </c>
      <c r="B784" s="103" t="s">
        <v>422</v>
      </c>
      <c r="C784" s="104" t="n">
        <v>45918</v>
      </c>
      <c r="D784" s="103" t="s">
        <v>100</v>
      </c>
      <c r="E784" s="103" t="n">
        <v>57</v>
      </c>
      <c r="F784" s="103" t="s">
        <v>170</v>
      </c>
      <c r="G784" s="103" t="s">
        <v>87</v>
      </c>
      <c r="H784" s="103" t="n">
        <v>4.7</v>
      </c>
      <c r="I784" s="103" t="n">
        <v>1649</v>
      </c>
      <c r="J784" s="103" t="n">
        <v>20</v>
      </c>
      <c r="K784" s="103" t="n">
        <v>30</v>
      </c>
      <c r="L784" s="103" t="s">
        <v>96</v>
      </c>
      <c r="M784" s="103" t="s">
        <v>66</v>
      </c>
      <c r="N784" s="103" t="s">
        <v>77</v>
      </c>
      <c r="O784" s="103" t="n">
        <v>66</v>
      </c>
      <c r="P784" s="103" t="n">
        <v>12.2</v>
      </c>
      <c r="Q784" s="103" t="n">
        <v>4</v>
      </c>
      <c r="R784" s="103" t="s">
        <v>142</v>
      </c>
      <c r="S784" s="103" t="n">
        <v>1669</v>
      </c>
      <c r="T784" s="103" t="n">
        <v>1639</v>
      </c>
      <c r="U784" s="103" t="s">
        <v>1451</v>
      </c>
      <c r="V784" s="103" t="n">
        <v>2025</v>
      </c>
    </row>
    <row r="785" customFormat="false" ht="14.25" hidden="false" customHeight="false" outlineLevel="0" collapsed="false">
      <c r="A785" s="103" t="s">
        <v>1505</v>
      </c>
      <c r="B785" s="103" t="s">
        <v>423</v>
      </c>
      <c r="C785" s="104" t="n">
        <v>45919</v>
      </c>
      <c r="D785" s="103" t="s">
        <v>100</v>
      </c>
      <c r="E785" s="103" t="n">
        <v>29</v>
      </c>
      <c r="F785" s="103" t="s">
        <v>171</v>
      </c>
      <c r="G785" s="103" t="s">
        <v>90</v>
      </c>
      <c r="H785" s="103" t="n">
        <v>3.2</v>
      </c>
      <c r="I785" s="103" t="n">
        <v>379</v>
      </c>
      <c r="J785" s="103" t="n">
        <v>0</v>
      </c>
      <c r="K785" s="103" t="n">
        <v>10</v>
      </c>
      <c r="L785" s="103" t="s">
        <v>95</v>
      </c>
      <c r="M785" s="103" t="s">
        <v>65</v>
      </c>
      <c r="N785" s="103" t="s">
        <v>77</v>
      </c>
      <c r="O785" s="103" t="n">
        <v>45</v>
      </c>
      <c r="P785" s="103" t="n">
        <v>2.8</v>
      </c>
      <c r="Q785" s="103" t="n">
        <v>4</v>
      </c>
      <c r="R785" s="103" t="s">
        <v>134</v>
      </c>
      <c r="S785" s="103" t="n">
        <v>379</v>
      </c>
      <c r="T785" s="103" t="n">
        <v>369</v>
      </c>
      <c r="U785" s="103" t="s">
        <v>1451</v>
      </c>
      <c r="V785" s="103" t="n">
        <v>2025</v>
      </c>
    </row>
    <row r="786" customFormat="false" ht="14.25" hidden="false" customHeight="false" outlineLevel="0" collapsed="false">
      <c r="A786" s="103" t="s">
        <v>1506</v>
      </c>
      <c r="B786" s="103" t="s">
        <v>424</v>
      </c>
      <c r="C786" s="104" t="n">
        <v>45919</v>
      </c>
      <c r="D786" s="103" t="s">
        <v>110</v>
      </c>
      <c r="E786" s="103" t="n">
        <v>53</v>
      </c>
      <c r="F786" s="103" t="s">
        <v>171</v>
      </c>
      <c r="G786" s="103" t="s">
        <v>81</v>
      </c>
      <c r="H786" s="103" t="n">
        <v>4.5</v>
      </c>
      <c r="I786" s="103" t="n">
        <v>1173</v>
      </c>
      <c r="J786" s="103" t="n">
        <v>50</v>
      </c>
      <c r="K786" s="103" t="n">
        <v>0</v>
      </c>
      <c r="L786" s="103" t="s">
        <v>93</v>
      </c>
      <c r="M786" s="103" t="s">
        <v>65</v>
      </c>
      <c r="N786" s="103" t="s">
        <v>77</v>
      </c>
      <c r="O786" s="103" t="n">
        <v>25</v>
      </c>
      <c r="P786" s="103" t="n">
        <v>4.7</v>
      </c>
      <c r="Q786" s="103" t="n">
        <v>2</v>
      </c>
      <c r="R786" s="103" t="s">
        <v>133</v>
      </c>
      <c r="S786" s="103" t="n">
        <v>1223</v>
      </c>
      <c r="T786" s="103" t="n">
        <v>1223</v>
      </c>
      <c r="U786" s="103" t="s">
        <v>1451</v>
      </c>
      <c r="V786" s="103" t="n">
        <v>2025</v>
      </c>
    </row>
    <row r="787" customFormat="false" ht="14.25" hidden="false" customHeight="false" outlineLevel="0" collapsed="false">
      <c r="A787" s="103" t="s">
        <v>1507</v>
      </c>
      <c r="B787" s="103" t="s">
        <v>425</v>
      </c>
      <c r="C787" s="104" t="n">
        <v>45919</v>
      </c>
      <c r="D787" s="103" t="s">
        <v>109</v>
      </c>
      <c r="E787" s="103" t="n">
        <v>40</v>
      </c>
      <c r="F787" s="103" t="s">
        <v>171</v>
      </c>
      <c r="G787" s="103" t="s">
        <v>83</v>
      </c>
      <c r="H787" s="103" t="n">
        <v>4.5</v>
      </c>
      <c r="I787" s="103" t="n">
        <v>168</v>
      </c>
      <c r="J787" s="103" t="n">
        <v>0</v>
      </c>
      <c r="K787" s="103" t="n">
        <v>30</v>
      </c>
      <c r="L787" s="103" t="s">
        <v>93</v>
      </c>
      <c r="M787" s="103" t="s">
        <v>67</v>
      </c>
      <c r="N787" s="103" t="s">
        <v>77</v>
      </c>
      <c r="O787" s="103" t="n">
        <v>68</v>
      </c>
      <c r="P787" s="103" t="n">
        <v>10.4</v>
      </c>
      <c r="Q787" s="103" t="n">
        <v>1</v>
      </c>
      <c r="R787" s="103" t="s">
        <v>136</v>
      </c>
      <c r="S787" s="103" t="n">
        <v>168</v>
      </c>
      <c r="T787" s="103" t="n">
        <v>138</v>
      </c>
      <c r="U787" s="103" t="s">
        <v>1451</v>
      </c>
      <c r="V787" s="103" t="n">
        <v>2025</v>
      </c>
    </row>
    <row r="788" customFormat="false" ht="14.25" hidden="false" customHeight="false" outlineLevel="0" collapsed="false">
      <c r="A788" s="103" t="s">
        <v>1508</v>
      </c>
      <c r="B788" s="103" t="s">
        <v>426</v>
      </c>
      <c r="C788" s="104" t="n">
        <v>45920</v>
      </c>
      <c r="D788" s="103" t="s">
        <v>102</v>
      </c>
      <c r="E788" s="103" t="n">
        <v>48</v>
      </c>
      <c r="F788" s="103" t="s">
        <v>171</v>
      </c>
      <c r="G788" s="103" t="s">
        <v>84</v>
      </c>
      <c r="H788" s="103" t="n">
        <v>5</v>
      </c>
      <c r="I788" s="103" t="n">
        <v>1201</v>
      </c>
      <c r="J788" s="103" t="n">
        <v>40</v>
      </c>
      <c r="K788" s="103" t="n">
        <v>200</v>
      </c>
      <c r="L788" s="103" t="s">
        <v>94</v>
      </c>
      <c r="M788" s="103" t="s">
        <v>65</v>
      </c>
      <c r="N788" s="103" t="s">
        <v>78</v>
      </c>
      <c r="O788" s="103" t="n">
        <v>30</v>
      </c>
      <c r="P788" s="103" t="n">
        <v>5.1</v>
      </c>
      <c r="Q788" s="103" t="n">
        <v>5</v>
      </c>
      <c r="R788" s="103" t="s">
        <v>131</v>
      </c>
      <c r="S788" s="103" t="n">
        <v>1241</v>
      </c>
      <c r="T788" s="103" t="n">
        <v>1041</v>
      </c>
      <c r="U788" s="103" t="s">
        <v>1451</v>
      </c>
      <c r="V788" s="103" t="n">
        <v>2025</v>
      </c>
    </row>
    <row r="789" customFormat="false" ht="14.25" hidden="false" customHeight="false" outlineLevel="0" collapsed="false">
      <c r="A789" s="103" t="s">
        <v>1509</v>
      </c>
      <c r="B789" s="103" t="s">
        <v>427</v>
      </c>
      <c r="C789" s="104" t="n">
        <v>45920</v>
      </c>
      <c r="D789" s="103" t="s">
        <v>100</v>
      </c>
      <c r="E789" s="103" t="n">
        <v>28</v>
      </c>
      <c r="F789" s="103" t="s">
        <v>170</v>
      </c>
      <c r="G789" s="103" t="s">
        <v>87</v>
      </c>
      <c r="H789" s="103" t="n">
        <v>4</v>
      </c>
      <c r="I789" s="103" t="n">
        <v>586</v>
      </c>
      <c r="J789" s="103" t="n">
        <v>40</v>
      </c>
      <c r="K789" s="103" t="n">
        <v>200</v>
      </c>
      <c r="L789" s="103" t="s">
        <v>93</v>
      </c>
      <c r="M789" s="103" t="s">
        <v>65</v>
      </c>
      <c r="N789" s="103" t="s">
        <v>77</v>
      </c>
      <c r="O789" s="103" t="n">
        <v>23</v>
      </c>
      <c r="P789" s="103" t="n">
        <v>12</v>
      </c>
      <c r="Q789" s="103" t="n">
        <v>5</v>
      </c>
      <c r="R789" s="103" t="s">
        <v>139</v>
      </c>
      <c r="S789" s="103" t="n">
        <v>626</v>
      </c>
      <c r="T789" s="103" t="n">
        <v>426</v>
      </c>
      <c r="U789" s="103" t="s">
        <v>1451</v>
      </c>
      <c r="V789" s="103" t="n">
        <v>2025</v>
      </c>
    </row>
    <row r="790" customFormat="false" ht="14.25" hidden="false" customHeight="false" outlineLevel="0" collapsed="false">
      <c r="A790" s="103" t="s">
        <v>1510</v>
      </c>
      <c r="B790" s="103" t="s">
        <v>428</v>
      </c>
      <c r="C790" s="104" t="n">
        <v>45920</v>
      </c>
      <c r="D790" s="103" t="s">
        <v>103</v>
      </c>
      <c r="E790" s="103" t="n">
        <v>27</v>
      </c>
      <c r="F790" s="103" t="s">
        <v>171</v>
      </c>
      <c r="G790" s="103" t="s">
        <v>89</v>
      </c>
      <c r="H790" s="103" t="n">
        <v>2.7</v>
      </c>
      <c r="I790" s="103" t="n">
        <v>875</v>
      </c>
      <c r="J790" s="103" t="n">
        <v>50</v>
      </c>
      <c r="K790" s="103" t="n">
        <v>30</v>
      </c>
      <c r="L790" s="103" t="s">
        <v>93</v>
      </c>
      <c r="M790" s="103" t="s">
        <v>65</v>
      </c>
      <c r="N790" s="103" t="s">
        <v>77</v>
      </c>
      <c r="O790" s="103" t="n">
        <v>61</v>
      </c>
      <c r="P790" s="103" t="n">
        <v>2.4</v>
      </c>
      <c r="Q790" s="103" t="n">
        <v>4</v>
      </c>
      <c r="R790" s="103" t="s">
        <v>134</v>
      </c>
      <c r="S790" s="103" t="n">
        <v>925</v>
      </c>
      <c r="T790" s="103" t="n">
        <v>895</v>
      </c>
      <c r="U790" s="103" t="s">
        <v>1451</v>
      </c>
      <c r="V790" s="103" t="n">
        <v>2025</v>
      </c>
    </row>
    <row r="791" customFormat="false" ht="14.25" hidden="false" customHeight="false" outlineLevel="0" collapsed="false">
      <c r="A791" s="103" t="s">
        <v>1511</v>
      </c>
      <c r="B791" s="103" t="s">
        <v>429</v>
      </c>
      <c r="C791" s="104" t="n">
        <v>45921</v>
      </c>
      <c r="D791" s="103" t="s">
        <v>108</v>
      </c>
      <c r="E791" s="103" t="n">
        <v>20</v>
      </c>
      <c r="F791" s="103" t="s">
        <v>170</v>
      </c>
      <c r="G791" s="103" t="s">
        <v>87</v>
      </c>
      <c r="H791" s="103" t="n">
        <v>4.1</v>
      </c>
      <c r="I791" s="103" t="n">
        <v>700</v>
      </c>
      <c r="J791" s="103" t="n">
        <v>40</v>
      </c>
      <c r="K791" s="103" t="n">
        <v>200</v>
      </c>
      <c r="L791" s="103" t="s">
        <v>96</v>
      </c>
      <c r="M791" s="103" t="s">
        <v>67</v>
      </c>
      <c r="N791" s="103" t="s">
        <v>78</v>
      </c>
      <c r="O791" s="103" t="n">
        <v>28</v>
      </c>
      <c r="P791" s="103" t="n">
        <v>11.6</v>
      </c>
      <c r="Q791" s="103" t="n">
        <v>4</v>
      </c>
      <c r="R791" s="103" t="s">
        <v>139</v>
      </c>
      <c r="S791" s="103" t="n">
        <v>740</v>
      </c>
      <c r="T791" s="103" t="n">
        <v>540</v>
      </c>
      <c r="U791" s="103" t="s">
        <v>1451</v>
      </c>
      <c r="V791" s="103" t="n">
        <v>2025</v>
      </c>
    </row>
    <row r="792" customFormat="false" ht="14.25" hidden="false" customHeight="false" outlineLevel="0" collapsed="false">
      <c r="A792" s="103" t="s">
        <v>1512</v>
      </c>
      <c r="B792" s="103" t="s">
        <v>430</v>
      </c>
      <c r="C792" s="104" t="n">
        <v>45921</v>
      </c>
      <c r="D792" s="103" t="s">
        <v>107</v>
      </c>
      <c r="E792" s="103" t="n">
        <v>31</v>
      </c>
      <c r="F792" s="103" t="s">
        <v>170</v>
      </c>
      <c r="G792" s="103" t="s">
        <v>85</v>
      </c>
      <c r="H792" s="103" t="n">
        <v>4.1</v>
      </c>
      <c r="I792" s="103" t="n">
        <v>410</v>
      </c>
      <c r="J792" s="103" t="n">
        <v>20</v>
      </c>
      <c r="K792" s="103" t="n">
        <v>75</v>
      </c>
      <c r="L792" s="103" t="s">
        <v>93</v>
      </c>
      <c r="M792" s="103" t="s">
        <v>65</v>
      </c>
      <c r="N792" s="103" t="s">
        <v>77</v>
      </c>
      <c r="O792" s="103" t="n">
        <v>33</v>
      </c>
      <c r="P792" s="103" t="n">
        <v>1.5</v>
      </c>
      <c r="Q792" s="103" t="n">
        <v>4</v>
      </c>
      <c r="R792" s="103" t="s">
        <v>136</v>
      </c>
      <c r="S792" s="103" t="n">
        <v>430</v>
      </c>
      <c r="T792" s="103" t="n">
        <v>355</v>
      </c>
      <c r="U792" s="103" t="s">
        <v>1451</v>
      </c>
      <c r="V792" s="103" t="n">
        <v>2025</v>
      </c>
    </row>
    <row r="793" customFormat="false" ht="14.25" hidden="false" customHeight="false" outlineLevel="0" collapsed="false">
      <c r="A793" s="103" t="s">
        <v>1513</v>
      </c>
      <c r="B793" s="103" t="s">
        <v>431</v>
      </c>
      <c r="C793" s="104" t="n">
        <v>45921</v>
      </c>
      <c r="D793" s="103" t="s">
        <v>101</v>
      </c>
      <c r="E793" s="103" t="n">
        <v>33</v>
      </c>
      <c r="F793" s="103" t="s">
        <v>170</v>
      </c>
      <c r="G793" s="103" t="s">
        <v>89</v>
      </c>
      <c r="H793" s="103" t="n">
        <v>4.1</v>
      </c>
      <c r="I793" s="103" t="n">
        <v>1165</v>
      </c>
      <c r="J793" s="103" t="n">
        <v>0</v>
      </c>
      <c r="K793" s="103" t="n">
        <v>0</v>
      </c>
      <c r="L793" s="103" t="s">
        <v>96</v>
      </c>
      <c r="M793" s="103" t="s">
        <v>65</v>
      </c>
      <c r="N793" s="103" t="s">
        <v>77</v>
      </c>
      <c r="O793" s="103" t="n">
        <v>45</v>
      </c>
      <c r="P793" s="103" t="n">
        <v>0.7</v>
      </c>
      <c r="Q793" s="103" t="n">
        <v>4</v>
      </c>
      <c r="R793" s="103" t="s">
        <v>140</v>
      </c>
      <c r="S793" s="103" t="n">
        <v>1165</v>
      </c>
      <c r="T793" s="103" t="n">
        <v>1165</v>
      </c>
      <c r="U793" s="103" t="s">
        <v>1451</v>
      </c>
      <c r="V793" s="103" t="n">
        <v>2025</v>
      </c>
    </row>
    <row r="794" customFormat="false" ht="14.25" hidden="false" customHeight="false" outlineLevel="0" collapsed="false">
      <c r="A794" s="103" t="s">
        <v>1514</v>
      </c>
      <c r="B794" s="103" t="s">
        <v>432</v>
      </c>
      <c r="C794" s="104" t="n">
        <v>45922</v>
      </c>
      <c r="D794" s="103" t="s">
        <v>100</v>
      </c>
      <c r="E794" s="103" t="n">
        <v>27</v>
      </c>
      <c r="F794" s="103" t="s">
        <v>170</v>
      </c>
      <c r="G794" s="103" t="s">
        <v>88</v>
      </c>
      <c r="H794" s="103" t="n">
        <v>3.3</v>
      </c>
      <c r="I794" s="103" t="n">
        <v>1602</v>
      </c>
      <c r="J794" s="103" t="n">
        <v>20</v>
      </c>
      <c r="K794" s="103" t="n">
        <v>75</v>
      </c>
      <c r="L794" s="103" t="s">
        <v>93</v>
      </c>
      <c r="M794" s="103" t="s">
        <v>65</v>
      </c>
      <c r="N794" s="103" t="s">
        <v>77</v>
      </c>
      <c r="O794" s="103" t="n">
        <v>23</v>
      </c>
      <c r="P794" s="103" t="n">
        <v>13.5</v>
      </c>
      <c r="Q794" s="103" t="n">
        <v>5</v>
      </c>
      <c r="R794" s="103" t="s">
        <v>139</v>
      </c>
      <c r="S794" s="103" t="n">
        <v>1622</v>
      </c>
      <c r="T794" s="103" t="n">
        <v>1547</v>
      </c>
      <c r="U794" s="103" t="s">
        <v>1451</v>
      </c>
      <c r="V794" s="103" t="n">
        <v>2025</v>
      </c>
    </row>
    <row r="795" customFormat="false" ht="14.25" hidden="false" customHeight="false" outlineLevel="0" collapsed="false">
      <c r="A795" s="103" t="s">
        <v>1515</v>
      </c>
      <c r="B795" s="103" t="s">
        <v>433</v>
      </c>
      <c r="C795" s="104" t="n">
        <v>45922</v>
      </c>
      <c r="D795" s="103" t="s">
        <v>103</v>
      </c>
      <c r="E795" s="103" t="n">
        <v>46</v>
      </c>
      <c r="F795" s="103" t="s">
        <v>170</v>
      </c>
      <c r="G795" s="103" t="s">
        <v>83</v>
      </c>
      <c r="H795" s="103" t="n">
        <v>4.6</v>
      </c>
      <c r="I795" s="103" t="n">
        <v>1731</v>
      </c>
      <c r="J795" s="103" t="n">
        <v>40</v>
      </c>
      <c r="K795" s="103" t="n">
        <v>200</v>
      </c>
      <c r="L795" s="103" t="s">
        <v>97</v>
      </c>
      <c r="M795" s="103" t="s">
        <v>65</v>
      </c>
      <c r="N795" s="103" t="s">
        <v>77</v>
      </c>
      <c r="O795" s="103" t="n">
        <v>50</v>
      </c>
      <c r="P795" s="103" t="n">
        <v>8.9</v>
      </c>
      <c r="Q795" s="103" t="n">
        <v>5</v>
      </c>
      <c r="R795" s="103" t="s">
        <v>132</v>
      </c>
      <c r="S795" s="103" t="n">
        <v>1771</v>
      </c>
      <c r="T795" s="103" t="n">
        <v>1571</v>
      </c>
      <c r="U795" s="103" t="s">
        <v>1451</v>
      </c>
      <c r="V795" s="103" t="n">
        <v>2025</v>
      </c>
    </row>
    <row r="796" customFormat="false" ht="14.25" hidden="false" customHeight="false" outlineLevel="0" collapsed="false">
      <c r="A796" s="103" t="s">
        <v>1516</v>
      </c>
      <c r="B796" s="103" t="s">
        <v>434</v>
      </c>
      <c r="C796" s="104" t="n">
        <v>45922</v>
      </c>
      <c r="D796" s="103" t="s">
        <v>103</v>
      </c>
      <c r="E796" s="103" t="n">
        <v>27</v>
      </c>
      <c r="F796" s="103" t="s">
        <v>171</v>
      </c>
      <c r="G796" s="103" t="s">
        <v>83</v>
      </c>
      <c r="H796" s="103" t="n">
        <v>4.9</v>
      </c>
      <c r="I796" s="103" t="n">
        <v>443</v>
      </c>
      <c r="J796" s="103" t="n">
        <v>60</v>
      </c>
      <c r="K796" s="103" t="n">
        <v>10</v>
      </c>
      <c r="L796" s="103" t="s">
        <v>94</v>
      </c>
      <c r="M796" s="103" t="s">
        <v>65</v>
      </c>
      <c r="N796" s="103" t="s">
        <v>77</v>
      </c>
      <c r="O796" s="103" t="n">
        <v>67</v>
      </c>
      <c r="P796" s="103" t="n">
        <v>5.6</v>
      </c>
      <c r="Q796" s="103" t="n">
        <v>3</v>
      </c>
      <c r="R796" s="103" t="s">
        <v>138</v>
      </c>
      <c r="S796" s="103" t="n">
        <v>503</v>
      </c>
      <c r="T796" s="103" t="n">
        <v>493</v>
      </c>
      <c r="U796" s="103" t="s">
        <v>1451</v>
      </c>
      <c r="V796" s="103" t="n">
        <v>2025</v>
      </c>
    </row>
    <row r="797" customFormat="false" ht="14.25" hidden="false" customHeight="false" outlineLevel="0" collapsed="false">
      <c r="A797" s="103" t="s">
        <v>1517</v>
      </c>
      <c r="B797" s="103" t="s">
        <v>435</v>
      </c>
      <c r="C797" s="104" t="n">
        <v>45923</v>
      </c>
      <c r="D797" s="103" t="s">
        <v>107</v>
      </c>
      <c r="E797" s="103" t="n">
        <v>29</v>
      </c>
      <c r="F797" s="103" t="s">
        <v>170</v>
      </c>
      <c r="G797" s="103" t="s">
        <v>83</v>
      </c>
      <c r="H797" s="103" t="n">
        <v>3</v>
      </c>
      <c r="I797" s="103" t="n">
        <v>1325</v>
      </c>
      <c r="J797" s="103" t="n">
        <v>0</v>
      </c>
      <c r="K797" s="103" t="n">
        <v>75</v>
      </c>
      <c r="L797" s="103" t="s">
        <v>95</v>
      </c>
      <c r="M797" s="103" t="s">
        <v>65</v>
      </c>
      <c r="N797" s="103" t="s">
        <v>78</v>
      </c>
      <c r="O797" s="103" t="n">
        <v>53</v>
      </c>
      <c r="P797" s="103" t="n">
        <v>3.9</v>
      </c>
      <c r="Q797" s="103" t="n">
        <v>5</v>
      </c>
      <c r="R797" s="103" t="s">
        <v>140</v>
      </c>
      <c r="S797" s="103" t="n">
        <v>1325</v>
      </c>
      <c r="T797" s="103" t="n">
        <v>1250</v>
      </c>
      <c r="U797" s="103" t="s">
        <v>1451</v>
      </c>
      <c r="V797" s="103" t="n">
        <v>2025</v>
      </c>
    </row>
    <row r="798" customFormat="false" ht="14.25" hidden="false" customHeight="false" outlineLevel="0" collapsed="false">
      <c r="A798" s="103" t="s">
        <v>1518</v>
      </c>
      <c r="B798" s="103" t="s">
        <v>436</v>
      </c>
      <c r="C798" s="104" t="n">
        <v>45923</v>
      </c>
      <c r="D798" s="103" t="s">
        <v>102</v>
      </c>
      <c r="E798" s="103" t="n">
        <v>47</v>
      </c>
      <c r="F798" s="103" t="s">
        <v>171</v>
      </c>
      <c r="G798" s="103" t="s">
        <v>83</v>
      </c>
      <c r="H798" s="103" t="n">
        <v>2.7</v>
      </c>
      <c r="I798" s="103" t="n">
        <v>1236</v>
      </c>
      <c r="J798" s="103" t="n">
        <v>20</v>
      </c>
      <c r="K798" s="103" t="n">
        <v>10</v>
      </c>
      <c r="L798" s="103" t="s">
        <v>93</v>
      </c>
      <c r="M798" s="103" t="s">
        <v>65</v>
      </c>
      <c r="N798" s="103" t="s">
        <v>77</v>
      </c>
      <c r="O798" s="103" t="n">
        <v>68</v>
      </c>
      <c r="P798" s="103" t="n">
        <v>9.4</v>
      </c>
      <c r="Q798" s="103" t="n">
        <v>3</v>
      </c>
      <c r="R798" s="103" t="s">
        <v>134</v>
      </c>
      <c r="S798" s="103" t="n">
        <v>1256</v>
      </c>
      <c r="T798" s="103" t="n">
        <v>1246</v>
      </c>
      <c r="U798" s="103" t="s">
        <v>1451</v>
      </c>
      <c r="V798" s="103" t="n">
        <v>2025</v>
      </c>
    </row>
    <row r="799" customFormat="false" ht="14.25" hidden="false" customHeight="false" outlineLevel="0" collapsed="false">
      <c r="A799" s="103" t="s">
        <v>1519</v>
      </c>
      <c r="B799" s="103" t="s">
        <v>437</v>
      </c>
      <c r="C799" s="104" t="n">
        <v>45923</v>
      </c>
      <c r="D799" s="103" t="s">
        <v>103</v>
      </c>
      <c r="E799" s="103" t="n">
        <v>58</v>
      </c>
      <c r="F799" s="103" t="s">
        <v>170</v>
      </c>
      <c r="G799" s="103" t="s">
        <v>86</v>
      </c>
      <c r="H799" s="103" t="n">
        <v>3</v>
      </c>
      <c r="I799" s="103" t="n">
        <v>697</v>
      </c>
      <c r="J799" s="103" t="n">
        <v>50</v>
      </c>
      <c r="K799" s="103" t="n">
        <v>30</v>
      </c>
      <c r="L799" s="103" t="s">
        <v>96</v>
      </c>
      <c r="M799" s="103" t="s">
        <v>66</v>
      </c>
      <c r="N799" s="103" t="s">
        <v>77</v>
      </c>
      <c r="O799" s="103" t="n">
        <v>40</v>
      </c>
      <c r="P799" s="103" t="n">
        <v>7.9</v>
      </c>
      <c r="Q799" s="103" t="n">
        <v>3</v>
      </c>
      <c r="R799" s="103" t="s">
        <v>135</v>
      </c>
      <c r="S799" s="103" t="n">
        <v>747</v>
      </c>
      <c r="T799" s="103" t="n">
        <v>717</v>
      </c>
      <c r="U799" s="103" t="s">
        <v>1451</v>
      </c>
      <c r="V799" s="103" t="n">
        <v>2025</v>
      </c>
    </row>
    <row r="800" customFormat="false" ht="14.25" hidden="false" customHeight="false" outlineLevel="0" collapsed="false">
      <c r="A800" s="103" t="s">
        <v>1520</v>
      </c>
      <c r="B800" s="103" t="s">
        <v>438</v>
      </c>
      <c r="C800" s="104" t="n">
        <v>45924</v>
      </c>
      <c r="D800" s="103" t="s">
        <v>108</v>
      </c>
      <c r="E800" s="103" t="n">
        <v>18</v>
      </c>
      <c r="F800" s="103" t="s">
        <v>171</v>
      </c>
      <c r="G800" s="103" t="s">
        <v>83</v>
      </c>
      <c r="H800" s="103" t="n">
        <v>4.6</v>
      </c>
      <c r="I800" s="103" t="n">
        <v>152</v>
      </c>
      <c r="J800" s="103" t="n">
        <v>20</v>
      </c>
      <c r="K800" s="103" t="n">
        <v>150</v>
      </c>
      <c r="L800" s="103" t="s">
        <v>96</v>
      </c>
      <c r="M800" s="103" t="s">
        <v>65</v>
      </c>
      <c r="N800" s="103" t="s">
        <v>77</v>
      </c>
      <c r="O800" s="103" t="n">
        <v>22</v>
      </c>
      <c r="P800" s="103" t="n">
        <v>14.9</v>
      </c>
      <c r="Q800" s="103" t="n">
        <v>1</v>
      </c>
      <c r="R800" s="103" t="s">
        <v>131</v>
      </c>
      <c r="S800" s="103" t="n">
        <v>172</v>
      </c>
      <c r="T800" s="103" t="n">
        <v>22</v>
      </c>
      <c r="U800" s="103" t="s">
        <v>1451</v>
      </c>
      <c r="V800" s="103" t="n">
        <v>2025</v>
      </c>
    </row>
    <row r="801" customFormat="false" ht="14.25" hidden="false" customHeight="false" outlineLevel="0" collapsed="false">
      <c r="A801" s="103" t="s">
        <v>1521</v>
      </c>
      <c r="B801" s="103" t="s">
        <v>439</v>
      </c>
      <c r="C801" s="104" t="n">
        <v>45924</v>
      </c>
      <c r="D801" s="103" t="s">
        <v>103</v>
      </c>
      <c r="E801" s="103" t="n">
        <v>22</v>
      </c>
      <c r="F801" s="103" t="s">
        <v>170</v>
      </c>
      <c r="G801" s="103" t="s">
        <v>83</v>
      </c>
      <c r="H801" s="103" t="n">
        <v>4.2</v>
      </c>
      <c r="I801" s="103" t="n">
        <v>1279</v>
      </c>
      <c r="J801" s="103" t="n">
        <v>60</v>
      </c>
      <c r="K801" s="103" t="n">
        <v>100</v>
      </c>
      <c r="L801" s="103" t="s">
        <v>95</v>
      </c>
      <c r="M801" s="103" t="s">
        <v>67</v>
      </c>
      <c r="N801" s="103" t="s">
        <v>77</v>
      </c>
      <c r="O801" s="103" t="n">
        <v>38</v>
      </c>
      <c r="P801" s="103" t="n">
        <v>14.8</v>
      </c>
      <c r="Q801" s="103" t="n">
        <v>3</v>
      </c>
      <c r="R801" s="103" t="s">
        <v>132</v>
      </c>
      <c r="S801" s="103" t="n">
        <v>1339</v>
      </c>
      <c r="T801" s="103" t="n">
        <v>1239</v>
      </c>
      <c r="U801" s="103" t="s">
        <v>1451</v>
      </c>
      <c r="V801" s="103" t="n">
        <v>2025</v>
      </c>
    </row>
    <row r="802" customFormat="false" ht="14.25" hidden="false" customHeight="false" outlineLevel="0" collapsed="false">
      <c r="A802" s="103" t="s">
        <v>1522</v>
      </c>
      <c r="B802" s="103" t="s">
        <v>440</v>
      </c>
      <c r="C802" s="104" t="n">
        <v>45924</v>
      </c>
      <c r="D802" s="103" t="s">
        <v>103</v>
      </c>
      <c r="E802" s="103" t="n">
        <v>37</v>
      </c>
      <c r="F802" s="103" t="s">
        <v>170</v>
      </c>
      <c r="G802" s="103" t="s">
        <v>83</v>
      </c>
      <c r="H802" s="103" t="n">
        <v>4.1</v>
      </c>
      <c r="I802" s="103" t="n">
        <v>1708</v>
      </c>
      <c r="J802" s="103" t="n">
        <v>40</v>
      </c>
      <c r="K802" s="103" t="n">
        <v>200</v>
      </c>
      <c r="L802" s="103" t="s">
        <v>94</v>
      </c>
      <c r="M802" s="103" t="s">
        <v>65</v>
      </c>
      <c r="N802" s="103" t="s">
        <v>77</v>
      </c>
      <c r="O802" s="103" t="n">
        <v>22</v>
      </c>
      <c r="P802" s="103" t="n">
        <v>9.7</v>
      </c>
      <c r="Q802" s="103" t="n">
        <v>5</v>
      </c>
      <c r="R802" s="103" t="s">
        <v>136</v>
      </c>
      <c r="S802" s="103" t="n">
        <v>1748</v>
      </c>
      <c r="T802" s="103" t="n">
        <v>1548</v>
      </c>
      <c r="U802" s="103" t="s">
        <v>1451</v>
      </c>
      <c r="V802" s="103" t="n">
        <v>2025</v>
      </c>
    </row>
    <row r="803" customFormat="false" ht="14.25" hidden="false" customHeight="false" outlineLevel="0" collapsed="false">
      <c r="A803" s="103" t="s">
        <v>1523</v>
      </c>
      <c r="B803" s="103" t="s">
        <v>441</v>
      </c>
      <c r="C803" s="104" t="n">
        <v>45925</v>
      </c>
      <c r="D803" s="103" t="s">
        <v>103</v>
      </c>
      <c r="E803" s="103" t="n">
        <v>25</v>
      </c>
      <c r="F803" s="103" t="s">
        <v>171</v>
      </c>
      <c r="G803" s="103" t="s">
        <v>84</v>
      </c>
      <c r="H803" s="103" t="n">
        <v>3.5</v>
      </c>
      <c r="I803" s="103" t="n">
        <v>1182</v>
      </c>
      <c r="J803" s="103" t="n">
        <v>0</v>
      </c>
      <c r="K803" s="103" t="n">
        <v>100</v>
      </c>
      <c r="L803" s="103" t="s">
        <v>95</v>
      </c>
      <c r="M803" s="103" t="s">
        <v>66</v>
      </c>
      <c r="N803" s="103" t="s">
        <v>77</v>
      </c>
      <c r="O803" s="103" t="n">
        <v>33</v>
      </c>
      <c r="P803" s="103" t="n">
        <v>6.9</v>
      </c>
      <c r="Q803" s="103" t="n">
        <v>4</v>
      </c>
      <c r="R803" s="103" t="s">
        <v>140</v>
      </c>
      <c r="S803" s="103" t="n">
        <v>1182</v>
      </c>
      <c r="T803" s="103" t="n">
        <v>1082</v>
      </c>
      <c r="U803" s="103" t="s">
        <v>1451</v>
      </c>
      <c r="V803" s="103" t="n">
        <v>2025</v>
      </c>
    </row>
    <row r="804" customFormat="false" ht="14.25" hidden="false" customHeight="false" outlineLevel="0" collapsed="false">
      <c r="A804" s="103" t="s">
        <v>1524</v>
      </c>
      <c r="B804" s="103" t="s">
        <v>442</v>
      </c>
      <c r="C804" s="104" t="n">
        <v>45925</v>
      </c>
      <c r="D804" s="103" t="s">
        <v>104</v>
      </c>
      <c r="E804" s="103" t="n">
        <v>60</v>
      </c>
      <c r="F804" s="103" t="s">
        <v>171</v>
      </c>
      <c r="G804" s="103" t="s">
        <v>86</v>
      </c>
      <c r="H804" s="103" t="n">
        <v>3.9</v>
      </c>
      <c r="I804" s="103" t="n">
        <v>851</v>
      </c>
      <c r="J804" s="103" t="n">
        <v>50</v>
      </c>
      <c r="K804" s="103" t="n">
        <v>0</v>
      </c>
      <c r="L804" s="103" t="s">
        <v>93</v>
      </c>
      <c r="M804" s="103" t="s">
        <v>66</v>
      </c>
      <c r="N804" s="103" t="s">
        <v>78</v>
      </c>
      <c r="O804" s="103" t="n">
        <v>61</v>
      </c>
      <c r="P804" s="103" t="n">
        <v>7.6</v>
      </c>
      <c r="Q804" s="103" t="n">
        <v>2</v>
      </c>
      <c r="R804" s="103" t="s">
        <v>132</v>
      </c>
      <c r="S804" s="103" t="n">
        <v>901</v>
      </c>
      <c r="T804" s="103" t="n">
        <v>901</v>
      </c>
      <c r="U804" s="103" t="s">
        <v>1451</v>
      </c>
      <c r="V804" s="103" t="n">
        <v>2025</v>
      </c>
    </row>
    <row r="805" customFormat="false" ht="14.25" hidden="false" customHeight="false" outlineLevel="0" collapsed="false">
      <c r="A805" s="103" t="s">
        <v>1525</v>
      </c>
      <c r="B805" s="103" t="s">
        <v>443</v>
      </c>
      <c r="C805" s="104" t="n">
        <v>45925</v>
      </c>
      <c r="D805" s="103" t="s">
        <v>104</v>
      </c>
      <c r="E805" s="103" t="n">
        <v>29</v>
      </c>
      <c r="F805" s="103" t="s">
        <v>172</v>
      </c>
      <c r="G805" s="103" t="s">
        <v>82</v>
      </c>
      <c r="H805" s="103" t="n">
        <v>3.3</v>
      </c>
      <c r="I805" s="103" t="n">
        <v>1002</v>
      </c>
      <c r="J805" s="103" t="n">
        <v>0</v>
      </c>
      <c r="K805" s="103" t="n">
        <v>10</v>
      </c>
      <c r="L805" s="103" t="s">
        <v>94</v>
      </c>
      <c r="M805" s="103" t="s">
        <v>67</v>
      </c>
      <c r="N805" s="103" t="s">
        <v>77</v>
      </c>
      <c r="O805" s="103" t="n">
        <v>62</v>
      </c>
      <c r="P805" s="103" t="n">
        <v>10.4</v>
      </c>
      <c r="Q805" s="103" t="n">
        <v>5</v>
      </c>
      <c r="R805" s="103" t="s">
        <v>138</v>
      </c>
      <c r="S805" s="103" t="n">
        <v>1002</v>
      </c>
      <c r="T805" s="103" t="n">
        <v>992</v>
      </c>
      <c r="U805" s="103" t="s">
        <v>1451</v>
      </c>
      <c r="V805" s="103" t="n">
        <v>2025</v>
      </c>
    </row>
    <row r="806" customFormat="false" ht="14.25" hidden="false" customHeight="false" outlineLevel="0" collapsed="false">
      <c r="A806" s="103" t="s">
        <v>1526</v>
      </c>
      <c r="B806" s="103" t="s">
        <v>444</v>
      </c>
      <c r="C806" s="104" t="n">
        <v>45926</v>
      </c>
      <c r="D806" s="103" t="s">
        <v>102</v>
      </c>
      <c r="E806" s="103" t="n">
        <v>18</v>
      </c>
      <c r="F806" s="103" t="s">
        <v>170</v>
      </c>
      <c r="G806" s="103" t="s">
        <v>87</v>
      </c>
      <c r="H806" s="103" t="n">
        <v>3.7</v>
      </c>
      <c r="I806" s="103" t="n">
        <v>455</v>
      </c>
      <c r="J806" s="103" t="n">
        <v>50</v>
      </c>
      <c r="K806" s="103" t="n">
        <v>75</v>
      </c>
      <c r="L806" s="103" t="s">
        <v>96</v>
      </c>
      <c r="M806" s="103" t="s">
        <v>66</v>
      </c>
      <c r="N806" s="103" t="s">
        <v>78</v>
      </c>
      <c r="O806" s="103" t="n">
        <v>44</v>
      </c>
      <c r="P806" s="103" t="n">
        <v>2</v>
      </c>
      <c r="Q806" s="103" t="n">
        <v>5</v>
      </c>
      <c r="R806" s="103" t="s">
        <v>140</v>
      </c>
      <c r="S806" s="103" t="n">
        <v>505</v>
      </c>
      <c r="T806" s="103" t="n">
        <v>430</v>
      </c>
      <c r="U806" s="103" t="s">
        <v>1451</v>
      </c>
      <c r="V806" s="103" t="n">
        <v>2025</v>
      </c>
    </row>
    <row r="807" customFormat="false" ht="14.25" hidden="false" customHeight="false" outlineLevel="0" collapsed="false">
      <c r="A807" s="103" t="s">
        <v>1527</v>
      </c>
      <c r="B807" s="103" t="s">
        <v>445</v>
      </c>
      <c r="C807" s="104" t="n">
        <v>45926</v>
      </c>
      <c r="D807" s="103" t="s">
        <v>100</v>
      </c>
      <c r="E807" s="103" t="n">
        <v>37</v>
      </c>
      <c r="F807" s="103" t="s">
        <v>170</v>
      </c>
      <c r="G807" s="103" t="s">
        <v>87</v>
      </c>
      <c r="H807" s="103" t="n">
        <v>4.5</v>
      </c>
      <c r="I807" s="103" t="n">
        <v>1381</v>
      </c>
      <c r="J807" s="103" t="n">
        <v>0</v>
      </c>
      <c r="K807" s="103" t="n">
        <v>100</v>
      </c>
      <c r="L807" s="103" t="s">
        <v>93</v>
      </c>
      <c r="M807" s="103" t="s">
        <v>65</v>
      </c>
      <c r="N807" s="103" t="s">
        <v>77</v>
      </c>
      <c r="O807" s="103" t="n">
        <v>36</v>
      </c>
      <c r="P807" s="103" t="n">
        <v>5.3</v>
      </c>
      <c r="Q807" s="103" t="n">
        <v>5</v>
      </c>
      <c r="R807" s="103" t="s">
        <v>141</v>
      </c>
      <c r="S807" s="103" t="n">
        <v>1381</v>
      </c>
      <c r="T807" s="103" t="n">
        <v>1281</v>
      </c>
      <c r="U807" s="103" t="s">
        <v>1451</v>
      </c>
      <c r="V807" s="103" t="n">
        <v>2025</v>
      </c>
    </row>
    <row r="808" customFormat="false" ht="14.25" hidden="false" customHeight="false" outlineLevel="0" collapsed="false">
      <c r="A808" s="103" t="s">
        <v>1528</v>
      </c>
      <c r="B808" s="103" t="s">
        <v>446</v>
      </c>
      <c r="C808" s="104" t="n">
        <v>45926</v>
      </c>
      <c r="D808" s="103" t="s">
        <v>103</v>
      </c>
      <c r="E808" s="103" t="n">
        <v>45</v>
      </c>
      <c r="F808" s="103" t="s">
        <v>170</v>
      </c>
      <c r="G808" s="103" t="s">
        <v>89</v>
      </c>
      <c r="H808" s="103" t="n">
        <v>5</v>
      </c>
      <c r="I808" s="103" t="n">
        <v>1374</v>
      </c>
      <c r="J808" s="103" t="n">
        <v>40</v>
      </c>
      <c r="K808" s="103" t="n">
        <v>20</v>
      </c>
      <c r="L808" s="103" t="s">
        <v>93</v>
      </c>
      <c r="M808" s="103" t="s">
        <v>67</v>
      </c>
      <c r="N808" s="103" t="s">
        <v>77</v>
      </c>
      <c r="O808" s="103" t="n">
        <v>69</v>
      </c>
      <c r="P808" s="103" t="n">
        <v>1.6</v>
      </c>
      <c r="Q808" s="103" t="n">
        <v>5</v>
      </c>
      <c r="R808" s="103" t="s">
        <v>141</v>
      </c>
      <c r="S808" s="103" t="n">
        <v>1414</v>
      </c>
      <c r="T808" s="103" t="n">
        <v>1394</v>
      </c>
      <c r="U808" s="103" t="s">
        <v>1451</v>
      </c>
      <c r="V808" s="103" t="n">
        <v>2025</v>
      </c>
    </row>
    <row r="809" customFormat="false" ht="14.25" hidden="false" customHeight="false" outlineLevel="0" collapsed="false">
      <c r="A809" s="103" t="s">
        <v>1529</v>
      </c>
      <c r="B809" s="103" t="s">
        <v>447</v>
      </c>
      <c r="C809" s="104" t="n">
        <v>45927</v>
      </c>
      <c r="D809" s="103" t="s">
        <v>109</v>
      </c>
      <c r="E809" s="103" t="n">
        <v>60</v>
      </c>
      <c r="F809" s="103" t="s">
        <v>171</v>
      </c>
      <c r="G809" s="103" t="s">
        <v>84</v>
      </c>
      <c r="H809" s="103" t="n">
        <v>4.8</v>
      </c>
      <c r="I809" s="103" t="n">
        <v>364</v>
      </c>
      <c r="J809" s="103" t="n">
        <v>50</v>
      </c>
      <c r="K809" s="103" t="n">
        <v>200</v>
      </c>
      <c r="L809" s="103" t="s">
        <v>94</v>
      </c>
      <c r="M809" s="103" t="s">
        <v>66</v>
      </c>
      <c r="N809" s="103" t="s">
        <v>78</v>
      </c>
      <c r="O809" s="103" t="n">
        <v>23</v>
      </c>
      <c r="P809" s="103" t="n">
        <v>1.6</v>
      </c>
      <c r="Q809" s="103" t="n">
        <v>3</v>
      </c>
      <c r="R809" s="103" t="s">
        <v>140</v>
      </c>
      <c r="S809" s="103" t="n">
        <v>414</v>
      </c>
      <c r="T809" s="103" t="n">
        <v>214</v>
      </c>
      <c r="U809" s="103" t="s">
        <v>1451</v>
      </c>
      <c r="V809" s="103" t="n">
        <v>2025</v>
      </c>
    </row>
    <row r="810" customFormat="false" ht="14.25" hidden="false" customHeight="false" outlineLevel="0" collapsed="false">
      <c r="A810" s="103" t="s">
        <v>1530</v>
      </c>
      <c r="B810" s="103" t="s">
        <v>448</v>
      </c>
      <c r="C810" s="104" t="n">
        <v>45927</v>
      </c>
      <c r="D810" s="103" t="s">
        <v>100</v>
      </c>
      <c r="E810" s="103" t="n">
        <v>54</v>
      </c>
      <c r="F810" s="103" t="s">
        <v>171</v>
      </c>
      <c r="G810" s="103" t="s">
        <v>81</v>
      </c>
      <c r="H810" s="103" t="n">
        <v>4.8</v>
      </c>
      <c r="I810" s="103" t="n">
        <v>1595</v>
      </c>
      <c r="J810" s="103" t="n">
        <v>30</v>
      </c>
      <c r="K810" s="103" t="n">
        <v>100</v>
      </c>
      <c r="L810" s="103" t="s">
        <v>95</v>
      </c>
      <c r="M810" s="103" t="s">
        <v>67</v>
      </c>
      <c r="N810" s="103" t="s">
        <v>77</v>
      </c>
      <c r="O810" s="103" t="n">
        <v>58</v>
      </c>
      <c r="P810" s="103" t="n">
        <v>3.3</v>
      </c>
      <c r="Q810" s="103" t="n">
        <v>5</v>
      </c>
      <c r="R810" s="103" t="s">
        <v>140</v>
      </c>
      <c r="S810" s="103" t="n">
        <v>1625</v>
      </c>
      <c r="T810" s="103" t="n">
        <v>1525</v>
      </c>
      <c r="U810" s="103" t="s">
        <v>1451</v>
      </c>
      <c r="V810" s="103" t="n">
        <v>2025</v>
      </c>
    </row>
    <row r="811" customFormat="false" ht="14.25" hidden="false" customHeight="false" outlineLevel="0" collapsed="false">
      <c r="A811" s="103" t="s">
        <v>1531</v>
      </c>
      <c r="B811" s="103" t="s">
        <v>449</v>
      </c>
      <c r="C811" s="104" t="n">
        <v>45927</v>
      </c>
      <c r="D811" s="103" t="s">
        <v>102</v>
      </c>
      <c r="E811" s="103" t="n">
        <v>54</v>
      </c>
      <c r="F811" s="103" t="s">
        <v>171</v>
      </c>
      <c r="G811" s="103" t="s">
        <v>87</v>
      </c>
      <c r="H811" s="103" t="n">
        <v>3.5</v>
      </c>
      <c r="I811" s="103" t="n">
        <v>572</v>
      </c>
      <c r="J811" s="103" t="n">
        <v>0</v>
      </c>
      <c r="K811" s="103" t="n">
        <v>75</v>
      </c>
      <c r="L811" s="103" t="s">
        <v>93</v>
      </c>
      <c r="M811" s="103" t="s">
        <v>67</v>
      </c>
      <c r="N811" s="103" t="s">
        <v>78</v>
      </c>
      <c r="O811" s="103" t="n">
        <v>62</v>
      </c>
      <c r="P811" s="103" t="n">
        <v>7.5</v>
      </c>
      <c r="Q811" s="103" t="n">
        <v>5</v>
      </c>
      <c r="R811" s="103" t="s">
        <v>141</v>
      </c>
      <c r="S811" s="103" t="n">
        <v>572</v>
      </c>
      <c r="T811" s="103" t="n">
        <v>497</v>
      </c>
      <c r="U811" s="103" t="s">
        <v>1451</v>
      </c>
      <c r="V811" s="103" t="n">
        <v>2025</v>
      </c>
    </row>
    <row r="812" customFormat="false" ht="14.25" hidden="false" customHeight="false" outlineLevel="0" collapsed="false">
      <c r="A812" s="103" t="s">
        <v>1532</v>
      </c>
      <c r="B812" s="103" t="s">
        <v>450</v>
      </c>
      <c r="C812" s="104" t="n">
        <v>45928</v>
      </c>
      <c r="D812" s="103" t="s">
        <v>106</v>
      </c>
      <c r="E812" s="103" t="n">
        <v>29</v>
      </c>
      <c r="F812" s="103" t="s">
        <v>170</v>
      </c>
      <c r="G812" s="103" t="s">
        <v>90</v>
      </c>
      <c r="H812" s="103" t="n">
        <v>3.7</v>
      </c>
      <c r="I812" s="103" t="n">
        <v>1770</v>
      </c>
      <c r="J812" s="103" t="n">
        <v>0</v>
      </c>
      <c r="K812" s="103" t="n">
        <v>75</v>
      </c>
      <c r="L812" s="103" t="s">
        <v>93</v>
      </c>
      <c r="M812" s="103" t="s">
        <v>65</v>
      </c>
      <c r="N812" s="103" t="s">
        <v>77</v>
      </c>
      <c r="O812" s="103" t="n">
        <v>18</v>
      </c>
      <c r="P812" s="103" t="n">
        <v>11.9</v>
      </c>
      <c r="Q812" s="103" t="n">
        <v>5</v>
      </c>
      <c r="R812" s="103" t="s">
        <v>134</v>
      </c>
      <c r="S812" s="103" t="n">
        <v>1770</v>
      </c>
      <c r="T812" s="103" t="n">
        <v>1695</v>
      </c>
      <c r="U812" s="103" t="s">
        <v>1451</v>
      </c>
      <c r="V812" s="103" t="n">
        <v>2025</v>
      </c>
    </row>
    <row r="813" customFormat="false" ht="14.25" hidden="false" customHeight="false" outlineLevel="0" collapsed="false">
      <c r="A813" s="103" t="s">
        <v>1533</v>
      </c>
      <c r="B813" s="103" t="s">
        <v>451</v>
      </c>
      <c r="C813" s="104" t="n">
        <v>45928</v>
      </c>
      <c r="D813" s="103" t="s">
        <v>100</v>
      </c>
      <c r="E813" s="103" t="n">
        <v>54</v>
      </c>
      <c r="F813" s="103" t="s">
        <v>171</v>
      </c>
      <c r="G813" s="103" t="s">
        <v>81</v>
      </c>
      <c r="H813" s="103" t="n">
        <v>4.3</v>
      </c>
      <c r="I813" s="103" t="n">
        <v>763</v>
      </c>
      <c r="J813" s="103" t="n">
        <v>20</v>
      </c>
      <c r="K813" s="103" t="n">
        <v>0</v>
      </c>
      <c r="L813" s="103" t="s">
        <v>93</v>
      </c>
      <c r="M813" s="103" t="s">
        <v>65</v>
      </c>
      <c r="N813" s="103" t="s">
        <v>78</v>
      </c>
      <c r="O813" s="103" t="n">
        <v>51</v>
      </c>
      <c r="P813" s="103" t="n">
        <v>7.5</v>
      </c>
      <c r="Q813" s="103" t="n">
        <v>5</v>
      </c>
      <c r="R813" s="103" t="s">
        <v>139</v>
      </c>
      <c r="S813" s="103" t="n">
        <v>783</v>
      </c>
      <c r="T813" s="103" t="n">
        <v>783</v>
      </c>
      <c r="U813" s="103" t="s">
        <v>1451</v>
      </c>
      <c r="V813" s="103" t="n">
        <v>2025</v>
      </c>
    </row>
    <row r="814" customFormat="false" ht="14.25" hidden="false" customHeight="false" outlineLevel="0" collapsed="false">
      <c r="A814" s="103" t="s">
        <v>1534</v>
      </c>
      <c r="B814" s="103" t="s">
        <v>452</v>
      </c>
      <c r="C814" s="104" t="n">
        <v>45928</v>
      </c>
      <c r="D814" s="103" t="s">
        <v>100</v>
      </c>
      <c r="E814" s="103" t="n">
        <v>45</v>
      </c>
      <c r="F814" s="103" t="s">
        <v>170</v>
      </c>
      <c r="G814" s="103" t="s">
        <v>83</v>
      </c>
      <c r="H814" s="103" t="n">
        <v>4.8</v>
      </c>
      <c r="I814" s="103" t="n">
        <v>419</v>
      </c>
      <c r="J814" s="103" t="n">
        <v>50</v>
      </c>
      <c r="K814" s="103" t="n">
        <v>50</v>
      </c>
      <c r="L814" s="103" t="s">
        <v>95</v>
      </c>
      <c r="M814" s="103" t="s">
        <v>65</v>
      </c>
      <c r="N814" s="103" t="s">
        <v>77</v>
      </c>
      <c r="O814" s="103" t="n">
        <v>22</v>
      </c>
      <c r="P814" s="103" t="n">
        <v>5.4</v>
      </c>
      <c r="Q814" s="103" t="n">
        <v>4</v>
      </c>
      <c r="R814" s="103" t="s">
        <v>135</v>
      </c>
      <c r="S814" s="103" t="n">
        <v>469</v>
      </c>
      <c r="T814" s="103" t="n">
        <v>419</v>
      </c>
      <c r="U814" s="103" t="s">
        <v>1451</v>
      </c>
      <c r="V814" s="103" t="n">
        <v>2025</v>
      </c>
    </row>
    <row r="815" customFormat="false" ht="14.25" hidden="false" customHeight="false" outlineLevel="0" collapsed="false">
      <c r="A815" s="103" t="s">
        <v>1535</v>
      </c>
      <c r="B815" s="103" t="s">
        <v>453</v>
      </c>
      <c r="C815" s="104" t="n">
        <v>45929</v>
      </c>
      <c r="D815" s="103" t="s">
        <v>105</v>
      </c>
      <c r="E815" s="103" t="n">
        <v>32</v>
      </c>
      <c r="F815" s="103" t="s">
        <v>170</v>
      </c>
      <c r="G815" s="103" t="s">
        <v>83</v>
      </c>
      <c r="H815" s="103" t="n">
        <v>2.9</v>
      </c>
      <c r="I815" s="103" t="n">
        <v>711</v>
      </c>
      <c r="J815" s="103" t="n">
        <v>60</v>
      </c>
      <c r="K815" s="103" t="n">
        <v>20</v>
      </c>
      <c r="L815" s="103" t="s">
        <v>93</v>
      </c>
      <c r="M815" s="103" t="s">
        <v>66</v>
      </c>
      <c r="N815" s="103" t="s">
        <v>77</v>
      </c>
      <c r="O815" s="103" t="n">
        <v>15</v>
      </c>
      <c r="P815" s="103" t="n">
        <v>1.7</v>
      </c>
      <c r="Q815" s="103" t="n">
        <v>5</v>
      </c>
      <c r="R815" s="103" t="s">
        <v>131</v>
      </c>
      <c r="S815" s="103" t="n">
        <v>771</v>
      </c>
      <c r="T815" s="103" t="n">
        <v>751</v>
      </c>
      <c r="U815" s="103" t="s">
        <v>1451</v>
      </c>
      <c r="V815" s="103" t="n">
        <v>2025</v>
      </c>
    </row>
    <row r="816" customFormat="false" ht="14.25" hidden="false" customHeight="false" outlineLevel="0" collapsed="false">
      <c r="A816" s="103" t="s">
        <v>1536</v>
      </c>
      <c r="B816" s="103" t="s">
        <v>454</v>
      </c>
      <c r="C816" s="104" t="n">
        <v>45929</v>
      </c>
      <c r="D816" s="103" t="s">
        <v>110</v>
      </c>
      <c r="E816" s="103" t="n">
        <v>23</v>
      </c>
      <c r="F816" s="103" t="s">
        <v>170</v>
      </c>
      <c r="G816" s="103" t="s">
        <v>86</v>
      </c>
      <c r="H816" s="103" t="n">
        <v>3.3</v>
      </c>
      <c r="I816" s="103" t="n">
        <v>860</v>
      </c>
      <c r="J816" s="103" t="n">
        <v>30</v>
      </c>
      <c r="K816" s="103" t="n">
        <v>100</v>
      </c>
      <c r="L816" s="103" t="s">
        <v>95</v>
      </c>
      <c r="M816" s="103" t="s">
        <v>65</v>
      </c>
      <c r="N816" s="103" t="s">
        <v>77</v>
      </c>
      <c r="O816" s="103" t="n">
        <v>42</v>
      </c>
      <c r="P816" s="103" t="n">
        <v>8.5</v>
      </c>
      <c r="Q816" s="103" t="n">
        <v>4</v>
      </c>
      <c r="R816" s="103" t="s">
        <v>132</v>
      </c>
      <c r="S816" s="103" t="n">
        <v>890</v>
      </c>
      <c r="T816" s="103" t="n">
        <v>790</v>
      </c>
      <c r="U816" s="103" t="s">
        <v>1451</v>
      </c>
      <c r="V816" s="103" t="n">
        <v>2025</v>
      </c>
    </row>
    <row r="817" customFormat="false" ht="14.25" hidden="false" customHeight="false" outlineLevel="0" collapsed="false">
      <c r="A817" s="103" t="s">
        <v>1537</v>
      </c>
      <c r="B817" s="103" t="s">
        <v>455</v>
      </c>
      <c r="C817" s="104" t="n">
        <v>45929</v>
      </c>
      <c r="D817" s="103" t="s">
        <v>101</v>
      </c>
      <c r="E817" s="103" t="n">
        <v>37</v>
      </c>
      <c r="F817" s="103" t="s">
        <v>170</v>
      </c>
      <c r="G817" s="103" t="s">
        <v>81</v>
      </c>
      <c r="H817" s="103" t="n">
        <v>2.8</v>
      </c>
      <c r="I817" s="103" t="n">
        <v>236</v>
      </c>
      <c r="J817" s="103" t="n">
        <v>40</v>
      </c>
      <c r="K817" s="103" t="n">
        <v>20</v>
      </c>
      <c r="L817" s="103" t="s">
        <v>93</v>
      </c>
      <c r="M817" s="103" t="s">
        <v>65</v>
      </c>
      <c r="N817" s="103" t="s">
        <v>77</v>
      </c>
      <c r="O817" s="103" t="n">
        <v>20</v>
      </c>
      <c r="P817" s="103" t="n">
        <v>4.4</v>
      </c>
      <c r="Q817" s="103" t="n">
        <v>4</v>
      </c>
      <c r="R817" s="103" t="s">
        <v>132</v>
      </c>
      <c r="S817" s="103" t="n">
        <v>276</v>
      </c>
      <c r="T817" s="103" t="n">
        <v>256</v>
      </c>
      <c r="U817" s="103" t="s">
        <v>1451</v>
      </c>
      <c r="V817" s="103" t="n">
        <v>2025</v>
      </c>
    </row>
    <row r="818" customFormat="false" ht="14.25" hidden="false" customHeight="false" outlineLevel="0" collapsed="false">
      <c r="A818" s="103" t="s">
        <v>1538</v>
      </c>
      <c r="B818" s="103" t="s">
        <v>456</v>
      </c>
      <c r="C818" s="104" t="n">
        <v>45930</v>
      </c>
      <c r="D818" s="103" t="s">
        <v>105</v>
      </c>
      <c r="E818" s="103" t="n">
        <v>31</v>
      </c>
      <c r="F818" s="103" t="s">
        <v>172</v>
      </c>
      <c r="G818" s="103" t="s">
        <v>90</v>
      </c>
      <c r="H818" s="103" t="n">
        <v>4</v>
      </c>
      <c r="I818" s="103" t="n">
        <v>1091</v>
      </c>
      <c r="J818" s="103" t="n">
        <v>20</v>
      </c>
      <c r="K818" s="103" t="n">
        <v>50</v>
      </c>
      <c r="L818" s="103" t="s">
        <v>95</v>
      </c>
      <c r="M818" s="103" t="s">
        <v>66</v>
      </c>
      <c r="N818" s="103" t="s">
        <v>77</v>
      </c>
      <c r="O818" s="103" t="n">
        <v>61</v>
      </c>
      <c r="P818" s="103" t="n">
        <v>9.4</v>
      </c>
      <c r="Q818" s="103" t="n">
        <v>2</v>
      </c>
      <c r="R818" s="103" t="s">
        <v>136</v>
      </c>
      <c r="S818" s="103" t="n">
        <v>1111</v>
      </c>
      <c r="T818" s="103" t="n">
        <v>1061</v>
      </c>
      <c r="U818" s="103" t="s">
        <v>1451</v>
      </c>
      <c r="V818" s="103" t="n">
        <v>2025</v>
      </c>
    </row>
    <row r="819" customFormat="false" ht="14.25" hidden="false" customHeight="false" outlineLevel="0" collapsed="false">
      <c r="A819" s="103" t="s">
        <v>1539</v>
      </c>
      <c r="B819" s="103" t="s">
        <v>457</v>
      </c>
      <c r="C819" s="104" t="n">
        <v>45930</v>
      </c>
      <c r="D819" s="103" t="s">
        <v>108</v>
      </c>
      <c r="E819" s="103" t="n">
        <v>19</v>
      </c>
      <c r="F819" s="103" t="s">
        <v>171</v>
      </c>
      <c r="G819" s="103" t="s">
        <v>86</v>
      </c>
      <c r="H819" s="103" t="n">
        <v>3.3</v>
      </c>
      <c r="I819" s="103" t="n">
        <v>1124</v>
      </c>
      <c r="J819" s="103" t="n">
        <v>30</v>
      </c>
      <c r="K819" s="103" t="n">
        <v>100</v>
      </c>
      <c r="L819" s="103" t="s">
        <v>97</v>
      </c>
      <c r="M819" s="103" t="s">
        <v>65</v>
      </c>
      <c r="N819" s="103" t="s">
        <v>77</v>
      </c>
      <c r="O819" s="103" t="n">
        <v>50</v>
      </c>
      <c r="P819" s="103" t="n">
        <v>14.7</v>
      </c>
      <c r="Q819" s="103" t="n">
        <v>5</v>
      </c>
      <c r="R819" s="103" t="s">
        <v>131</v>
      </c>
      <c r="S819" s="103" t="n">
        <v>1154</v>
      </c>
      <c r="T819" s="103" t="n">
        <v>1054</v>
      </c>
      <c r="U819" s="103" t="s">
        <v>1451</v>
      </c>
      <c r="V819" s="103" t="n">
        <v>2025</v>
      </c>
    </row>
    <row r="820" customFormat="false" ht="14.25" hidden="false" customHeight="false" outlineLevel="0" collapsed="false">
      <c r="A820" s="103" t="s">
        <v>1540</v>
      </c>
      <c r="B820" s="103" t="s">
        <v>458</v>
      </c>
      <c r="C820" s="104" t="n">
        <v>45930</v>
      </c>
      <c r="D820" s="103" t="s">
        <v>104</v>
      </c>
      <c r="E820" s="103" t="n">
        <v>26</v>
      </c>
      <c r="F820" s="103" t="s">
        <v>170</v>
      </c>
      <c r="G820" s="103" t="s">
        <v>89</v>
      </c>
      <c r="H820" s="103" t="n">
        <v>3.3</v>
      </c>
      <c r="I820" s="103" t="n">
        <v>1361</v>
      </c>
      <c r="J820" s="103" t="n">
        <v>50</v>
      </c>
      <c r="K820" s="103" t="n">
        <v>20</v>
      </c>
      <c r="L820" s="103" t="s">
        <v>93</v>
      </c>
      <c r="M820" s="103" t="s">
        <v>67</v>
      </c>
      <c r="N820" s="103" t="s">
        <v>77</v>
      </c>
      <c r="O820" s="103" t="n">
        <v>67</v>
      </c>
      <c r="P820" s="103" t="n">
        <v>2.1</v>
      </c>
      <c r="Q820" s="103" t="n">
        <v>4</v>
      </c>
      <c r="R820" s="103" t="s">
        <v>137</v>
      </c>
      <c r="S820" s="103" t="n">
        <v>1411</v>
      </c>
      <c r="T820" s="103" t="n">
        <v>1391</v>
      </c>
      <c r="U820" s="103" t="s">
        <v>1451</v>
      </c>
      <c r="V820" s="103" t="n">
        <v>2025</v>
      </c>
    </row>
    <row r="821" customFormat="false" ht="14.25" hidden="false" customHeight="false" outlineLevel="0" collapsed="false">
      <c r="A821" s="103" t="s">
        <v>1541</v>
      </c>
      <c r="B821" s="103" t="s">
        <v>459</v>
      </c>
      <c r="C821" s="104" t="n">
        <v>45931</v>
      </c>
      <c r="D821" s="103" t="s">
        <v>104</v>
      </c>
      <c r="E821" s="103" t="n">
        <v>54</v>
      </c>
      <c r="F821" s="103" t="s">
        <v>170</v>
      </c>
      <c r="G821" s="103" t="s">
        <v>81</v>
      </c>
      <c r="H821" s="103" t="n">
        <v>2.7</v>
      </c>
      <c r="I821" s="103" t="n">
        <v>169</v>
      </c>
      <c r="J821" s="103" t="n">
        <v>30</v>
      </c>
      <c r="K821" s="103" t="n">
        <v>10</v>
      </c>
      <c r="L821" s="103" t="s">
        <v>93</v>
      </c>
      <c r="M821" s="103" t="s">
        <v>66</v>
      </c>
      <c r="N821" s="103" t="s">
        <v>77</v>
      </c>
      <c r="O821" s="103" t="n">
        <v>25</v>
      </c>
      <c r="P821" s="103" t="n">
        <v>3.6</v>
      </c>
      <c r="Q821" s="103" t="n">
        <v>4</v>
      </c>
      <c r="R821" s="103" t="s">
        <v>141</v>
      </c>
      <c r="S821" s="103" t="n">
        <v>199</v>
      </c>
      <c r="T821" s="103" t="n">
        <v>189</v>
      </c>
      <c r="U821" s="103" t="s">
        <v>1542</v>
      </c>
      <c r="V821" s="103" t="n">
        <v>2025</v>
      </c>
    </row>
    <row r="822" customFormat="false" ht="14.25" hidden="false" customHeight="false" outlineLevel="0" collapsed="false">
      <c r="A822" s="103" t="s">
        <v>1543</v>
      </c>
      <c r="B822" s="103" t="s">
        <v>460</v>
      </c>
      <c r="C822" s="104" t="n">
        <v>45931</v>
      </c>
      <c r="D822" s="103" t="s">
        <v>110</v>
      </c>
      <c r="E822" s="103" t="n">
        <v>37</v>
      </c>
      <c r="F822" s="103" t="s">
        <v>170</v>
      </c>
      <c r="G822" s="103" t="s">
        <v>84</v>
      </c>
      <c r="H822" s="103" t="n">
        <v>3.4</v>
      </c>
      <c r="I822" s="103" t="n">
        <v>1029</v>
      </c>
      <c r="J822" s="103" t="n">
        <v>0</v>
      </c>
      <c r="K822" s="103" t="n">
        <v>75</v>
      </c>
      <c r="L822" s="103" t="s">
        <v>96</v>
      </c>
      <c r="M822" s="103" t="s">
        <v>67</v>
      </c>
      <c r="N822" s="103" t="s">
        <v>78</v>
      </c>
      <c r="O822" s="103" t="n">
        <v>19</v>
      </c>
      <c r="P822" s="103" t="n">
        <v>7.4</v>
      </c>
      <c r="Q822" s="103" t="n">
        <v>4</v>
      </c>
      <c r="R822" s="103" t="s">
        <v>142</v>
      </c>
      <c r="S822" s="103" t="n">
        <v>1029</v>
      </c>
      <c r="T822" s="103" t="n">
        <v>954</v>
      </c>
      <c r="U822" s="103" t="s">
        <v>1542</v>
      </c>
      <c r="V822" s="103" t="n">
        <v>2025</v>
      </c>
    </row>
    <row r="823" customFormat="false" ht="14.25" hidden="false" customHeight="false" outlineLevel="0" collapsed="false">
      <c r="A823" s="103" t="s">
        <v>1544</v>
      </c>
      <c r="B823" s="103" t="s">
        <v>461</v>
      </c>
      <c r="C823" s="104" t="n">
        <v>45931</v>
      </c>
      <c r="D823" s="103" t="s">
        <v>107</v>
      </c>
      <c r="E823" s="103" t="n">
        <v>43</v>
      </c>
      <c r="F823" s="103" t="s">
        <v>170</v>
      </c>
      <c r="G823" s="103" t="s">
        <v>83</v>
      </c>
      <c r="H823" s="103" t="n">
        <v>4.7</v>
      </c>
      <c r="I823" s="103" t="n">
        <v>209</v>
      </c>
      <c r="J823" s="103" t="n">
        <v>0</v>
      </c>
      <c r="K823" s="103" t="n">
        <v>150</v>
      </c>
      <c r="L823" s="103" t="s">
        <v>93</v>
      </c>
      <c r="M823" s="103" t="s">
        <v>67</v>
      </c>
      <c r="N823" s="103" t="s">
        <v>77</v>
      </c>
      <c r="O823" s="103" t="n">
        <v>64</v>
      </c>
      <c r="P823" s="103" t="n">
        <v>14.5</v>
      </c>
      <c r="Q823" s="103" t="n">
        <v>5</v>
      </c>
      <c r="R823" s="103" t="s">
        <v>142</v>
      </c>
      <c r="S823" s="103" t="n">
        <v>209</v>
      </c>
      <c r="T823" s="103" t="n">
        <v>59</v>
      </c>
      <c r="U823" s="103" t="s">
        <v>1542</v>
      </c>
      <c r="V823" s="103" t="n">
        <v>2025</v>
      </c>
    </row>
    <row r="824" customFormat="false" ht="14.25" hidden="false" customHeight="false" outlineLevel="0" collapsed="false">
      <c r="A824" s="103" t="s">
        <v>1545</v>
      </c>
      <c r="B824" s="103" t="s">
        <v>462</v>
      </c>
      <c r="C824" s="104" t="n">
        <v>45932</v>
      </c>
      <c r="D824" s="103" t="s">
        <v>107</v>
      </c>
      <c r="E824" s="103" t="n">
        <v>46</v>
      </c>
      <c r="F824" s="103" t="s">
        <v>171</v>
      </c>
      <c r="G824" s="103" t="s">
        <v>83</v>
      </c>
      <c r="H824" s="103" t="n">
        <v>3.1</v>
      </c>
      <c r="I824" s="103" t="n">
        <v>1298</v>
      </c>
      <c r="J824" s="103" t="n">
        <v>20</v>
      </c>
      <c r="K824" s="103" t="n">
        <v>30</v>
      </c>
      <c r="L824" s="103" t="s">
        <v>93</v>
      </c>
      <c r="M824" s="103" t="s">
        <v>67</v>
      </c>
      <c r="N824" s="103" t="s">
        <v>78</v>
      </c>
      <c r="O824" s="103" t="n">
        <v>38</v>
      </c>
      <c r="P824" s="103" t="n">
        <v>11.7</v>
      </c>
      <c r="Q824" s="103" t="n">
        <v>4</v>
      </c>
      <c r="R824" s="103" t="s">
        <v>137</v>
      </c>
      <c r="S824" s="103" t="n">
        <v>1318</v>
      </c>
      <c r="T824" s="103" t="n">
        <v>1288</v>
      </c>
      <c r="U824" s="103" t="s">
        <v>1542</v>
      </c>
      <c r="V824" s="103" t="n">
        <v>2025</v>
      </c>
    </row>
    <row r="825" customFormat="false" ht="14.25" hidden="false" customHeight="false" outlineLevel="0" collapsed="false">
      <c r="A825" s="103" t="s">
        <v>1546</v>
      </c>
      <c r="B825" s="103" t="s">
        <v>463</v>
      </c>
      <c r="C825" s="104" t="n">
        <v>45932</v>
      </c>
      <c r="D825" s="103" t="s">
        <v>102</v>
      </c>
      <c r="E825" s="103" t="n">
        <v>18</v>
      </c>
      <c r="F825" s="103" t="s">
        <v>171</v>
      </c>
      <c r="G825" s="103" t="s">
        <v>85</v>
      </c>
      <c r="H825" s="103" t="n">
        <v>4.2</v>
      </c>
      <c r="I825" s="103" t="n">
        <v>214</v>
      </c>
      <c r="J825" s="103" t="n">
        <v>50</v>
      </c>
      <c r="K825" s="103" t="n">
        <v>200</v>
      </c>
      <c r="L825" s="103" t="s">
        <v>96</v>
      </c>
      <c r="M825" s="103" t="s">
        <v>65</v>
      </c>
      <c r="N825" s="103" t="s">
        <v>77</v>
      </c>
      <c r="O825" s="103" t="n">
        <v>61</v>
      </c>
      <c r="P825" s="103" t="n">
        <v>13.5</v>
      </c>
      <c r="Q825" s="103" t="n">
        <v>5</v>
      </c>
      <c r="R825" s="103" t="s">
        <v>135</v>
      </c>
      <c r="S825" s="103" t="n">
        <v>264</v>
      </c>
      <c r="T825" s="103" t="n">
        <v>64</v>
      </c>
      <c r="U825" s="103" t="s">
        <v>1542</v>
      </c>
      <c r="V825" s="103" t="n">
        <v>2025</v>
      </c>
    </row>
    <row r="826" customFormat="false" ht="14.25" hidden="false" customHeight="false" outlineLevel="0" collapsed="false">
      <c r="A826" s="103" t="s">
        <v>1547</v>
      </c>
      <c r="B826" s="103" t="s">
        <v>464</v>
      </c>
      <c r="C826" s="104" t="n">
        <v>45932</v>
      </c>
      <c r="D826" s="103" t="s">
        <v>111</v>
      </c>
      <c r="E826" s="103" t="n">
        <v>52</v>
      </c>
      <c r="F826" s="103" t="s">
        <v>170</v>
      </c>
      <c r="G826" s="103" t="s">
        <v>86</v>
      </c>
      <c r="H826" s="103" t="n">
        <v>4.1</v>
      </c>
      <c r="I826" s="103" t="n">
        <v>1652</v>
      </c>
      <c r="J826" s="103" t="n">
        <v>50</v>
      </c>
      <c r="K826" s="103" t="n">
        <v>150</v>
      </c>
      <c r="L826" s="103" t="s">
        <v>97</v>
      </c>
      <c r="M826" s="103" t="s">
        <v>65</v>
      </c>
      <c r="N826" s="103" t="s">
        <v>78</v>
      </c>
      <c r="O826" s="103" t="n">
        <v>32</v>
      </c>
      <c r="P826" s="103" t="n">
        <v>5.3</v>
      </c>
      <c r="Q826" s="103" t="n">
        <v>5</v>
      </c>
      <c r="R826" s="103" t="s">
        <v>138</v>
      </c>
      <c r="S826" s="103" t="n">
        <v>1702</v>
      </c>
      <c r="T826" s="103" t="n">
        <v>1552</v>
      </c>
      <c r="U826" s="103" t="s">
        <v>1542</v>
      </c>
      <c r="V826" s="103" t="n">
        <v>2025</v>
      </c>
    </row>
    <row r="827" customFormat="false" ht="14.25" hidden="false" customHeight="false" outlineLevel="0" collapsed="false">
      <c r="A827" s="103" t="s">
        <v>1548</v>
      </c>
      <c r="B827" s="103" t="s">
        <v>465</v>
      </c>
      <c r="C827" s="104" t="n">
        <v>45933</v>
      </c>
      <c r="D827" s="103" t="s">
        <v>110</v>
      </c>
      <c r="E827" s="103" t="n">
        <v>23</v>
      </c>
      <c r="F827" s="103" t="s">
        <v>171</v>
      </c>
      <c r="G827" s="103" t="s">
        <v>82</v>
      </c>
      <c r="H827" s="103" t="n">
        <v>4.7</v>
      </c>
      <c r="I827" s="103" t="n">
        <v>1299</v>
      </c>
      <c r="J827" s="103" t="n">
        <v>30</v>
      </c>
      <c r="K827" s="103" t="n">
        <v>100</v>
      </c>
      <c r="L827" s="103" t="s">
        <v>94</v>
      </c>
      <c r="M827" s="103" t="s">
        <v>65</v>
      </c>
      <c r="N827" s="103" t="s">
        <v>78</v>
      </c>
      <c r="O827" s="103" t="n">
        <v>34</v>
      </c>
      <c r="P827" s="103" t="n">
        <v>14.9</v>
      </c>
      <c r="Q827" s="103" t="n">
        <v>4</v>
      </c>
      <c r="R827" s="103" t="s">
        <v>131</v>
      </c>
      <c r="S827" s="103" t="n">
        <v>1329</v>
      </c>
      <c r="T827" s="103" t="n">
        <v>1229</v>
      </c>
      <c r="U827" s="103" t="s">
        <v>1542</v>
      </c>
      <c r="V827" s="103" t="n">
        <v>2025</v>
      </c>
    </row>
    <row r="828" customFormat="false" ht="14.25" hidden="false" customHeight="false" outlineLevel="0" collapsed="false">
      <c r="A828" s="103" t="s">
        <v>1549</v>
      </c>
      <c r="B828" s="103" t="s">
        <v>466</v>
      </c>
      <c r="C828" s="104" t="n">
        <v>45933</v>
      </c>
      <c r="D828" s="103" t="s">
        <v>101</v>
      </c>
      <c r="E828" s="103" t="n">
        <v>54</v>
      </c>
      <c r="F828" s="103" t="s">
        <v>170</v>
      </c>
      <c r="G828" s="103" t="s">
        <v>82</v>
      </c>
      <c r="H828" s="103" t="n">
        <v>2.8</v>
      </c>
      <c r="I828" s="103" t="n">
        <v>972</v>
      </c>
      <c r="J828" s="103" t="n">
        <v>20</v>
      </c>
      <c r="K828" s="103" t="n">
        <v>100</v>
      </c>
      <c r="L828" s="103" t="s">
        <v>93</v>
      </c>
      <c r="M828" s="103" t="s">
        <v>65</v>
      </c>
      <c r="N828" s="103" t="s">
        <v>77</v>
      </c>
      <c r="O828" s="103" t="n">
        <v>42</v>
      </c>
      <c r="P828" s="103" t="n">
        <v>2</v>
      </c>
      <c r="Q828" s="103" t="n">
        <v>4</v>
      </c>
      <c r="R828" s="103" t="s">
        <v>133</v>
      </c>
      <c r="S828" s="103" t="n">
        <v>992</v>
      </c>
      <c r="T828" s="103" t="n">
        <v>892</v>
      </c>
      <c r="U828" s="103" t="s">
        <v>1542</v>
      </c>
      <c r="V828" s="103" t="n">
        <v>2025</v>
      </c>
    </row>
    <row r="829" customFormat="false" ht="14.25" hidden="false" customHeight="false" outlineLevel="0" collapsed="false">
      <c r="A829" s="103" t="s">
        <v>1550</v>
      </c>
      <c r="B829" s="103" t="s">
        <v>467</v>
      </c>
      <c r="C829" s="104" t="n">
        <v>45933</v>
      </c>
      <c r="D829" s="103" t="s">
        <v>100</v>
      </c>
      <c r="E829" s="103" t="n">
        <v>22</v>
      </c>
      <c r="F829" s="103" t="s">
        <v>170</v>
      </c>
      <c r="G829" s="103" t="s">
        <v>86</v>
      </c>
      <c r="H829" s="103" t="n">
        <v>4.9</v>
      </c>
      <c r="I829" s="103" t="n">
        <v>862</v>
      </c>
      <c r="J829" s="103" t="n">
        <v>50</v>
      </c>
      <c r="K829" s="103" t="n">
        <v>20</v>
      </c>
      <c r="L829" s="103" t="s">
        <v>93</v>
      </c>
      <c r="M829" s="103" t="s">
        <v>65</v>
      </c>
      <c r="N829" s="103" t="s">
        <v>78</v>
      </c>
      <c r="O829" s="103" t="n">
        <v>27</v>
      </c>
      <c r="P829" s="103" t="n">
        <v>1.3</v>
      </c>
      <c r="Q829" s="103" t="n">
        <v>5</v>
      </c>
      <c r="R829" s="103" t="s">
        <v>135</v>
      </c>
      <c r="S829" s="103" t="n">
        <v>912</v>
      </c>
      <c r="T829" s="103" t="n">
        <v>892</v>
      </c>
      <c r="U829" s="103" t="s">
        <v>1542</v>
      </c>
      <c r="V829" s="103" t="n">
        <v>2025</v>
      </c>
    </row>
    <row r="830" customFormat="false" ht="14.25" hidden="false" customHeight="false" outlineLevel="0" collapsed="false">
      <c r="A830" s="103" t="s">
        <v>1551</v>
      </c>
      <c r="B830" s="103" t="s">
        <v>468</v>
      </c>
      <c r="C830" s="104" t="n">
        <v>45934</v>
      </c>
      <c r="D830" s="103" t="s">
        <v>107</v>
      </c>
      <c r="E830" s="103" t="n">
        <v>50</v>
      </c>
      <c r="F830" s="103" t="s">
        <v>171</v>
      </c>
      <c r="G830" s="103" t="s">
        <v>84</v>
      </c>
      <c r="H830" s="103" t="n">
        <v>4</v>
      </c>
      <c r="I830" s="103" t="n">
        <v>340</v>
      </c>
      <c r="J830" s="103" t="n">
        <v>60</v>
      </c>
      <c r="K830" s="103" t="n">
        <v>75</v>
      </c>
      <c r="L830" s="103" t="s">
        <v>93</v>
      </c>
      <c r="M830" s="103" t="s">
        <v>65</v>
      </c>
      <c r="N830" s="103" t="s">
        <v>77</v>
      </c>
      <c r="O830" s="103" t="n">
        <v>19</v>
      </c>
      <c r="P830" s="103" t="n">
        <v>12.9</v>
      </c>
      <c r="Q830" s="103" t="n">
        <v>5</v>
      </c>
      <c r="R830" s="103" t="s">
        <v>136</v>
      </c>
      <c r="S830" s="103" t="n">
        <v>400</v>
      </c>
      <c r="T830" s="103" t="n">
        <v>325</v>
      </c>
      <c r="U830" s="103" t="s">
        <v>1542</v>
      </c>
      <c r="V830" s="103" t="n">
        <v>2025</v>
      </c>
    </row>
    <row r="831" customFormat="false" ht="14.25" hidden="false" customHeight="false" outlineLevel="0" collapsed="false">
      <c r="A831" s="103" t="s">
        <v>1552</v>
      </c>
      <c r="B831" s="103" t="s">
        <v>469</v>
      </c>
      <c r="C831" s="104" t="n">
        <v>45934</v>
      </c>
      <c r="D831" s="103" t="s">
        <v>101</v>
      </c>
      <c r="E831" s="103" t="n">
        <v>31</v>
      </c>
      <c r="F831" s="103" t="s">
        <v>170</v>
      </c>
      <c r="G831" s="103" t="s">
        <v>88</v>
      </c>
      <c r="H831" s="103" t="n">
        <v>5</v>
      </c>
      <c r="I831" s="103" t="n">
        <v>609</v>
      </c>
      <c r="J831" s="103" t="n">
        <v>60</v>
      </c>
      <c r="K831" s="103" t="n">
        <v>50</v>
      </c>
      <c r="L831" s="103" t="s">
        <v>95</v>
      </c>
      <c r="M831" s="103" t="s">
        <v>66</v>
      </c>
      <c r="N831" s="103" t="s">
        <v>77</v>
      </c>
      <c r="O831" s="103" t="n">
        <v>44</v>
      </c>
      <c r="P831" s="103" t="n">
        <v>13.9</v>
      </c>
      <c r="Q831" s="103" t="n">
        <v>5</v>
      </c>
      <c r="R831" s="103" t="s">
        <v>140</v>
      </c>
      <c r="S831" s="103" t="n">
        <v>669</v>
      </c>
      <c r="T831" s="103" t="n">
        <v>619</v>
      </c>
      <c r="U831" s="103" t="s">
        <v>1542</v>
      </c>
      <c r="V831" s="103" t="n">
        <v>2025</v>
      </c>
    </row>
    <row r="832" customFormat="false" ht="14.25" hidden="false" customHeight="false" outlineLevel="0" collapsed="false">
      <c r="A832" s="103" t="s">
        <v>1553</v>
      </c>
      <c r="B832" s="103" t="s">
        <v>470</v>
      </c>
      <c r="C832" s="104" t="n">
        <v>45934</v>
      </c>
      <c r="D832" s="103" t="s">
        <v>103</v>
      </c>
      <c r="E832" s="103" t="n">
        <v>29</v>
      </c>
      <c r="F832" s="103" t="s">
        <v>171</v>
      </c>
      <c r="G832" s="103" t="s">
        <v>86</v>
      </c>
      <c r="H832" s="103" t="n">
        <v>4.8</v>
      </c>
      <c r="I832" s="103" t="n">
        <v>1580</v>
      </c>
      <c r="J832" s="103" t="n">
        <v>0</v>
      </c>
      <c r="K832" s="103" t="n">
        <v>0</v>
      </c>
      <c r="L832" s="103" t="s">
        <v>95</v>
      </c>
      <c r="M832" s="103" t="s">
        <v>66</v>
      </c>
      <c r="N832" s="103" t="s">
        <v>77</v>
      </c>
      <c r="O832" s="103" t="n">
        <v>15</v>
      </c>
      <c r="P832" s="103" t="n">
        <v>1.8</v>
      </c>
      <c r="Q832" s="103" t="n">
        <v>3</v>
      </c>
      <c r="R832" s="103" t="s">
        <v>138</v>
      </c>
      <c r="S832" s="103" t="n">
        <v>1580</v>
      </c>
      <c r="T832" s="103" t="n">
        <v>1580</v>
      </c>
      <c r="U832" s="103" t="s">
        <v>1542</v>
      </c>
      <c r="V832" s="103" t="n">
        <v>2025</v>
      </c>
    </row>
    <row r="833" customFormat="false" ht="14.25" hidden="false" customHeight="false" outlineLevel="0" collapsed="false">
      <c r="A833" s="103" t="s">
        <v>1554</v>
      </c>
      <c r="B833" s="103" t="s">
        <v>471</v>
      </c>
      <c r="C833" s="104" t="n">
        <v>45935</v>
      </c>
      <c r="D833" s="103" t="s">
        <v>111</v>
      </c>
      <c r="E833" s="103" t="n">
        <v>59</v>
      </c>
      <c r="F833" s="103" t="s">
        <v>170</v>
      </c>
      <c r="G833" s="103" t="s">
        <v>84</v>
      </c>
      <c r="H833" s="103" t="n">
        <v>3.1</v>
      </c>
      <c r="I833" s="103" t="n">
        <v>1639</v>
      </c>
      <c r="J833" s="103" t="n">
        <v>30</v>
      </c>
      <c r="K833" s="103" t="n">
        <v>20</v>
      </c>
      <c r="L833" s="103" t="s">
        <v>96</v>
      </c>
      <c r="M833" s="103" t="s">
        <v>65</v>
      </c>
      <c r="N833" s="103" t="s">
        <v>77</v>
      </c>
      <c r="O833" s="103" t="n">
        <v>36</v>
      </c>
      <c r="P833" s="103" t="n">
        <v>2.1</v>
      </c>
      <c r="Q833" s="103" t="n">
        <v>5</v>
      </c>
      <c r="R833" s="103" t="s">
        <v>139</v>
      </c>
      <c r="S833" s="103" t="n">
        <v>1669</v>
      </c>
      <c r="T833" s="103" t="n">
        <v>1649</v>
      </c>
      <c r="U833" s="103" t="s">
        <v>1542</v>
      </c>
      <c r="V833" s="103" t="n">
        <v>2025</v>
      </c>
    </row>
    <row r="834" customFormat="false" ht="14.25" hidden="false" customHeight="false" outlineLevel="0" collapsed="false">
      <c r="A834" s="103" t="s">
        <v>1555</v>
      </c>
      <c r="B834" s="103" t="s">
        <v>472</v>
      </c>
      <c r="C834" s="104" t="n">
        <v>45935</v>
      </c>
      <c r="D834" s="103" t="s">
        <v>109</v>
      </c>
      <c r="E834" s="103" t="n">
        <v>37</v>
      </c>
      <c r="F834" s="103" t="s">
        <v>170</v>
      </c>
      <c r="G834" s="103" t="s">
        <v>89</v>
      </c>
      <c r="H834" s="103" t="n">
        <v>2.6</v>
      </c>
      <c r="I834" s="103" t="n">
        <v>121</v>
      </c>
      <c r="J834" s="103" t="n">
        <v>40</v>
      </c>
      <c r="K834" s="103" t="n">
        <v>0</v>
      </c>
      <c r="L834" s="103" t="s">
        <v>93</v>
      </c>
      <c r="M834" s="103" t="s">
        <v>65</v>
      </c>
      <c r="N834" s="103" t="s">
        <v>77</v>
      </c>
      <c r="O834" s="103" t="n">
        <v>32</v>
      </c>
      <c r="P834" s="103" t="n">
        <v>1</v>
      </c>
      <c r="Q834" s="103" t="n">
        <v>4</v>
      </c>
      <c r="R834" s="103" t="s">
        <v>133</v>
      </c>
      <c r="S834" s="103" t="n">
        <v>161</v>
      </c>
      <c r="T834" s="103" t="n">
        <v>161</v>
      </c>
      <c r="U834" s="103" t="s">
        <v>1542</v>
      </c>
      <c r="V834" s="103" t="n">
        <v>2025</v>
      </c>
    </row>
    <row r="835" customFormat="false" ht="14.25" hidden="false" customHeight="false" outlineLevel="0" collapsed="false">
      <c r="A835" s="103" t="s">
        <v>1556</v>
      </c>
      <c r="B835" s="103" t="s">
        <v>473</v>
      </c>
      <c r="C835" s="104" t="n">
        <v>45935</v>
      </c>
      <c r="D835" s="103" t="s">
        <v>100</v>
      </c>
      <c r="E835" s="103" t="n">
        <v>41</v>
      </c>
      <c r="F835" s="103" t="s">
        <v>170</v>
      </c>
      <c r="G835" s="103" t="s">
        <v>83</v>
      </c>
      <c r="H835" s="103" t="n">
        <v>3.1</v>
      </c>
      <c r="I835" s="103" t="n">
        <v>1118</v>
      </c>
      <c r="J835" s="103" t="n">
        <v>0</v>
      </c>
      <c r="K835" s="103" t="n">
        <v>30</v>
      </c>
      <c r="L835" s="103" t="s">
        <v>94</v>
      </c>
      <c r="M835" s="103" t="s">
        <v>67</v>
      </c>
      <c r="N835" s="103" t="s">
        <v>77</v>
      </c>
      <c r="O835" s="103" t="n">
        <v>60</v>
      </c>
      <c r="P835" s="103" t="n">
        <v>2</v>
      </c>
      <c r="Q835" s="103" t="n">
        <v>5</v>
      </c>
      <c r="R835" s="103" t="s">
        <v>131</v>
      </c>
      <c r="S835" s="103" t="n">
        <v>1118</v>
      </c>
      <c r="T835" s="103" t="n">
        <v>1088</v>
      </c>
      <c r="U835" s="103" t="s">
        <v>1542</v>
      </c>
      <c r="V835" s="103" t="n">
        <v>2025</v>
      </c>
    </row>
    <row r="836" customFormat="false" ht="14.25" hidden="false" customHeight="false" outlineLevel="0" collapsed="false">
      <c r="A836" s="103" t="s">
        <v>1557</v>
      </c>
      <c r="B836" s="103" t="s">
        <v>474</v>
      </c>
      <c r="C836" s="104" t="n">
        <v>45936</v>
      </c>
      <c r="D836" s="103" t="s">
        <v>108</v>
      </c>
      <c r="E836" s="103" t="n">
        <v>60</v>
      </c>
      <c r="F836" s="103" t="s">
        <v>171</v>
      </c>
      <c r="G836" s="103" t="s">
        <v>90</v>
      </c>
      <c r="H836" s="103" t="n">
        <v>3.8</v>
      </c>
      <c r="I836" s="103" t="n">
        <v>1328</v>
      </c>
      <c r="J836" s="103" t="n">
        <v>20</v>
      </c>
      <c r="K836" s="103" t="n">
        <v>20</v>
      </c>
      <c r="L836" s="103" t="s">
        <v>93</v>
      </c>
      <c r="M836" s="103" t="s">
        <v>65</v>
      </c>
      <c r="N836" s="103" t="s">
        <v>77</v>
      </c>
      <c r="O836" s="103" t="n">
        <v>19</v>
      </c>
      <c r="P836" s="103" t="n">
        <v>3.5</v>
      </c>
      <c r="Q836" s="103" t="n">
        <v>5</v>
      </c>
      <c r="R836" s="103" t="s">
        <v>131</v>
      </c>
      <c r="S836" s="103" t="n">
        <v>1348</v>
      </c>
      <c r="T836" s="103" t="n">
        <v>1328</v>
      </c>
      <c r="U836" s="103" t="s">
        <v>1542</v>
      </c>
      <c r="V836" s="103" t="n">
        <v>2025</v>
      </c>
    </row>
    <row r="837" customFormat="false" ht="14.25" hidden="false" customHeight="false" outlineLevel="0" collapsed="false">
      <c r="A837" s="103" t="s">
        <v>1558</v>
      </c>
      <c r="B837" s="103" t="s">
        <v>475</v>
      </c>
      <c r="C837" s="104" t="n">
        <v>45936</v>
      </c>
      <c r="D837" s="103" t="s">
        <v>103</v>
      </c>
      <c r="E837" s="103" t="n">
        <v>51</v>
      </c>
      <c r="F837" s="103" t="s">
        <v>171</v>
      </c>
      <c r="G837" s="103" t="s">
        <v>88</v>
      </c>
      <c r="H837" s="103" t="n">
        <v>2.9</v>
      </c>
      <c r="I837" s="103" t="n">
        <v>1159</v>
      </c>
      <c r="J837" s="103" t="n">
        <v>50</v>
      </c>
      <c r="K837" s="103" t="n">
        <v>30</v>
      </c>
      <c r="L837" s="103" t="s">
        <v>93</v>
      </c>
      <c r="M837" s="103" t="s">
        <v>65</v>
      </c>
      <c r="N837" s="103" t="s">
        <v>77</v>
      </c>
      <c r="O837" s="103" t="n">
        <v>45</v>
      </c>
      <c r="P837" s="103" t="n">
        <v>14.6</v>
      </c>
      <c r="Q837" s="103" t="n">
        <v>3</v>
      </c>
      <c r="R837" s="103" t="s">
        <v>142</v>
      </c>
      <c r="S837" s="103" t="n">
        <v>1209</v>
      </c>
      <c r="T837" s="103" t="n">
        <v>1179</v>
      </c>
      <c r="U837" s="103" t="s">
        <v>1542</v>
      </c>
      <c r="V837" s="103" t="n">
        <v>2025</v>
      </c>
    </row>
    <row r="838" customFormat="false" ht="14.25" hidden="false" customHeight="false" outlineLevel="0" collapsed="false">
      <c r="A838" s="103" t="s">
        <v>1559</v>
      </c>
      <c r="B838" s="103" t="s">
        <v>476</v>
      </c>
      <c r="C838" s="104" t="n">
        <v>45936</v>
      </c>
      <c r="D838" s="103" t="s">
        <v>103</v>
      </c>
      <c r="E838" s="103" t="n">
        <v>42</v>
      </c>
      <c r="F838" s="103" t="s">
        <v>170</v>
      </c>
      <c r="G838" s="103" t="s">
        <v>81</v>
      </c>
      <c r="H838" s="103" t="n">
        <v>2.9</v>
      </c>
      <c r="I838" s="103" t="n">
        <v>257</v>
      </c>
      <c r="J838" s="103" t="n">
        <v>0</v>
      </c>
      <c r="K838" s="103" t="n">
        <v>200</v>
      </c>
      <c r="L838" s="103" t="s">
        <v>95</v>
      </c>
      <c r="M838" s="103" t="s">
        <v>65</v>
      </c>
      <c r="N838" s="103" t="s">
        <v>77</v>
      </c>
      <c r="O838" s="103" t="n">
        <v>20</v>
      </c>
      <c r="P838" s="103" t="n">
        <v>10.2</v>
      </c>
      <c r="Q838" s="103" t="n">
        <v>5</v>
      </c>
      <c r="R838" s="103" t="s">
        <v>137</v>
      </c>
      <c r="S838" s="103" t="n">
        <v>257</v>
      </c>
      <c r="T838" s="103" t="n">
        <v>57</v>
      </c>
      <c r="U838" s="103" t="s">
        <v>1542</v>
      </c>
      <c r="V838" s="103" t="n">
        <v>2025</v>
      </c>
    </row>
    <row r="839" customFormat="false" ht="14.25" hidden="false" customHeight="false" outlineLevel="0" collapsed="false">
      <c r="A839" s="103" t="s">
        <v>1560</v>
      </c>
      <c r="B839" s="103" t="s">
        <v>477</v>
      </c>
      <c r="C839" s="104" t="n">
        <v>45937</v>
      </c>
      <c r="D839" s="103" t="s">
        <v>110</v>
      </c>
      <c r="E839" s="103" t="n">
        <v>46</v>
      </c>
      <c r="F839" s="103" t="s">
        <v>170</v>
      </c>
      <c r="G839" s="103" t="s">
        <v>88</v>
      </c>
      <c r="H839" s="103" t="n">
        <v>3.7</v>
      </c>
      <c r="I839" s="103" t="n">
        <v>486</v>
      </c>
      <c r="J839" s="103" t="n">
        <v>40</v>
      </c>
      <c r="K839" s="103" t="n">
        <v>20</v>
      </c>
      <c r="L839" s="103" t="s">
        <v>93</v>
      </c>
      <c r="M839" s="103" t="s">
        <v>65</v>
      </c>
      <c r="N839" s="103" t="s">
        <v>77</v>
      </c>
      <c r="O839" s="103" t="n">
        <v>41</v>
      </c>
      <c r="P839" s="103" t="n">
        <v>11.8</v>
      </c>
      <c r="Q839" s="103" t="n">
        <v>5</v>
      </c>
      <c r="R839" s="103" t="s">
        <v>134</v>
      </c>
      <c r="S839" s="103" t="n">
        <v>526</v>
      </c>
      <c r="T839" s="103" t="n">
        <v>506</v>
      </c>
      <c r="U839" s="103" t="s">
        <v>1542</v>
      </c>
      <c r="V839" s="103" t="n">
        <v>2025</v>
      </c>
    </row>
    <row r="840" customFormat="false" ht="14.25" hidden="false" customHeight="false" outlineLevel="0" collapsed="false">
      <c r="A840" s="103" t="s">
        <v>1561</v>
      </c>
      <c r="B840" s="103" t="s">
        <v>478</v>
      </c>
      <c r="C840" s="104" t="n">
        <v>45937</v>
      </c>
      <c r="D840" s="103" t="s">
        <v>111</v>
      </c>
      <c r="E840" s="103" t="n">
        <v>56</v>
      </c>
      <c r="F840" s="103" t="s">
        <v>170</v>
      </c>
      <c r="G840" s="103" t="s">
        <v>90</v>
      </c>
      <c r="H840" s="103" t="n">
        <v>2.6</v>
      </c>
      <c r="I840" s="103" t="n">
        <v>541</v>
      </c>
      <c r="J840" s="103" t="n">
        <v>40</v>
      </c>
      <c r="K840" s="103" t="n">
        <v>75</v>
      </c>
      <c r="L840" s="103" t="s">
        <v>95</v>
      </c>
      <c r="M840" s="103" t="s">
        <v>65</v>
      </c>
      <c r="N840" s="103" t="s">
        <v>77</v>
      </c>
      <c r="O840" s="103" t="n">
        <v>70</v>
      </c>
      <c r="P840" s="103" t="n">
        <v>11.8</v>
      </c>
      <c r="Q840" s="103" t="n">
        <v>5</v>
      </c>
      <c r="R840" s="103" t="s">
        <v>137</v>
      </c>
      <c r="S840" s="103" t="n">
        <v>581</v>
      </c>
      <c r="T840" s="103" t="n">
        <v>506</v>
      </c>
      <c r="U840" s="103" t="s">
        <v>1542</v>
      </c>
      <c r="V840" s="103" t="n">
        <v>2025</v>
      </c>
    </row>
    <row r="841" customFormat="false" ht="14.25" hidden="false" customHeight="false" outlineLevel="0" collapsed="false">
      <c r="A841" s="103" t="s">
        <v>1562</v>
      </c>
      <c r="B841" s="103" t="s">
        <v>479</v>
      </c>
      <c r="C841" s="104" t="n">
        <v>45937</v>
      </c>
      <c r="D841" s="103" t="s">
        <v>102</v>
      </c>
      <c r="E841" s="103" t="n">
        <v>48</v>
      </c>
      <c r="F841" s="103" t="s">
        <v>171</v>
      </c>
      <c r="G841" s="103" t="s">
        <v>85</v>
      </c>
      <c r="H841" s="103" t="n">
        <v>2.8</v>
      </c>
      <c r="I841" s="103" t="n">
        <v>1517</v>
      </c>
      <c r="J841" s="103" t="n">
        <v>60</v>
      </c>
      <c r="K841" s="103" t="n">
        <v>75</v>
      </c>
      <c r="L841" s="103" t="s">
        <v>95</v>
      </c>
      <c r="M841" s="103" t="s">
        <v>65</v>
      </c>
      <c r="N841" s="103" t="s">
        <v>77</v>
      </c>
      <c r="O841" s="103" t="n">
        <v>39</v>
      </c>
      <c r="P841" s="103" t="n">
        <v>8.3</v>
      </c>
      <c r="Q841" s="103" t="n">
        <v>3</v>
      </c>
      <c r="R841" s="103" t="s">
        <v>135</v>
      </c>
      <c r="S841" s="103" t="n">
        <v>1577</v>
      </c>
      <c r="T841" s="103" t="n">
        <v>1502</v>
      </c>
      <c r="U841" s="103" t="s">
        <v>1542</v>
      </c>
      <c r="V841" s="103" t="n">
        <v>2025</v>
      </c>
    </row>
    <row r="842" customFormat="false" ht="14.25" hidden="false" customHeight="false" outlineLevel="0" collapsed="false">
      <c r="A842" s="103" t="s">
        <v>1563</v>
      </c>
      <c r="B842" s="103" t="s">
        <v>480</v>
      </c>
      <c r="C842" s="104" t="n">
        <v>45938</v>
      </c>
      <c r="D842" s="103" t="s">
        <v>108</v>
      </c>
      <c r="E842" s="103" t="n">
        <v>60</v>
      </c>
      <c r="F842" s="103" t="s">
        <v>171</v>
      </c>
      <c r="G842" s="103" t="s">
        <v>83</v>
      </c>
      <c r="H842" s="103" t="n">
        <v>3.5</v>
      </c>
      <c r="I842" s="103" t="n">
        <v>898</v>
      </c>
      <c r="J842" s="103" t="n">
        <v>20</v>
      </c>
      <c r="K842" s="103" t="n">
        <v>100</v>
      </c>
      <c r="L842" s="103" t="s">
        <v>97</v>
      </c>
      <c r="M842" s="103" t="s">
        <v>66</v>
      </c>
      <c r="N842" s="103" t="s">
        <v>77</v>
      </c>
      <c r="O842" s="103" t="n">
        <v>43</v>
      </c>
      <c r="P842" s="103" t="n">
        <v>12.1</v>
      </c>
      <c r="Q842" s="103" t="n">
        <v>4</v>
      </c>
      <c r="R842" s="103" t="s">
        <v>132</v>
      </c>
      <c r="S842" s="103" t="n">
        <v>918</v>
      </c>
      <c r="T842" s="103" t="n">
        <v>818</v>
      </c>
      <c r="U842" s="103" t="s">
        <v>1542</v>
      </c>
      <c r="V842" s="103" t="n">
        <v>2025</v>
      </c>
    </row>
    <row r="843" customFormat="false" ht="14.25" hidden="false" customHeight="false" outlineLevel="0" collapsed="false">
      <c r="A843" s="103" t="s">
        <v>1564</v>
      </c>
      <c r="B843" s="103" t="s">
        <v>481</v>
      </c>
      <c r="C843" s="104" t="n">
        <v>45938</v>
      </c>
      <c r="D843" s="103" t="s">
        <v>107</v>
      </c>
      <c r="E843" s="103" t="n">
        <v>40</v>
      </c>
      <c r="F843" s="103" t="s">
        <v>171</v>
      </c>
      <c r="G843" s="103" t="s">
        <v>82</v>
      </c>
      <c r="H843" s="103" t="n">
        <v>2.7</v>
      </c>
      <c r="I843" s="103" t="n">
        <v>938</v>
      </c>
      <c r="J843" s="103" t="n">
        <v>0</v>
      </c>
      <c r="K843" s="103" t="n">
        <v>200</v>
      </c>
      <c r="L843" s="103" t="s">
        <v>95</v>
      </c>
      <c r="M843" s="103" t="s">
        <v>65</v>
      </c>
      <c r="N843" s="103" t="s">
        <v>77</v>
      </c>
      <c r="O843" s="103" t="n">
        <v>42</v>
      </c>
      <c r="P843" s="103" t="n">
        <v>9.1</v>
      </c>
      <c r="Q843" s="103" t="n">
        <v>5</v>
      </c>
      <c r="R843" s="103" t="s">
        <v>137</v>
      </c>
      <c r="S843" s="103" t="n">
        <v>938</v>
      </c>
      <c r="T843" s="103" t="n">
        <v>738</v>
      </c>
      <c r="U843" s="103" t="s">
        <v>1542</v>
      </c>
      <c r="V843" s="103" t="n">
        <v>2025</v>
      </c>
    </row>
    <row r="844" customFormat="false" ht="14.25" hidden="false" customHeight="false" outlineLevel="0" collapsed="false">
      <c r="A844" s="103" t="s">
        <v>1565</v>
      </c>
      <c r="B844" s="103" t="s">
        <v>482</v>
      </c>
      <c r="C844" s="104" t="n">
        <v>45938</v>
      </c>
      <c r="D844" s="103" t="s">
        <v>101</v>
      </c>
      <c r="E844" s="103" t="n">
        <v>55</v>
      </c>
      <c r="F844" s="103" t="s">
        <v>170</v>
      </c>
      <c r="G844" s="103" t="s">
        <v>84</v>
      </c>
      <c r="H844" s="103" t="n">
        <v>3.5</v>
      </c>
      <c r="I844" s="103" t="n">
        <v>1691</v>
      </c>
      <c r="J844" s="103" t="n">
        <v>30</v>
      </c>
      <c r="K844" s="103" t="n">
        <v>100</v>
      </c>
      <c r="L844" s="103" t="s">
        <v>96</v>
      </c>
      <c r="M844" s="103" t="s">
        <v>65</v>
      </c>
      <c r="N844" s="103" t="s">
        <v>77</v>
      </c>
      <c r="O844" s="103" t="n">
        <v>30</v>
      </c>
      <c r="P844" s="103" t="n">
        <v>5.1</v>
      </c>
      <c r="Q844" s="103" t="n">
        <v>1</v>
      </c>
      <c r="R844" s="103" t="s">
        <v>134</v>
      </c>
      <c r="S844" s="103" t="n">
        <v>1721</v>
      </c>
      <c r="T844" s="103" t="n">
        <v>1621</v>
      </c>
      <c r="U844" s="103" t="s">
        <v>1542</v>
      </c>
      <c r="V844" s="103" t="n">
        <v>2025</v>
      </c>
    </row>
    <row r="845" customFormat="false" ht="14.25" hidden="false" customHeight="false" outlineLevel="0" collapsed="false">
      <c r="A845" s="103" t="s">
        <v>1566</v>
      </c>
      <c r="B845" s="103" t="s">
        <v>483</v>
      </c>
      <c r="C845" s="104" t="n">
        <v>45939</v>
      </c>
      <c r="D845" s="103" t="s">
        <v>110</v>
      </c>
      <c r="E845" s="103" t="n">
        <v>37</v>
      </c>
      <c r="F845" s="103" t="s">
        <v>171</v>
      </c>
      <c r="G845" s="103" t="s">
        <v>86</v>
      </c>
      <c r="H845" s="103" t="n">
        <v>3.7</v>
      </c>
      <c r="I845" s="103" t="n">
        <v>1190</v>
      </c>
      <c r="J845" s="103" t="n">
        <v>0</v>
      </c>
      <c r="K845" s="103" t="n">
        <v>0</v>
      </c>
      <c r="L845" s="103" t="s">
        <v>94</v>
      </c>
      <c r="M845" s="103" t="s">
        <v>66</v>
      </c>
      <c r="N845" s="103" t="s">
        <v>78</v>
      </c>
      <c r="O845" s="103" t="n">
        <v>68</v>
      </c>
      <c r="P845" s="103" t="n">
        <v>8.6</v>
      </c>
      <c r="Q845" s="103" t="n">
        <v>3</v>
      </c>
      <c r="R845" s="103" t="s">
        <v>139</v>
      </c>
      <c r="S845" s="103" t="n">
        <v>1190</v>
      </c>
      <c r="T845" s="103" t="n">
        <v>1190</v>
      </c>
      <c r="U845" s="103" t="s">
        <v>1542</v>
      </c>
      <c r="V845" s="103" t="n">
        <v>2025</v>
      </c>
    </row>
    <row r="846" customFormat="false" ht="14.25" hidden="false" customHeight="false" outlineLevel="0" collapsed="false">
      <c r="A846" s="103" t="s">
        <v>1567</v>
      </c>
      <c r="B846" s="103" t="s">
        <v>484</v>
      </c>
      <c r="C846" s="104" t="n">
        <v>45939</v>
      </c>
      <c r="D846" s="103" t="s">
        <v>107</v>
      </c>
      <c r="E846" s="103" t="n">
        <v>40</v>
      </c>
      <c r="F846" s="103" t="s">
        <v>171</v>
      </c>
      <c r="G846" s="103" t="s">
        <v>86</v>
      </c>
      <c r="H846" s="103" t="n">
        <v>3.6</v>
      </c>
      <c r="I846" s="103" t="n">
        <v>1630</v>
      </c>
      <c r="J846" s="103" t="n">
        <v>60</v>
      </c>
      <c r="K846" s="103" t="n">
        <v>150</v>
      </c>
      <c r="L846" s="103" t="s">
        <v>93</v>
      </c>
      <c r="M846" s="103" t="s">
        <v>66</v>
      </c>
      <c r="N846" s="103" t="s">
        <v>77</v>
      </c>
      <c r="O846" s="103" t="n">
        <v>67</v>
      </c>
      <c r="P846" s="103" t="n">
        <v>8.2</v>
      </c>
      <c r="Q846" s="103" t="n">
        <v>5</v>
      </c>
      <c r="R846" s="103" t="s">
        <v>138</v>
      </c>
      <c r="S846" s="103" t="n">
        <v>1690</v>
      </c>
      <c r="T846" s="103" t="n">
        <v>1540</v>
      </c>
      <c r="U846" s="103" t="s">
        <v>1542</v>
      </c>
      <c r="V846" s="103" t="n">
        <v>2025</v>
      </c>
    </row>
    <row r="847" customFormat="false" ht="14.25" hidden="false" customHeight="false" outlineLevel="0" collapsed="false">
      <c r="A847" s="103" t="s">
        <v>1568</v>
      </c>
      <c r="B847" s="103" t="s">
        <v>485</v>
      </c>
      <c r="C847" s="104" t="n">
        <v>45939</v>
      </c>
      <c r="D847" s="103" t="s">
        <v>110</v>
      </c>
      <c r="E847" s="103" t="n">
        <v>33</v>
      </c>
      <c r="F847" s="103" t="s">
        <v>170</v>
      </c>
      <c r="G847" s="103" t="s">
        <v>82</v>
      </c>
      <c r="H847" s="103" t="n">
        <v>4.7</v>
      </c>
      <c r="I847" s="103" t="n">
        <v>887</v>
      </c>
      <c r="J847" s="103" t="n">
        <v>40</v>
      </c>
      <c r="K847" s="103" t="n">
        <v>50</v>
      </c>
      <c r="L847" s="103" t="s">
        <v>94</v>
      </c>
      <c r="M847" s="103" t="s">
        <v>67</v>
      </c>
      <c r="N847" s="103" t="s">
        <v>77</v>
      </c>
      <c r="O847" s="103" t="n">
        <v>26</v>
      </c>
      <c r="P847" s="103" t="n">
        <v>12.4</v>
      </c>
      <c r="Q847" s="103" t="n">
        <v>4</v>
      </c>
      <c r="R847" s="103" t="s">
        <v>141</v>
      </c>
      <c r="S847" s="103" t="n">
        <v>927</v>
      </c>
      <c r="T847" s="103" t="n">
        <v>877</v>
      </c>
      <c r="U847" s="103" t="s">
        <v>1542</v>
      </c>
      <c r="V847" s="103" t="n">
        <v>2025</v>
      </c>
    </row>
    <row r="848" customFormat="false" ht="14.25" hidden="false" customHeight="false" outlineLevel="0" collapsed="false">
      <c r="A848" s="103" t="s">
        <v>1569</v>
      </c>
      <c r="B848" s="103" t="s">
        <v>486</v>
      </c>
      <c r="C848" s="104" t="n">
        <v>45940</v>
      </c>
      <c r="D848" s="103" t="s">
        <v>110</v>
      </c>
      <c r="E848" s="103" t="n">
        <v>59</v>
      </c>
      <c r="F848" s="103" t="s">
        <v>171</v>
      </c>
      <c r="G848" s="103" t="s">
        <v>88</v>
      </c>
      <c r="H848" s="103" t="n">
        <v>3.8</v>
      </c>
      <c r="I848" s="103" t="n">
        <v>371</v>
      </c>
      <c r="J848" s="103" t="n">
        <v>20</v>
      </c>
      <c r="K848" s="103" t="n">
        <v>200</v>
      </c>
      <c r="L848" s="103" t="s">
        <v>94</v>
      </c>
      <c r="M848" s="103" t="s">
        <v>65</v>
      </c>
      <c r="N848" s="103" t="s">
        <v>77</v>
      </c>
      <c r="O848" s="103" t="n">
        <v>34</v>
      </c>
      <c r="P848" s="103" t="n">
        <v>14.7</v>
      </c>
      <c r="Q848" s="103" t="n">
        <v>5</v>
      </c>
      <c r="R848" s="103" t="s">
        <v>131</v>
      </c>
      <c r="S848" s="103" t="n">
        <v>391</v>
      </c>
      <c r="T848" s="103" t="n">
        <v>191</v>
      </c>
      <c r="U848" s="103" t="s">
        <v>1542</v>
      </c>
      <c r="V848" s="103" t="n">
        <v>2025</v>
      </c>
    </row>
    <row r="849" customFormat="false" ht="14.25" hidden="false" customHeight="false" outlineLevel="0" collapsed="false">
      <c r="A849" s="103" t="s">
        <v>1570</v>
      </c>
      <c r="B849" s="103" t="s">
        <v>487</v>
      </c>
      <c r="C849" s="104" t="n">
        <v>45940</v>
      </c>
      <c r="D849" s="103" t="s">
        <v>110</v>
      </c>
      <c r="E849" s="103" t="n">
        <v>25</v>
      </c>
      <c r="F849" s="103" t="s">
        <v>172</v>
      </c>
      <c r="G849" s="103" t="s">
        <v>83</v>
      </c>
      <c r="H849" s="103" t="n">
        <v>3.7</v>
      </c>
      <c r="I849" s="103" t="n">
        <v>1682</v>
      </c>
      <c r="J849" s="103" t="n">
        <v>20</v>
      </c>
      <c r="K849" s="103" t="n">
        <v>50</v>
      </c>
      <c r="L849" s="103" t="s">
        <v>95</v>
      </c>
      <c r="M849" s="103" t="s">
        <v>67</v>
      </c>
      <c r="N849" s="103" t="s">
        <v>77</v>
      </c>
      <c r="O849" s="103" t="n">
        <v>32</v>
      </c>
      <c r="P849" s="103" t="n">
        <v>6.5</v>
      </c>
      <c r="Q849" s="103" t="n">
        <v>3</v>
      </c>
      <c r="R849" s="103" t="s">
        <v>135</v>
      </c>
      <c r="S849" s="103" t="n">
        <v>1702</v>
      </c>
      <c r="T849" s="103" t="n">
        <v>1652</v>
      </c>
      <c r="U849" s="103" t="s">
        <v>1542</v>
      </c>
      <c r="V849" s="103" t="n">
        <v>2025</v>
      </c>
    </row>
    <row r="850" customFormat="false" ht="14.25" hidden="false" customHeight="false" outlineLevel="0" collapsed="false">
      <c r="A850" s="103" t="s">
        <v>1571</v>
      </c>
      <c r="B850" s="103" t="s">
        <v>488</v>
      </c>
      <c r="C850" s="104" t="n">
        <v>45940</v>
      </c>
      <c r="D850" s="103" t="s">
        <v>111</v>
      </c>
      <c r="E850" s="103" t="n">
        <v>38</v>
      </c>
      <c r="F850" s="103" t="s">
        <v>170</v>
      </c>
      <c r="G850" s="103" t="s">
        <v>87</v>
      </c>
      <c r="H850" s="103" t="n">
        <v>3.5</v>
      </c>
      <c r="I850" s="103" t="n">
        <v>891</v>
      </c>
      <c r="J850" s="103" t="n">
        <v>30</v>
      </c>
      <c r="K850" s="103" t="n">
        <v>50</v>
      </c>
      <c r="L850" s="103" t="s">
        <v>94</v>
      </c>
      <c r="M850" s="103" t="s">
        <v>65</v>
      </c>
      <c r="N850" s="103" t="s">
        <v>77</v>
      </c>
      <c r="O850" s="103" t="n">
        <v>48</v>
      </c>
      <c r="P850" s="103" t="n">
        <v>11.6</v>
      </c>
      <c r="Q850" s="103" t="n">
        <v>4</v>
      </c>
      <c r="R850" s="103" t="s">
        <v>135</v>
      </c>
      <c r="S850" s="103" t="n">
        <v>921</v>
      </c>
      <c r="T850" s="103" t="n">
        <v>871</v>
      </c>
      <c r="U850" s="103" t="s">
        <v>1542</v>
      </c>
      <c r="V850" s="103" t="n">
        <v>2025</v>
      </c>
    </row>
    <row r="851" customFormat="false" ht="14.25" hidden="false" customHeight="false" outlineLevel="0" collapsed="false">
      <c r="A851" s="103" t="s">
        <v>1572</v>
      </c>
      <c r="B851" s="103" t="s">
        <v>489</v>
      </c>
      <c r="C851" s="104" t="n">
        <v>45941</v>
      </c>
      <c r="D851" s="103" t="s">
        <v>102</v>
      </c>
      <c r="E851" s="103" t="n">
        <v>18</v>
      </c>
      <c r="F851" s="103" t="s">
        <v>170</v>
      </c>
      <c r="G851" s="103" t="s">
        <v>84</v>
      </c>
      <c r="H851" s="103" t="n">
        <v>4.5</v>
      </c>
      <c r="I851" s="103" t="n">
        <v>425</v>
      </c>
      <c r="J851" s="103" t="n">
        <v>20</v>
      </c>
      <c r="K851" s="103" t="n">
        <v>10</v>
      </c>
      <c r="L851" s="103" t="s">
        <v>93</v>
      </c>
      <c r="M851" s="103" t="s">
        <v>65</v>
      </c>
      <c r="N851" s="103" t="s">
        <v>77</v>
      </c>
      <c r="O851" s="103" t="n">
        <v>69</v>
      </c>
      <c r="P851" s="103" t="n">
        <v>1.9</v>
      </c>
      <c r="Q851" s="103" t="n">
        <v>5</v>
      </c>
      <c r="R851" s="103" t="s">
        <v>140</v>
      </c>
      <c r="S851" s="103" t="n">
        <v>445</v>
      </c>
      <c r="T851" s="103" t="n">
        <v>435</v>
      </c>
      <c r="U851" s="103" t="s">
        <v>1542</v>
      </c>
      <c r="V851" s="103" t="n">
        <v>2025</v>
      </c>
    </row>
    <row r="852" customFormat="false" ht="14.25" hidden="false" customHeight="false" outlineLevel="0" collapsed="false">
      <c r="A852" s="103" t="s">
        <v>1573</v>
      </c>
      <c r="B852" s="103" t="s">
        <v>490</v>
      </c>
      <c r="C852" s="104" t="n">
        <v>45941</v>
      </c>
      <c r="D852" s="103" t="s">
        <v>110</v>
      </c>
      <c r="E852" s="103" t="n">
        <v>25</v>
      </c>
      <c r="F852" s="103" t="s">
        <v>171</v>
      </c>
      <c r="G852" s="103" t="s">
        <v>89</v>
      </c>
      <c r="H852" s="103" t="n">
        <v>4.7</v>
      </c>
      <c r="I852" s="103" t="n">
        <v>628</v>
      </c>
      <c r="J852" s="103" t="n">
        <v>60</v>
      </c>
      <c r="K852" s="103" t="n">
        <v>20</v>
      </c>
      <c r="L852" s="103" t="s">
        <v>93</v>
      </c>
      <c r="M852" s="103" t="s">
        <v>67</v>
      </c>
      <c r="N852" s="103" t="s">
        <v>78</v>
      </c>
      <c r="O852" s="103" t="n">
        <v>67</v>
      </c>
      <c r="P852" s="103" t="n">
        <v>11.8</v>
      </c>
      <c r="Q852" s="103" t="n">
        <v>5</v>
      </c>
      <c r="R852" s="103" t="s">
        <v>137</v>
      </c>
      <c r="S852" s="103" t="n">
        <v>688</v>
      </c>
      <c r="T852" s="103" t="n">
        <v>668</v>
      </c>
      <c r="U852" s="103" t="s">
        <v>1542</v>
      </c>
      <c r="V852" s="103" t="n">
        <v>2025</v>
      </c>
    </row>
    <row r="853" customFormat="false" ht="14.25" hidden="false" customHeight="false" outlineLevel="0" collapsed="false">
      <c r="A853" s="103" t="s">
        <v>1574</v>
      </c>
      <c r="B853" s="103" t="s">
        <v>491</v>
      </c>
      <c r="C853" s="104" t="n">
        <v>45941</v>
      </c>
      <c r="D853" s="103" t="s">
        <v>106</v>
      </c>
      <c r="E853" s="103" t="n">
        <v>46</v>
      </c>
      <c r="F853" s="103" t="s">
        <v>171</v>
      </c>
      <c r="G853" s="103" t="s">
        <v>90</v>
      </c>
      <c r="H853" s="103" t="n">
        <v>4.6</v>
      </c>
      <c r="I853" s="103" t="n">
        <v>205</v>
      </c>
      <c r="J853" s="103" t="n">
        <v>60</v>
      </c>
      <c r="K853" s="103" t="n">
        <v>200</v>
      </c>
      <c r="L853" s="103" t="s">
        <v>93</v>
      </c>
      <c r="M853" s="103" t="s">
        <v>65</v>
      </c>
      <c r="N853" s="103" t="s">
        <v>78</v>
      </c>
      <c r="O853" s="103" t="n">
        <v>37</v>
      </c>
      <c r="P853" s="103" t="n">
        <v>5.9</v>
      </c>
      <c r="Q853" s="103" t="n">
        <v>5</v>
      </c>
      <c r="R853" s="103" t="s">
        <v>133</v>
      </c>
      <c r="S853" s="103" t="n">
        <v>265</v>
      </c>
      <c r="T853" s="103" t="n">
        <v>65</v>
      </c>
      <c r="U853" s="103" t="s">
        <v>1542</v>
      </c>
      <c r="V853" s="103" t="n">
        <v>2025</v>
      </c>
    </row>
    <row r="854" customFormat="false" ht="14.25" hidden="false" customHeight="false" outlineLevel="0" collapsed="false">
      <c r="A854" s="103" t="s">
        <v>1575</v>
      </c>
      <c r="B854" s="103" t="s">
        <v>492</v>
      </c>
      <c r="C854" s="104" t="n">
        <v>45942</v>
      </c>
      <c r="D854" s="103" t="s">
        <v>109</v>
      </c>
      <c r="E854" s="103" t="n">
        <v>49</v>
      </c>
      <c r="F854" s="103" t="s">
        <v>170</v>
      </c>
      <c r="G854" s="103" t="s">
        <v>88</v>
      </c>
      <c r="H854" s="103" t="n">
        <v>4.2</v>
      </c>
      <c r="I854" s="103" t="n">
        <v>907</v>
      </c>
      <c r="J854" s="103" t="n">
        <v>60</v>
      </c>
      <c r="K854" s="103" t="n">
        <v>100</v>
      </c>
      <c r="L854" s="103" t="s">
        <v>95</v>
      </c>
      <c r="M854" s="103" t="s">
        <v>66</v>
      </c>
      <c r="N854" s="103" t="s">
        <v>77</v>
      </c>
      <c r="O854" s="103" t="n">
        <v>59</v>
      </c>
      <c r="P854" s="103" t="n">
        <v>1.1</v>
      </c>
      <c r="Q854" s="103" t="n">
        <v>4</v>
      </c>
      <c r="R854" s="103" t="s">
        <v>139</v>
      </c>
      <c r="S854" s="103" t="n">
        <v>967</v>
      </c>
      <c r="T854" s="103" t="n">
        <v>867</v>
      </c>
      <c r="U854" s="103" t="s">
        <v>1542</v>
      </c>
      <c r="V854" s="103" t="n">
        <v>2025</v>
      </c>
    </row>
    <row r="855" customFormat="false" ht="14.25" hidden="false" customHeight="false" outlineLevel="0" collapsed="false">
      <c r="A855" s="103" t="s">
        <v>1576</v>
      </c>
      <c r="B855" s="103" t="s">
        <v>493</v>
      </c>
      <c r="C855" s="104" t="n">
        <v>45942</v>
      </c>
      <c r="D855" s="103" t="s">
        <v>107</v>
      </c>
      <c r="E855" s="103" t="n">
        <v>55</v>
      </c>
      <c r="F855" s="103" t="s">
        <v>170</v>
      </c>
      <c r="G855" s="103" t="s">
        <v>81</v>
      </c>
      <c r="H855" s="103" t="n">
        <v>2.8</v>
      </c>
      <c r="I855" s="103" t="n">
        <v>1553</v>
      </c>
      <c r="J855" s="103" t="n">
        <v>20</v>
      </c>
      <c r="K855" s="103" t="n">
        <v>0</v>
      </c>
      <c r="L855" s="103" t="s">
        <v>95</v>
      </c>
      <c r="M855" s="103" t="s">
        <v>65</v>
      </c>
      <c r="N855" s="103" t="s">
        <v>77</v>
      </c>
      <c r="O855" s="103" t="n">
        <v>41</v>
      </c>
      <c r="P855" s="103" t="n">
        <v>5.8</v>
      </c>
      <c r="Q855" s="103" t="n">
        <v>5</v>
      </c>
      <c r="R855" s="103" t="s">
        <v>136</v>
      </c>
      <c r="S855" s="103" t="n">
        <v>1573</v>
      </c>
      <c r="T855" s="103" t="n">
        <v>1573</v>
      </c>
      <c r="U855" s="103" t="s">
        <v>1542</v>
      </c>
      <c r="V855" s="103" t="n">
        <v>2025</v>
      </c>
    </row>
    <row r="856" customFormat="false" ht="14.25" hidden="false" customHeight="false" outlineLevel="0" collapsed="false">
      <c r="A856" s="103" t="s">
        <v>1577</v>
      </c>
      <c r="B856" s="103" t="s">
        <v>494</v>
      </c>
      <c r="C856" s="104" t="n">
        <v>45942</v>
      </c>
      <c r="D856" s="103" t="s">
        <v>100</v>
      </c>
      <c r="E856" s="103" t="n">
        <v>22</v>
      </c>
      <c r="F856" s="103" t="s">
        <v>170</v>
      </c>
      <c r="G856" s="103" t="s">
        <v>85</v>
      </c>
      <c r="H856" s="103" t="n">
        <v>3.2</v>
      </c>
      <c r="I856" s="103" t="n">
        <v>1688</v>
      </c>
      <c r="J856" s="103" t="n">
        <v>20</v>
      </c>
      <c r="K856" s="103" t="n">
        <v>20</v>
      </c>
      <c r="L856" s="103" t="s">
        <v>95</v>
      </c>
      <c r="M856" s="103" t="s">
        <v>65</v>
      </c>
      <c r="N856" s="103" t="s">
        <v>77</v>
      </c>
      <c r="O856" s="103" t="n">
        <v>63</v>
      </c>
      <c r="P856" s="103" t="n">
        <v>9.4</v>
      </c>
      <c r="Q856" s="103" t="n">
        <v>3</v>
      </c>
      <c r="R856" s="103" t="s">
        <v>131</v>
      </c>
      <c r="S856" s="103" t="n">
        <v>1708</v>
      </c>
      <c r="T856" s="103" t="n">
        <v>1688</v>
      </c>
      <c r="U856" s="103" t="s">
        <v>1542</v>
      </c>
      <c r="V856" s="103" t="n">
        <v>2025</v>
      </c>
    </row>
    <row r="857" customFormat="false" ht="14.25" hidden="false" customHeight="false" outlineLevel="0" collapsed="false">
      <c r="A857" s="103" t="s">
        <v>1578</v>
      </c>
      <c r="B857" s="103" t="s">
        <v>495</v>
      </c>
      <c r="C857" s="104" t="n">
        <v>45943</v>
      </c>
      <c r="D857" s="103" t="s">
        <v>105</v>
      </c>
      <c r="E857" s="103" t="n">
        <v>39</v>
      </c>
      <c r="F857" s="103" t="s">
        <v>171</v>
      </c>
      <c r="G857" s="103" t="s">
        <v>86</v>
      </c>
      <c r="H857" s="103" t="n">
        <v>2.6</v>
      </c>
      <c r="I857" s="103" t="n">
        <v>1687</v>
      </c>
      <c r="J857" s="103" t="n">
        <v>60</v>
      </c>
      <c r="K857" s="103" t="n">
        <v>10</v>
      </c>
      <c r="L857" s="103" t="s">
        <v>93</v>
      </c>
      <c r="M857" s="103" t="s">
        <v>65</v>
      </c>
      <c r="N857" s="103" t="s">
        <v>77</v>
      </c>
      <c r="O857" s="103" t="n">
        <v>31</v>
      </c>
      <c r="P857" s="103" t="n">
        <v>2.2</v>
      </c>
      <c r="Q857" s="103" t="n">
        <v>4</v>
      </c>
      <c r="R857" s="103" t="s">
        <v>134</v>
      </c>
      <c r="S857" s="103" t="n">
        <v>1747</v>
      </c>
      <c r="T857" s="103" t="n">
        <v>1737</v>
      </c>
      <c r="U857" s="103" t="s">
        <v>1542</v>
      </c>
      <c r="V857" s="103" t="n">
        <v>2025</v>
      </c>
    </row>
    <row r="858" customFormat="false" ht="14.25" hidden="false" customHeight="false" outlineLevel="0" collapsed="false">
      <c r="A858" s="103" t="s">
        <v>1579</v>
      </c>
      <c r="B858" s="103" t="s">
        <v>496</v>
      </c>
      <c r="C858" s="104" t="n">
        <v>45943</v>
      </c>
      <c r="D858" s="103" t="s">
        <v>101</v>
      </c>
      <c r="E858" s="103" t="n">
        <v>51</v>
      </c>
      <c r="F858" s="103" t="s">
        <v>170</v>
      </c>
      <c r="G858" s="103" t="s">
        <v>88</v>
      </c>
      <c r="H858" s="103" t="n">
        <v>4.8</v>
      </c>
      <c r="I858" s="103" t="n">
        <v>330</v>
      </c>
      <c r="J858" s="103" t="n">
        <v>20</v>
      </c>
      <c r="K858" s="103" t="n">
        <v>0</v>
      </c>
      <c r="L858" s="103" t="s">
        <v>93</v>
      </c>
      <c r="M858" s="103" t="s">
        <v>65</v>
      </c>
      <c r="N858" s="103" t="s">
        <v>77</v>
      </c>
      <c r="O858" s="103" t="n">
        <v>62</v>
      </c>
      <c r="P858" s="103" t="n">
        <v>13.9</v>
      </c>
      <c r="Q858" s="103" t="n">
        <v>3</v>
      </c>
      <c r="R858" s="103" t="s">
        <v>132</v>
      </c>
      <c r="S858" s="103" t="n">
        <v>350</v>
      </c>
      <c r="T858" s="103" t="n">
        <v>350</v>
      </c>
      <c r="U858" s="103" t="s">
        <v>1542</v>
      </c>
      <c r="V858" s="103" t="n">
        <v>2025</v>
      </c>
    </row>
    <row r="859" customFormat="false" ht="14.25" hidden="false" customHeight="false" outlineLevel="0" collapsed="false">
      <c r="A859" s="103" t="s">
        <v>1580</v>
      </c>
      <c r="B859" s="103" t="s">
        <v>497</v>
      </c>
      <c r="C859" s="104" t="n">
        <v>45943</v>
      </c>
      <c r="D859" s="103" t="s">
        <v>108</v>
      </c>
      <c r="E859" s="103" t="n">
        <v>18</v>
      </c>
      <c r="F859" s="103" t="s">
        <v>170</v>
      </c>
      <c r="G859" s="103" t="s">
        <v>85</v>
      </c>
      <c r="H859" s="103" t="n">
        <v>4.2</v>
      </c>
      <c r="I859" s="103" t="n">
        <v>762</v>
      </c>
      <c r="J859" s="103" t="n">
        <v>20</v>
      </c>
      <c r="K859" s="103" t="n">
        <v>200</v>
      </c>
      <c r="L859" s="103" t="s">
        <v>95</v>
      </c>
      <c r="M859" s="103" t="s">
        <v>65</v>
      </c>
      <c r="N859" s="103" t="s">
        <v>78</v>
      </c>
      <c r="O859" s="103" t="n">
        <v>35</v>
      </c>
      <c r="P859" s="103" t="n">
        <v>1.6</v>
      </c>
      <c r="Q859" s="103" t="n">
        <v>5</v>
      </c>
      <c r="R859" s="103" t="s">
        <v>134</v>
      </c>
      <c r="S859" s="103" t="n">
        <v>782</v>
      </c>
      <c r="T859" s="103" t="n">
        <v>582</v>
      </c>
      <c r="U859" s="103" t="s">
        <v>1542</v>
      </c>
      <c r="V859" s="103" t="n">
        <v>2025</v>
      </c>
    </row>
    <row r="860" customFormat="false" ht="14.25" hidden="false" customHeight="false" outlineLevel="0" collapsed="false">
      <c r="A860" s="103" t="s">
        <v>1581</v>
      </c>
      <c r="B860" s="103" t="s">
        <v>498</v>
      </c>
      <c r="C860" s="104" t="n">
        <v>45944</v>
      </c>
      <c r="D860" s="103" t="s">
        <v>104</v>
      </c>
      <c r="E860" s="103" t="n">
        <v>43</v>
      </c>
      <c r="F860" s="103" t="s">
        <v>170</v>
      </c>
      <c r="G860" s="103" t="s">
        <v>90</v>
      </c>
      <c r="H860" s="103" t="n">
        <v>4.4</v>
      </c>
      <c r="I860" s="103" t="n">
        <v>167</v>
      </c>
      <c r="J860" s="103" t="n">
        <v>40</v>
      </c>
      <c r="K860" s="103" t="n">
        <v>150</v>
      </c>
      <c r="L860" s="103" t="s">
        <v>95</v>
      </c>
      <c r="M860" s="103" t="s">
        <v>67</v>
      </c>
      <c r="N860" s="103" t="s">
        <v>77</v>
      </c>
      <c r="O860" s="103" t="n">
        <v>64</v>
      </c>
      <c r="P860" s="103" t="n">
        <v>14</v>
      </c>
      <c r="Q860" s="103" t="n">
        <v>4</v>
      </c>
      <c r="R860" s="103" t="s">
        <v>137</v>
      </c>
      <c r="S860" s="103" t="n">
        <v>207</v>
      </c>
      <c r="T860" s="103" t="n">
        <v>57</v>
      </c>
      <c r="U860" s="103" t="s">
        <v>1542</v>
      </c>
      <c r="V860" s="103" t="n">
        <v>2025</v>
      </c>
    </row>
    <row r="861" customFormat="false" ht="14.25" hidden="false" customHeight="false" outlineLevel="0" collapsed="false">
      <c r="A861" s="103" t="s">
        <v>1582</v>
      </c>
      <c r="B861" s="103" t="s">
        <v>499</v>
      </c>
      <c r="C861" s="104" t="n">
        <v>45944</v>
      </c>
      <c r="D861" s="103" t="s">
        <v>102</v>
      </c>
      <c r="E861" s="103" t="n">
        <v>60</v>
      </c>
      <c r="F861" s="103" t="s">
        <v>170</v>
      </c>
      <c r="G861" s="103" t="s">
        <v>86</v>
      </c>
      <c r="H861" s="103" t="n">
        <v>3.3</v>
      </c>
      <c r="I861" s="103" t="n">
        <v>1557</v>
      </c>
      <c r="J861" s="103" t="n">
        <v>0</v>
      </c>
      <c r="K861" s="103" t="n">
        <v>50</v>
      </c>
      <c r="L861" s="103" t="s">
        <v>94</v>
      </c>
      <c r="M861" s="103" t="s">
        <v>65</v>
      </c>
      <c r="N861" s="103" t="s">
        <v>78</v>
      </c>
      <c r="O861" s="103" t="n">
        <v>54</v>
      </c>
      <c r="P861" s="103" t="n">
        <v>10.8</v>
      </c>
      <c r="Q861" s="103" t="n">
        <v>4</v>
      </c>
      <c r="R861" s="103" t="s">
        <v>138</v>
      </c>
      <c r="S861" s="103" t="n">
        <v>1557</v>
      </c>
      <c r="T861" s="103" t="n">
        <v>1507</v>
      </c>
      <c r="U861" s="103" t="s">
        <v>1542</v>
      </c>
      <c r="V861" s="103" t="n">
        <v>2025</v>
      </c>
    </row>
    <row r="862" customFormat="false" ht="14.25" hidden="false" customHeight="false" outlineLevel="0" collapsed="false">
      <c r="A862" s="103" t="s">
        <v>1583</v>
      </c>
      <c r="B862" s="103" t="s">
        <v>500</v>
      </c>
      <c r="C862" s="104" t="n">
        <v>45944</v>
      </c>
      <c r="D862" s="103" t="s">
        <v>100</v>
      </c>
      <c r="E862" s="103" t="n">
        <v>27</v>
      </c>
      <c r="F862" s="103" t="s">
        <v>170</v>
      </c>
      <c r="G862" s="103" t="s">
        <v>86</v>
      </c>
      <c r="H862" s="103" t="n">
        <v>4.6</v>
      </c>
      <c r="I862" s="103" t="n">
        <v>723</v>
      </c>
      <c r="J862" s="103" t="n">
        <v>50</v>
      </c>
      <c r="K862" s="103" t="n">
        <v>10</v>
      </c>
      <c r="L862" s="103" t="s">
        <v>94</v>
      </c>
      <c r="M862" s="103" t="s">
        <v>67</v>
      </c>
      <c r="N862" s="103" t="s">
        <v>77</v>
      </c>
      <c r="O862" s="103" t="n">
        <v>45</v>
      </c>
      <c r="P862" s="103" t="n">
        <v>5.3</v>
      </c>
      <c r="Q862" s="103" t="n">
        <v>4</v>
      </c>
      <c r="R862" s="103" t="s">
        <v>132</v>
      </c>
      <c r="S862" s="103" t="n">
        <v>773</v>
      </c>
      <c r="T862" s="103" t="n">
        <v>763</v>
      </c>
      <c r="U862" s="103" t="s">
        <v>1542</v>
      </c>
      <c r="V862" s="103" t="n">
        <v>2025</v>
      </c>
    </row>
    <row r="863" customFormat="false" ht="14.25" hidden="false" customHeight="false" outlineLevel="0" collapsed="false">
      <c r="A863" s="103" t="s">
        <v>1584</v>
      </c>
      <c r="B863" s="103" t="s">
        <v>501</v>
      </c>
      <c r="C863" s="104" t="n">
        <v>45945</v>
      </c>
      <c r="D863" s="103" t="s">
        <v>103</v>
      </c>
      <c r="E863" s="103" t="n">
        <v>47</v>
      </c>
      <c r="F863" s="103" t="s">
        <v>170</v>
      </c>
      <c r="G863" s="103" t="s">
        <v>87</v>
      </c>
      <c r="H863" s="103" t="n">
        <v>3.1</v>
      </c>
      <c r="I863" s="103" t="n">
        <v>1180</v>
      </c>
      <c r="J863" s="103" t="n">
        <v>20</v>
      </c>
      <c r="K863" s="103" t="n">
        <v>0</v>
      </c>
      <c r="L863" s="103" t="s">
        <v>93</v>
      </c>
      <c r="M863" s="103" t="s">
        <v>65</v>
      </c>
      <c r="N863" s="103" t="s">
        <v>78</v>
      </c>
      <c r="O863" s="103" t="n">
        <v>17</v>
      </c>
      <c r="P863" s="103" t="n">
        <v>6.2</v>
      </c>
      <c r="Q863" s="103" t="n">
        <v>1</v>
      </c>
      <c r="R863" s="103" t="s">
        <v>133</v>
      </c>
      <c r="S863" s="103" t="n">
        <v>1200</v>
      </c>
      <c r="T863" s="103" t="n">
        <v>1200</v>
      </c>
      <c r="U863" s="103" t="s">
        <v>1542</v>
      </c>
      <c r="V863" s="103" t="n">
        <v>2025</v>
      </c>
    </row>
    <row r="864" customFormat="false" ht="14.25" hidden="false" customHeight="false" outlineLevel="0" collapsed="false">
      <c r="A864" s="103" t="s">
        <v>1585</v>
      </c>
      <c r="B864" s="103" t="s">
        <v>502</v>
      </c>
      <c r="C864" s="104" t="n">
        <v>45945</v>
      </c>
      <c r="D864" s="103" t="s">
        <v>106</v>
      </c>
      <c r="E864" s="103" t="n">
        <v>35</v>
      </c>
      <c r="F864" s="103" t="s">
        <v>171</v>
      </c>
      <c r="G864" s="103" t="s">
        <v>88</v>
      </c>
      <c r="H864" s="103" t="n">
        <v>2.5</v>
      </c>
      <c r="I864" s="103" t="n">
        <v>1321</v>
      </c>
      <c r="J864" s="103" t="n">
        <v>50</v>
      </c>
      <c r="K864" s="103" t="n">
        <v>100</v>
      </c>
      <c r="L864" s="103" t="s">
        <v>95</v>
      </c>
      <c r="M864" s="103" t="s">
        <v>65</v>
      </c>
      <c r="N864" s="103" t="s">
        <v>78</v>
      </c>
      <c r="O864" s="103" t="n">
        <v>31</v>
      </c>
      <c r="P864" s="103" t="n">
        <v>11.2</v>
      </c>
      <c r="Q864" s="103" t="n">
        <v>2</v>
      </c>
      <c r="R864" s="103" t="s">
        <v>134</v>
      </c>
      <c r="S864" s="103" t="n">
        <v>1371</v>
      </c>
      <c r="T864" s="103" t="n">
        <v>1271</v>
      </c>
      <c r="U864" s="103" t="s">
        <v>1542</v>
      </c>
      <c r="V864" s="103" t="n">
        <v>2025</v>
      </c>
    </row>
    <row r="865" customFormat="false" ht="14.25" hidden="false" customHeight="false" outlineLevel="0" collapsed="false">
      <c r="A865" s="103" t="s">
        <v>1586</v>
      </c>
      <c r="B865" s="103" t="s">
        <v>503</v>
      </c>
      <c r="C865" s="104" t="n">
        <v>45945</v>
      </c>
      <c r="D865" s="103" t="s">
        <v>104</v>
      </c>
      <c r="E865" s="103" t="n">
        <v>34</v>
      </c>
      <c r="F865" s="103" t="s">
        <v>170</v>
      </c>
      <c r="G865" s="103" t="s">
        <v>83</v>
      </c>
      <c r="H865" s="103" t="n">
        <v>3.4</v>
      </c>
      <c r="I865" s="103" t="n">
        <v>842</v>
      </c>
      <c r="J865" s="103" t="n">
        <v>50</v>
      </c>
      <c r="K865" s="103" t="n">
        <v>10</v>
      </c>
      <c r="L865" s="103" t="s">
        <v>96</v>
      </c>
      <c r="M865" s="103" t="s">
        <v>65</v>
      </c>
      <c r="N865" s="103" t="s">
        <v>77</v>
      </c>
      <c r="O865" s="103" t="n">
        <v>64</v>
      </c>
      <c r="P865" s="103" t="n">
        <v>9.2</v>
      </c>
      <c r="Q865" s="103" t="n">
        <v>5</v>
      </c>
      <c r="R865" s="103" t="s">
        <v>135</v>
      </c>
      <c r="S865" s="103" t="n">
        <v>892</v>
      </c>
      <c r="T865" s="103" t="n">
        <v>882</v>
      </c>
      <c r="U865" s="103" t="s">
        <v>1542</v>
      </c>
      <c r="V865" s="103" t="n">
        <v>2025</v>
      </c>
    </row>
    <row r="866" customFormat="false" ht="14.25" hidden="false" customHeight="false" outlineLevel="0" collapsed="false">
      <c r="A866" s="103" t="s">
        <v>1587</v>
      </c>
      <c r="B866" s="103" t="s">
        <v>504</v>
      </c>
      <c r="C866" s="104" t="n">
        <v>45946</v>
      </c>
      <c r="D866" s="103" t="s">
        <v>105</v>
      </c>
      <c r="E866" s="103" t="n">
        <v>43</v>
      </c>
      <c r="F866" s="103" t="s">
        <v>171</v>
      </c>
      <c r="G866" s="103" t="s">
        <v>82</v>
      </c>
      <c r="H866" s="103" t="n">
        <v>3.9</v>
      </c>
      <c r="I866" s="103" t="n">
        <v>635</v>
      </c>
      <c r="J866" s="103" t="n">
        <v>40</v>
      </c>
      <c r="K866" s="103" t="n">
        <v>0</v>
      </c>
      <c r="L866" s="103" t="s">
        <v>95</v>
      </c>
      <c r="M866" s="103" t="s">
        <v>65</v>
      </c>
      <c r="N866" s="103" t="s">
        <v>77</v>
      </c>
      <c r="O866" s="103" t="n">
        <v>40</v>
      </c>
      <c r="P866" s="103" t="n">
        <v>10.2</v>
      </c>
      <c r="Q866" s="103" t="n">
        <v>4</v>
      </c>
      <c r="R866" s="103" t="s">
        <v>133</v>
      </c>
      <c r="S866" s="103" t="n">
        <v>675</v>
      </c>
      <c r="T866" s="103" t="n">
        <v>675</v>
      </c>
      <c r="U866" s="103" t="s">
        <v>1542</v>
      </c>
      <c r="V866" s="103" t="n">
        <v>2025</v>
      </c>
    </row>
    <row r="867" customFormat="false" ht="14.25" hidden="false" customHeight="false" outlineLevel="0" collapsed="false">
      <c r="A867" s="103" t="s">
        <v>1588</v>
      </c>
      <c r="B867" s="103" t="s">
        <v>505</v>
      </c>
      <c r="C867" s="104" t="n">
        <v>45946</v>
      </c>
      <c r="D867" s="103" t="s">
        <v>100</v>
      </c>
      <c r="E867" s="103" t="n">
        <v>25</v>
      </c>
      <c r="F867" s="103" t="s">
        <v>171</v>
      </c>
      <c r="G867" s="103" t="s">
        <v>82</v>
      </c>
      <c r="H867" s="103" t="n">
        <v>3.7</v>
      </c>
      <c r="I867" s="103" t="n">
        <v>1737</v>
      </c>
      <c r="J867" s="103" t="n">
        <v>20</v>
      </c>
      <c r="K867" s="103" t="n">
        <v>10</v>
      </c>
      <c r="L867" s="103" t="s">
        <v>94</v>
      </c>
      <c r="M867" s="103" t="s">
        <v>67</v>
      </c>
      <c r="N867" s="103" t="s">
        <v>77</v>
      </c>
      <c r="O867" s="103" t="n">
        <v>37</v>
      </c>
      <c r="P867" s="103" t="n">
        <v>6.1</v>
      </c>
      <c r="Q867" s="103" t="n">
        <v>5</v>
      </c>
      <c r="R867" s="103" t="s">
        <v>136</v>
      </c>
      <c r="S867" s="103" t="n">
        <v>1757</v>
      </c>
      <c r="T867" s="103" t="n">
        <v>1747</v>
      </c>
      <c r="U867" s="103" t="s">
        <v>1542</v>
      </c>
      <c r="V867" s="103" t="n">
        <v>2025</v>
      </c>
    </row>
    <row r="868" customFormat="false" ht="14.25" hidden="false" customHeight="false" outlineLevel="0" collapsed="false">
      <c r="A868" s="103" t="s">
        <v>1589</v>
      </c>
      <c r="B868" s="103" t="s">
        <v>506</v>
      </c>
      <c r="C868" s="104" t="n">
        <v>45946</v>
      </c>
      <c r="D868" s="103" t="s">
        <v>104</v>
      </c>
      <c r="E868" s="103" t="n">
        <v>57</v>
      </c>
      <c r="F868" s="103" t="s">
        <v>171</v>
      </c>
      <c r="G868" s="103" t="s">
        <v>89</v>
      </c>
      <c r="H868" s="103" t="n">
        <v>4.7</v>
      </c>
      <c r="I868" s="103" t="n">
        <v>1740</v>
      </c>
      <c r="J868" s="103" t="n">
        <v>60</v>
      </c>
      <c r="K868" s="103" t="n">
        <v>100</v>
      </c>
      <c r="L868" s="103" t="s">
        <v>94</v>
      </c>
      <c r="M868" s="103" t="s">
        <v>67</v>
      </c>
      <c r="N868" s="103" t="s">
        <v>77</v>
      </c>
      <c r="O868" s="103" t="n">
        <v>20</v>
      </c>
      <c r="P868" s="103" t="n">
        <v>7.6</v>
      </c>
      <c r="Q868" s="103" t="n">
        <v>5</v>
      </c>
      <c r="R868" s="103" t="s">
        <v>133</v>
      </c>
      <c r="S868" s="103" t="n">
        <v>1800</v>
      </c>
      <c r="T868" s="103" t="n">
        <v>1700</v>
      </c>
      <c r="U868" s="103" t="s">
        <v>1542</v>
      </c>
      <c r="V868" s="103" t="n">
        <v>2025</v>
      </c>
    </row>
    <row r="869" customFormat="false" ht="14.25" hidden="false" customHeight="false" outlineLevel="0" collapsed="false">
      <c r="A869" s="103" t="s">
        <v>1590</v>
      </c>
      <c r="B869" s="103" t="s">
        <v>507</v>
      </c>
      <c r="C869" s="104" t="n">
        <v>45947</v>
      </c>
      <c r="D869" s="103" t="s">
        <v>100</v>
      </c>
      <c r="E869" s="103" t="n">
        <v>29</v>
      </c>
      <c r="F869" s="103" t="s">
        <v>171</v>
      </c>
      <c r="G869" s="103" t="s">
        <v>81</v>
      </c>
      <c r="H869" s="103" t="n">
        <v>2.8</v>
      </c>
      <c r="I869" s="103" t="n">
        <v>606</v>
      </c>
      <c r="J869" s="103" t="n">
        <v>50</v>
      </c>
      <c r="K869" s="103" t="n">
        <v>100</v>
      </c>
      <c r="L869" s="103" t="s">
        <v>95</v>
      </c>
      <c r="M869" s="103" t="s">
        <v>65</v>
      </c>
      <c r="N869" s="103" t="s">
        <v>77</v>
      </c>
      <c r="O869" s="103" t="n">
        <v>42</v>
      </c>
      <c r="P869" s="103" t="n">
        <v>14.9</v>
      </c>
      <c r="Q869" s="103" t="n">
        <v>1</v>
      </c>
      <c r="R869" s="103" t="s">
        <v>131</v>
      </c>
      <c r="S869" s="103" t="n">
        <v>656</v>
      </c>
      <c r="T869" s="103" t="n">
        <v>556</v>
      </c>
      <c r="U869" s="103" t="s">
        <v>1542</v>
      </c>
      <c r="V869" s="103" t="n">
        <v>2025</v>
      </c>
    </row>
    <row r="870" customFormat="false" ht="14.25" hidden="false" customHeight="false" outlineLevel="0" collapsed="false">
      <c r="A870" s="103" t="s">
        <v>1591</v>
      </c>
      <c r="B870" s="103" t="s">
        <v>508</v>
      </c>
      <c r="C870" s="104" t="n">
        <v>45947</v>
      </c>
      <c r="D870" s="103" t="s">
        <v>101</v>
      </c>
      <c r="E870" s="103" t="n">
        <v>44</v>
      </c>
      <c r="F870" s="103" t="s">
        <v>171</v>
      </c>
      <c r="G870" s="103" t="s">
        <v>85</v>
      </c>
      <c r="H870" s="103" t="n">
        <v>3.9</v>
      </c>
      <c r="I870" s="103" t="n">
        <v>926</v>
      </c>
      <c r="J870" s="103" t="n">
        <v>20</v>
      </c>
      <c r="K870" s="103" t="n">
        <v>75</v>
      </c>
      <c r="L870" s="103" t="s">
        <v>95</v>
      </c>
      <c r="M870" s="103" t="s">
        <v>65</v>
      </c>
      <c r="N870" s="103" t="s">
        <v>77</v>
      </c>
      <c r="O870" s="103" t="n">
        <v>22</v>
      </c>
      <c r="P870" s="103" t="n">
        <v>3.6</v>
      </c>
      <c r="Q870" s="103" t="n">
        <v>5</v>
      </c>
      <c r="R870" s="103" t="s">
        <v>139</v>
      </c>
      <c r="S870" s="103" t="n">
        <v>946</v>
      </c>
      <c r="T870" s="103" t="n">
        <v>871</v>
      </c>
      <c r="U870" s="103" t="s">
        <v>1542</v>
      </c>
      <c r="V870" s="103" t="n">
        <v>2025</v>
      </c>
    </row>
    <row r="871" customFormat="false" ht="14.25" hidden="false" customHeight="false" outlineLevel="0" collapsed="false">
      <c r="A871" s="103" t="s">
        <v>1592</v>
      </c>
      <c r="B871" s="103" t="s">
        <v>509</v>
      </c>
      <c r="C871" s="104" t="n">
        <v>45947</v>
      </c>
      <c r="D871" s="103" t="s">
        <v>106</v>
      </c>
      <c r="E871" s="103" t="n">
        <v>25</v>
      </c>
      <c r="F871" s="103" t="s">
        <v>171</v>
      </c>
      <c r="G871" s="103" t="s">
        <v>88</v>
      </c>
      <c r="H871" s="103" t="n">
        <v>3.8</v>
      </c>
      <c r="I871" s="103" t="n">
        <v>1754</v>
      </c>
      <c r="J871" s="103" t="n">
        <v>30</v>
      </c>
      <c r="K871" s="103" t="n">
        <v>50</v>
      </c>
      <c r="L871" s="103" t="s">
        <v>94</v>
      </c>
      <c r="M871" s="103" t="s">
        <v>66</v>
      </c>
      <c r="N871" s="103" t="s">
        <v>77</v>
      </c>
      <c r="O871" s="103" t="n">
        <v>69</v>
      </c>
      <c r="P871" s="103" t="n">
        <v>6.6</v>
      </c>
      <c r="Q871" s="103" t="n">
        <v>2</v>
      </c>
      <c r="R871" s="103" t="s">
        <v>132</v>
      </c>
      <c r="S871" s="103" t="n">
        <v>1784</v>
      </c>
      <c r="T871" s="103" t="n">
        <v>1734</v>
      </c>
      <c r="U871" s="103" t="s">
        <v>1542</v>
      </c>
      <c r="V871" s="103" t="n">
        <v>2025</v>
      </c>
    </row>
    <row r="872" customFormat="false" ht="14.25" hidden="false" customHeight="false" outlineLevel="0" collapsed="false">
      <c r="A872" s="103" t="s">
        <v>1593</v>
      </c>
      <c r="B872" s="103" t="s">
        <v>510</v>
      </c>
      <c r="C872" s="104" t="n">
        <v>45948</v>
      </c>
      <c r="D872" s="103" t="s">
        <v>105</v>
      </c>
      <c r="E872" s="103" t="n">
        <v>42</v>
      </c>
      <c r="F872" s="103" t="s">
        <v>170</v>
      </c>
      <c r="G872" s="103" t="s">
        <v>84</v>
      </c>
      <c r="H872" s="103" t="n">
        <v>3.2</v>
      </c>
      <c r="I872" s="103" t="n">
        <v>128</v>
      </c>
      <c r="J872" s="103" t="n">
        <v>60</v>
      </c>
      <c r="K872" s="103" t="n">
        <v>20</v>
      </c>
      <c r="L872" s="103" t="s">
        <v>95</v>
      </c>
      <c r="M872" s="103" t="s">
        <v>65</v>
      </c>
      <c r="N872" s="103" t="s">
        <v>77</v>
      </c>
      <c r="O872" s="103" t="n">
        <v>59</v>
      </c>
      <c r="P872" s="103" t="n">
        <v>4.7</v>
      </c>
      <c r="Q872" s="103" t="n">
        <v>5</v>
      </c>
      <c r="R872" s="103" t="s">
        <v>131</v>
      </c>
      <c r="S872" s="103" t="n">
        <v>188</v>
      </c>
      <c r="T872" s="103" t="n">
        <v>168</v>
      </c>
      <c r="U872" s="103" t="s">
        <v>1542</v>
      </c>
      <c r="V872" s="103" t="n">
        <v>2025</v>
      </c>
    </row>
    <row r="873" customFormat="false" ht="14.25" hidden="false" customHeight="false" outlineLevel="0" collapsed="false">
      <c r="A873" s="103" t="s">
        <v>1594</v>
      </c>
      <c r="B873" s="103" t="s">
        <v>511</v>
      </c>
      <c r="C873" s="104" t="n">
        <v>45948</v>
      </c>
      <c r="D873" s="103" t="s">
        <v>103</v>
      </c>
      <c r="E873" s="103" t="n">
        <v>21</v>
      </c>
      <c r="F873" s="103" t="s">
        <v>170</v>
      </c>
      <c r="G873" s="103" t="s">
        <v>81</v>
      </c>
      <c r="H873" s="103" t="n">
        <v>4.6</v>
      </c>
      <c r="I873" s="103" t="n">
        <v>813</v>
      </c>
      <c r="J873" s="103" t="n">
        <v>30</v>
      </c>
      <c r="K873" s="103" t="n">
        <v>20</v>
      </c>
      <c r="L873" s="103" t="s">
        <v>93</v>
      </c>
      <c r="M873" s="103" t="s">
        <v>65</v>
      </c>
      <c r="N873" s="103" t="s">
        <v>77</v>
      </c>
      <c r="O873" s="103" t="n">
        <v>22</v>
      </c>
      <c r="P873" s="103" t="n">
        <v>11.6</v>
      </c>
      <c r="Q873" s="103" t="n">
        <v>5</v>
      </c>
      <c r="R873" s="103" t="s">
        <v>140</v>
      </c>
      <c r="S873" s="103" t="n">
        <v>843</v>
      </c>
      <c r="T873" s="103" t="n">
        <v>823</v>
      </c>
      <c r="U873" s="103" t="s">
        <v>1542</v>
      </c>
      <c r="V873" s="103" t="n">
        <v>2025</v>
      </c>
    </row>
    <row r="874" customFormat="false" ht="14.25" hidden="false" customHeight="false" outlineLevel="0" collapsed="false">
      <c r="A874" s="103" t="s">
        <v>1595</v>
      </c>
      <c r="B874" s="103" t="s">
        <v>512</v>
      </c>
      <c r="C874" s="104" t="n">
        <v>45948</v>
      </c>
      <c r="D874" s="103" t="s">
        <v>110</v>
      </c>
      <c r="E874" s="103" t="n">
        <v>50</v>
      </c>
      <c r="F874" s="103" t="s">
        <v>171</v>
      </c>
      <c r="G874" s="103" t="s">
        <v>87</v>
      </c>
      <c r="H874" s="103" t="n">
        <v>4.4</v>
      </c>
      <c r="I874" s="103" t="n">
        <v>289</v>
      </c>
      <c r="J874" s="103" t="n">
        <v>30</v>
      </c>
      <c r="K874" s="103" t="n">
        <v>200</v>
      </c>
      <c r="L874" s="103" t="s">
        <v>97</v>
      </c>
      <c r="M874" s="103" t="s">
        <v>67</v>
      </c>
      <c r="N874" s="103" t="s">
        <v>78</v>
      </c>
      <c r="O874" s="103" t="n">
        <v>33</v>
      </c>
      <c r="P874" s="103" t="n">
        <v>11.6</v>
      </c>
      <c r="Q874" s="103" t="n">
        <v>4</v>
      </c>
      <c r="R874" s="103" t="s">
        <v>134</v>
      </c>
      <c r="S874" s="103" t="n">
        <v>319</v>
      </c>
      <c r="T874" s="103" t="n">
        <v>119</v>
      </c>
      <c r="U874" s="103" t="s">
        <v>1542</v>
      </c>
      <c r="V874" s="103" t="n">
        <v>2025</v>
      </c>
    </row>
    <row r="875" customFormat="false" ht="14.25" hidden="false" customHeight="false" outlineLevel="0" collapsed="false">
      <c r="A875" s="103" t="s">
        <v>1596</v>
      </c>
      <c r="B875" s="103" t="s">
        <v>513</v>
      </c>
      <c r="C875" s="104" t="n">
        <v>45949</v>
      </c>
      <c r="D875" s="103" t="s">
        <v>107</v>
      </c>
      <c r="E875" s="103" t="n">
        <v>18</v>
      </c>
      <c r="F875" s="103" t="s">
        <v>170</v>
      </c>
      <c r="G875" s="103" t="s">
        <v>86</v>
      </c>
      <c r="H875" s="103" t="n">
        <v>4.3</v>
      </c>
      <c r="I875" s="103" t="n">
        <v>975</v>
      </c>
      <c r="J875" s="103" t="n">
        <v>50</v>
      </c>
      <c r="K875" s="103" t="n">
        <v>30</v>
      </c>
      <c r="L875" s="103" t="s">
        <v>95</v>
      </c>
      <c r="M875" s="103" t="s">
        <v>65</v>
      </c>
      <c r="N875" s="103" t="s">
        <v>77</v>
      </c>
      <c r="O875" s="103" t="n">
        <v>52</v>
      </c>
      <c r="P875" s="103" t="n">
        <v>4.7</v>
      </c>
      <c r="Q875" s="103" t="n">
        <v>5</v>
      </c>
      <c r="R875" s="103" t="s">
        <v>142</v>
      </c>
      <c r="S875" s="103" t="n">
        <v>1025</v>
      </c>
      <c r="T875" s="103" t="n">
        <v>995</v>
      </c>
      <c r="U875" s="103" t="s">
        <v>1542</v>
      </c>
      <c r="V875" s="103" t="n">
        <v>2025</v>
      </c>
    </row>
    <row r="876" customFormat="false" ht="14.25" hidden="false" customHeight="false" outlineLevel="0" collapsed="false">
      <c r="A876" s="103" t="s">
        <v>1597</v>
      </c>
      <c r="B876" s="103" t="s">
        <v>514</v>
      </c>
      <c r="C876" s="104" t="n">
        <v>45949</v>
      </c>
      <c r="D876" s="103" t="s">
        <v>103</v>
      </c>
      <c r="E876" s="103" t="n">
        <v>36</v>
      </c>
      <c r="F876" s="103" t="s">
        <v>170</v>
      </c>
      <c r="G876" s="103" t="s">
        <v>83</v>
      </c>
      <c r="H876" s="103" t="n">
        <v>4.7</v>
      </c>
      <c r="I876" s="103" t="n">
        <v>161</v>
      </c>
      <c r="J876" s="103" t="n">
        <v>30</v>
      </c>
      <c r="K876" s="103" t="n">
        <v>200</v>
      </c>
      <c r="L876" s="103" t="s">
        <v>93</v>
      </c>
      <c r="M876" s="103" t="s">
        <v>65</v>
      </c>
      <c r="N876" s="103" t="s">
        <v>77</v>
      </c>
      <c r="O876" s="103" t="n">
        <v>43</v>
      </c>
      <c r="P876" s="103" t="n">
        <v>1.7</v>
      </c>
      <c r="Q876" s="103" t="n">
        <v>3</v>
      </c>
      <c r="R876" s="103" t="s">
        <v>134</v>
      </c>
      <c r="S876" s="103" t="n">
        <v>191</v>
      </c>
      <c r="T876" s="103" t="n">
        <v>0</v>
      </c>
      <c r="U876" s="103" t="s">
        <v>1542</v>
      </c>
      <c r="V876" s="103" t="n">
        <v>2025</v>
      </c>
    </row>
    <row r="877" customFormat="false" ht="14.25" hidden="false" customHeight="false" outlineLevel="0" collapsed="false">
      <c r="A877" s="103" t="s">
        <v>1598</v>
      </c>
      <c r="B877" s="103" t="s">
        <v>515</v>
      </c>
      <c r="C877" s="104" t="n">
        <v>45949</v>
      </c>
      <c r="D877" s="103" t="s">
        <v>110</v>
      </c>
      <c r="E877" s="103" t="n">
        <v>48</v>
      </c>
      <c r="F877" s="103" t="s">
        <v>171</v>
      </c>
      <c r="G877" s="103" t="s">
        <v>88</v>
      </c>
      <c r="H877" s="103" t="n">
        <v>4.3</v>
      </c>
      <c r="I877" s="103" t="n">
        <v>804</v>
      </c>
      <c r="J877" s="103" t="n">
        <v>40</v>
      </c>
      <c r="K877" s="103" t="n">
        <v>30</v>
      </c>
      <c r="L877" s="103" t="s">
        <v>94</v>
      </c>
      <c r="M877" s="103" t="s">
        <v>66</v>
      </c>
      <c r="N877" s="103" t="s">
        <v>77</v>
      </c>
      <c r="O877" s="103" t="n">
        <v>37</v>
      </c>
      <c r="P877" s="103" t="n">
        <v>0.7</v>
      </c>
      <c r="Q877" s="103" t="n">
        <v>4</v>
      </c>
      <c r="R877" s="103" t="s">
        <v>140</v>
      </c>
      <c r="S877" s="103" t="n">
        <v>844</v>
      </c>
      <c r="T877" s="103" t="n">
        <v>814</v>
      </c>
      <c r="U877" s="103" t="s">
        <v>1542</v>
      </c>
      <c r="V877" s="103" t="n">
        <v>2025</v>
      </c>
    </row>
    <row r="878" customFormat="false" ht="14.25" hidden="false" customHeight="false" outlineLevel="0" collapsed="false">
      <c r="A878" s="103" t="s">
        <v>1599</v>
      </c>
      <c r="B878" s="103" t="s">
        <v>516</v>
      </c>
      <c r="C878" s="104" t="n">
        <v>45950</v>
      </c>
      <c r="D878" s="103" t="s">
        <v>111</v>
      </c>
      <c r="E878" s="103" t="n">
        <v>33</v>
      </c>
      <c r="F878" s="103" t="s">
        <v>171</v>
      </c>
      <c r="G878" s="103" t="s">
        <v>81</v>
      </c>
      <c r="H878" s="103" t="n">
        <v>3.1</v>
      </c>
      <c r="I878" s="103" t="n">
        <v>491</v>
      </c>
      <c r="J878" s="103" t="n">
        <v>40</v>
      </c>
      <c r="K878" s="103" t="n">
        <v>10</v>
      </c>
      <c r="L878" s="103" t="s">
        <v>93</v>
      </c>
      <c r="M878" s="103" t="s">
        <v>65</v>
      </c>
      <c r="N878" s="103" t="s">
        <v>77</v>
      </c>
      <c r="O878" s="103" t="n">
        <v>61</v>
      </c>
      <c r="P878" s="103" t="n">
        <v>6.7</v>
      </c>
      <c r="Q878" s="103" t="n">
        <v>5</v>
      </c>
      <c r="R878" s="103" t="s">
        <v>133</v>
      </c>
      <c r="S878" s="103" t="n">
        <v>531</v>
      </c>
      <c r="T878" s="103" t="n">
        <v>521</v>
      </c>
      <c r="U878" s="103" t="s">
        <v>1542</v>
      </c>
      <c r="V878" s="103" t="n">
        <v>2025</v>
      </c>
    </row>
    <row r="879" customFormat="false" ht="14.25" hidden="false" customHeight="false" outlineLevel="0" collapsed="false">
      <c r="A879" s="103" t="s">
        <v>1600</v>
      </c>
      <c r="B879" s="103" t="s">
        <v>517</v>
      </c>
      <c r="C879" s="104" t="n">
        <v>45950</v>
      </c>
      <c r="D879" s="103" t="s">
        <v>111</v>
      </c>
      <c r="E879" s="103" t="n">
        <v>31</v>
      </c>
      <c r="F879" s="103" t="s">
        <v>170</v>
      </c>
      <c r="G879" s="103" t="s">
        <v>81</v>
      </c>
      <c r="H879" s="103" t="n">
        <v>4.3</v>
      </c>
      <c r="I879" s="103" t="n">
        <v>1016</v>
      </c>
      <c r="J879" s="103" t="n">
        <v>50</v>
      </c>
      <c r="K879" s="103" t="n">
        <v>30</v>
      </c>
      <c r="L879" s="103" t="s">
        <v>93</v>
      </c>
      <c r="M879" s="103" t="s">
        <v>65</v>
      </c>
      <c r="N879" s="103" t="s">
        <v>78</v>
      </c>
      <c r="O879" s="103" t="n">
        <v>46</v>
      </c>
      <c r="P879" s="103" t="n">
        <v>6.4</v>
      </c>
      <c r="Q879" s="103" t="n">
        <v>3</v>
      </c>
      <c r="R879" s="103" t="s">
        <v>131</v>
      </c>
      <c r="S879" s="103" t="n">
        <v>1066</v>
      </c>
      <c r="T879" s="103" t="n">
        <v>1036</v>
      </c>
      <c r="U879" s="103" t="s">
        <v>1542</v>
      </c>
      <c r="V879" s="103" t="n">
        <v>2025</v>
      </c>
    </row>
    <row r="880" customFormat="false" ht="14.25" hidden="false" customHeight="false" outlineLevel="0" collapsed="false">
      <c r="A880" s="103" t="s">
        <v>1601</v>
      </c>
      <c r="B880" s="103" t="s">
        <v>518</v>
      </c>
      <c r="C880" s="104" t="n">
        <v>45950</v>
      </c>
      <c r="D880" s="103" t="s">
        <v>111</v>
      </c>
      <c r="E880" s="103" t="n">
        <v>22</v>
      </c>
      <c r="F880" s="103" t="s">
        <v>170</v>
      </c>
      <c r="G880" s="103" t="s">
        <v>83</v>
      </c>
      <c r="H880" s="103" t="n">
        <v>3.3</v>
      </c>
      <c r="I880" s="103" t="n">
        <v>1793</v>
      </c>
      <c r="J880" s="103" t="n">
        <v>20</v>
      </c>
      <c r="K880" s="103" t="n">
        <v>75</v>
      </c>
      <c r="L880" s="103" t="s">
        <v>93</v>
      </c>
      <c r="M880" s="103" t="s">
        <v>65</v>
      </c>
      <c r="N880" s="103" t="s">
        <v>77</v>
      </c>
      <c r="O880" s="103" t="n">
        <v>24</v>
      </c>
      <c r="P880" s="103" t="n">
        <v>14.8</v>
      </c>
      <c r="Q880" s="103" t="n">
        <v>4</v>
      </c>
      <c r="R880" s="103" t="s">
        <v>142</v>
      </c>
      <c r="S880" s="103" t="n">
        <v>1813</v>
      </c>
      <c r="T880" s="103" t="n">
        <v>1738</v>
      </c>
      <c r="U880" s="103" t="s">
        <v>1542</v>
      </c>
      <c r="V880" s="103" t="n">
        <v>2025</v>
      </c>
    </row>
    <row r="881" customFormat="false" ht="14.25" hidden="false" customHeight="false" outlineLevel="0" collapsed="false">
      <c r="A881" s="103" t="s">
        <v>1602</v>
      </c>
      <c r="B881" s="103" t="s">
        <v>519</v>
      </c>
      <c r="C881" s="104" t="n">
        <v>45951</v>
      </c>
      <c r="D881" s="103" t="s">
        <v>102</v>
      </c>
      <c r="E881" s="103" t="n">
        <v>58</v>
      </c>
      <c r="F881" s="103" t="s">
        <v>170</v>
      </c>
      <c r="G881" s="103" t="s">
        <v>89</v>
      </c>
      <c r="H881" s="103" t="n">
        <v>3.1</v>
      </c>
      <c r="I881" s="103" t="n">
        <v>1465</v>
      </c>
      <c r="J881" s="103" t="n">
        <v>0</v>
      </c>
      <c r="K881" s="103" t="n">
        <v>75</v>
      </c>
      <c r="L881" s="103" t="s">
        <v>95</v>
      </c>
      <c r="M881" s="103" t="s">
        <v>66</v>
      </c>
      <c r="N881" s="103" t="s">
        <v>78</v>
      </c>
      <c r="O881" s="103" t="n">
        <v>41</v>
      </c>
      <c r="P881" s="103" t="n">
        <v>7.3</v>
      </c>
      <c r="Q881" s="103" t="n">
        <v>4</v>
      </c>
      <c r="R881" s="103" t="s">
        <v>132</v>
      </c>
      <c r="S881" s="103" t="n">
        <v>1465</v>
      </c>
      <c r="T881" s="103" t="n">
        <v>1390</v>
      </c>
      <c r="U881" s="103" t="s">
        <v>1542</v>
      </c>
      <c r="V881" s="103" t="n">
        <v>2025</v>
      </c>
    </row>
    <row r="882" customFormat="false" ht="14.25" hidden="false" customHeight="false" outlineLevel="0" collapsed="false">
      <c r="A882" s="103" t="s">
        <v>1603</v>
      </c>
      <c r="B882" s="103" t="s">
        <v>520</v>
      </c>
      <c r="C882" s="104" t="n">
        <v>45951</v>
      </c>
      <c r="D882" s="103" t="s">
        <v>109</v>
      </c>
      <c r="E882" s="103" t="n">
        <v>43</v>
      </c>
      <c r="F882" s="103" t="s">
        <v>171</v>
      </c>
      <c r="G882" s="103" t="s">
        <v>85</v>
      </c>
      <c r="H882" s="103" t="n">
        <v>2.7</v>
      </c>
      <c r="I882" s="103" t="n">
        <v>1541</v>
      </c>
      <c r="J882" s="103" t="n">
        <v>20</v>
      </c>
      <c r="K882" s="103" t="n">
        <v>50</v>
      </c>
      <c r="L882" s="103" t="s">
        <v>96</v>
      </c>
      <c r="M882" s="103" t="s">
        <v>65</v>
      </c>
      <c r="N882" s="103" t="s">
        <v>78</v>
      </c>
      <c r="O882" s="103" t="n">
        <v>63</v>
      </c>
      <c r="P882" s="103" t="n">
        <v>4.2</v>
      </c>
      <c r="Q882" s="103" t="n">
        <v>5</v>
      </c>
      <c r="R882" s="103" t="s">
        <v>132</v>
      </c>
      <c r="S882" s="103" t="n">
        <v>1561</v>
      </c>
      <c r="T882" s="103" t="n">
        <v>1511</v>
      </c>
      <c r="U882" s="103" t="s">
        <v>1542</v>
      </c>
      <c r="V882" s="103" t="n">
        <v>2025</v>
      </c>
    </row>
    <row r="883" customFormat="false" ht="14.25" hidden="false" customHeight="false" outlineLevel="0" collapsed="false">
      <c r="A883" s="103" t="s">
        <v>1604</v>
      </c>
      <c r="B883" s="103" t="s">
        <v>521</v>
      </c>
      <c r="C883" s="104" t="n">
        <v>45951</v>
      </c>
      <c r="D883" s="103" t="s">
        <v>108</v>
      </c>
      <c r="E883" s="103" t="n">
        <v>45</v>
      </c>
      <c r="F883" s="103" t="s">
        <v>171</v>
      </c>
      <c r="G883" s="103" t="s">
        <v>85</v>
      </c>
      <c r="H883" s="103" t="n">
        <v>4.4</v>
      </c>
      <c r="I883" s="103" t="n">
        <v>1187</v>
      </c>
      <c r="J883" s="103" t="n">
        <v>20</v>
      </c>
      <c r="K883" s="103" t="n">
        <v>0</v>
      </c>
      <c r="L883" s="103" t="s">
        <v>94</v>
      </c>
      <c r="M883" s="103" t="s">
        <v>66</v>
      </c>
      <c r="N883" s="103" t="s">
        <v>77</v>
      </c>
      <c r="O883" s="103" t="n">
        <v>15</v>
      </c>
      <c r="P883" s="103" t="n">
        <v>13.4</v>
      </c>
      <c r="Q883" s="103" t="n">
        <v>4</v>
      </c>
      <c r="R883" s="103" t="s">
        <v>140</v>
      </c>
      <c r="S883" s="103" t="n">
        <v>1207</v>
      </c>
      <c r="T883" s="103" t="n">
        <v>1207</v>
      </c>
      <c r="U883" s="103" t="s">
        <v>1542</v>
      </c>
      <c r="V883" s="103" t="n">
        <v>2025</v>
      </c>
    </row>
    <row r="884" customFormat="false" ht="14.25" hidden="false" customHeight="false" outlineLevel="0" collapsed="false">
      <c r="A884" s="103" t="s">
        <v>1605</v>
      </c>
      <c r="B884" s="103" t="s">
        <v>522</v>
      </c>
      <c r="C884" s="104" t="n">
        <v>45952</v>
      </c>
      <c r="D884" s="103" t="s">
        <v>108</v>
      </c>
      <c r="E884" s="103" t="n">
        <v>19</v>
      </c>
      <c r="F884" s="103" t="s">
        <v>171</v>
      </c>
      <c r="G884" s="103" t="s">
        <v>81</v>
      </c>
      <c r="H884" s="103" t="n">
        <v>4.3</v>
      </c>
      <c r="I884" s="103" t="n">
        <v>190</v>
      </c>
      <c r="J884" s="103" t="n">
        <v>20</v>
      </c>
      <c r="K884" s="103" t="n">
        <v>20</v>
      </c>
      <c r="L884" s="103" t="s">
        <v>94</v>
      </c>
      <c r="M884" s="103" t="s">
        <v>65</v>
      </c>
      <c r="N884" s="103" t="s">
        <v>77</v>
      </c>
      <c r="O884" s="103" t="n">
        <v>53</v>
      </c>
      <c r="P884" s="103" t="n">
        <v>7.6</v>
      </c>
      <c r="Q884" s="103" t="n">
        <v>5</v>
      </c>
      <c r="R884" s="103" t="s">
        <v>134</v>
      </c>
      <c r="S884" s="103" t="n">
        <v>210</v>
      </c>
      <c r="T884" s="103" t="n">
        <v>190</v>
      </c>
      <c r="U884" s="103" t="s">
        <v>1542</v>
      </c>
      <c r="V884" s="103" t="n">
        <v>2025</v>
      </c>
    </row>
    <row r="885" customFormat="false" ht="14.25" hidden="false" customHeight="false" outlineLevel="0" collapsed="false">
      <c r="A885" s="103" t="s">
        <v>1606</v>
      </c>
      <c r="B885" s="103" t="s">
        <v>523</v>
      </c>
      <c r="C885" s="104" t="n">
        <v>45952</v>
      </c>
      <c r="D885" s="103" t="s">
        <v>111</v>
      </c>
      <c r="E885" s="103" t="n">
        <v>23</v>
      </c>
      <c r="F885" s="103" t="s">
        <v>171</v>
      </c>
      <c r="G885" s="103" t="s">
        <v>90</v>
      </c>
      <c r="H885" s="103" t="n">
        <v>3.1</v>
      </c>
      <c r="I885" s="103" t="n">
        <v>467</v>
      </c>
      <c r="J885" s="103" t="n">
        <v>20</v>
      </c>
      <c r="K885" s="103" t="n">
        <v>50</v>
      </c>
      <c r="L885" s="103" t="s">
        <v>93</v>
      </c>
      <c r="M885" s="103" t="s">
        <v>65</v>
      </c>
      <c r="N885" s="103" t="s">
        <v>77</v>
      </c>
      <c r="O885" s="103" t="n">
        <v>43</v>
      </c>
      <c r="P885" s="103" t="n">
        <v>9.2</v>
      </c>
      <c r="Q885" s="103" t="n">
        <v>2</v>
      </c>
      <c r="R885" s="103" t="s">
        <v>140</v>
      </c>
      <c r="S885" s="103" t="n">
        <v>487</v>
      </c>
      <c r="T885" s="103" t="n">
        <v>437</v>
      </c>
      <c r="U885" s="103" t="s">
        <v>1542</v>
      </c>
      <c r="V885" s="103" t="n">
        <v>2025</v>
      </c>
    </row>
    <row r="886" customFormat="false" ht="14.25" hidden="false" customHeight="false" outlineLevel="0" collapsed="false">
      <c r="A886" s="103" t="s">
        <v>1607</v>
      </c>
      <c r="B886" s="103" t="s">
        <v>524</v>
      </c>
      <c r="C886" s="104" t="n">
        <v>45952</v>
      </c>
      <c r="D886" s="103" t="s">
        <v>107</v>
      </c>
      <c r="E886" s="103" t="n">
        <v>26</v>
      </c>
      <c r="F886" s="103" t="s">
        <v>171</v>
      </c>
      <c r="G886" s="103" t="s">
        <v>81</v>
      </c>
      <c r="H886" s="103" t="n">
        <v>4.4</v>
      </c>
      <c r="I886" s="103" t="n">
        <v>1674</v>
      </c>
      <c r="J886" s="103" t="n">
        <v>60</v>
      </c>
      <c r="K886" s="103" t="n">
        <v>75</v>
      </c>
      <c r="L886" s="103" t="s">
        <v>93</v>
      </c>
      <c r="M886" s="103" t="s">
        <v>66</v>
      </c>
      <c r="N886" s="103" t="s">
        <v>77</v>
      </c>
      <c r="O886" s="103" t="n">
        <v>59</v>
      </c>
      <c r="P886" s="103" t="n">
        <v>1.9</v>
      </c>
      <c r="Q886" s="103" t="n">
        <v>4</v>
      </c>
      <c r="R886" s="103" t="s">
        <v>142</v>
      </c>
      <c r="S886" s="103" t="n">
        <v>1734</v>
      </c>
      <c r="T886" s="103" t="n">
        <v>1659</v>
      </c>
      <c r="U886" s="103" t="s">
        <v>1542</v>
      </c>
      <c r="V886" s="103" t="n">
        <v>2025</v>
      </c>
    </row>
    <row r="887" customFormat="false" ht="14.25" hidden="false" customHeight="false" outlineLevel="0" collapsed="false">
      <c r="A887" s="103" t="s">
        <v>1608</v>
      </c>
      <c r="B887" s="103" t="s">
        <v>525</v>
      </c>
      <c r="C887" s="104" t="n">
        <v>45953</v>
      </c>
      <c r="D887" s="103" t="s">
        <v>105</v>
      </c>
      <c r="E887" s="103" t="n">
        <v>50</v>
      </c>
      <c r="F887" s="103" t="s">
        <v>171</v>
      </c>
      <c r="G887" s="103" t="s">
        <v>81</v>
      </c>
      <c r="H887" s="103" t="n">
        <v>4.8</v>
      </c>
      <c r="I887" s="103" t="n">
        <v>735</v>
      </c>
      <c r="J887" s="103" t="n">
        <v>0</v>
      </c>
      <c r="K887" s="103" t="n">
        <v>0</v>
      </c>
      <c r="L887" s="103" t="s">
        <v>93</v>
      </c>
      <c r="M887" s="103" t="s">
        <v>65</v>
      </c>
      <c r="N887" s="103" t="s">
        <v>77</v>
      </c>
      <c r="O887" s="103" t="n">
        <v>17</v>
      </c>
      <c r="P887" s="103" t="n">
        <v>6.1</v>
      </c>
      <c r="Q887" s="103" t="n">
        <v>5</v>
      </c>
      <c r="R887" s="103" t="s">
        <v>136</v>
      </c>
      <c r="S887" s="103" t="n">
        <v>735</v>
      </c>
      <c r="T887" s="103" t="n">
        <v>735</v>
      </c>
      <c r="U887" s="103" t="s">
        <v>1542</v>
      </c>
      <c r="V887" s="103" t="n">
        <v>2025</v>
      </c>
    </row>
    <row r="888" customFormat="false" ht="14.25" hidden="false" customHeight="false" outlineLevel="0" collapsed="false">
      <c r="A888" s="103" t="s">
        <v>1609</v>
      </c>
      <c r="B888" s="103" t="s">
        <v>526</v>
      </c>
      <c r="C888" s="104" t="n">
        <v>45953</v>
      </c>
      <c r="D888" s="103" t="s">
        <v>106</v>
      </c>
      <c r="E888" s="103" t="n">
        <v>58</v>
      </c>
      <c r="F888" s="103" t="s">
        <v>170</v>
      </c>
      <c r="G888" s="103" t="s">
        <v>83</v>
      </c>
      <c r="H888" s="103" t="n">
        <v>2.8</v>
      </c>
      <c r="I888" s="103" t="n">
        <v>294</v>
      </c>
      <c r="J888" s="103" t="n">
        <v>60</v>
      </c>
      <c r="K888" s="103" t="n">
        <v>200</v>
      </c>
      <c r="L888" s="103" t="s">
        <v>95</v>
      </c>
      <c r="M888" s="103" t="s">
        <v>66</v>
      </c>
      <c r="N888" s="103" t="s">
        <v>77</v>
      </c>
      <c r="O888" s="103" t="n">
        <v>65</v>
      </c>
      <c r="P888" s="103" t="n">
        <v>14.2</v>
      </c>
      <c r="Q888" s="103" t="n">
        <v>3</v>
      </c>
      <c r="R888" s="103" t="s">
        <v>136</v>
      </c>
      <c r="S888" s="103" t="n">
        <v>354</v>
      </c>
      <c r="T888" s="103" t="n">
        <v>154</v>
      </c>
      <c r="U888" s="103" t="s">
        <v>1542</v>
      </c>
      <c r="V888" s="103" t="n">
        <v>2025</v>
      </c>
    </row>
    <row r="889" customFormat="false" ht="14.25" hidden="false" customHeight="false" outlineLevel="0" collapsed="false">
      <c r="A889" s="103" t="s">
        <v>1610</v>
      </c>
      <c r="B889" s="103" t="s">
        <v>527</v>
      </c>
      <c r="C889" s="104" t="n">
        <v>45953</v>
      </c>
      <c r="D889" s="103" t="s">
        <v>105</v>
      </c>
      <c r="E889" s="103" t="n">
        <v>42</v>
      </c>
      <c r="F889" s="103" t="s">
        <v>170</v>
      </c>
      <c r="G889" s="103" t="s">
        <v>86</v>
      </c>
      <c r="H889" s="103" t="n">
        <v>3.1</v>
      </c>
      <c r="I889" s="103" t="n">
        <v>1300</v>
      </c>
      <c r="J889" s="103" t="n">
        <v>30</v>
      </c>
      <c r="K889" s="103" t="n">
        <v>20</v>
      </c>
      <c r="L889" s="103" t="s">
        <v>97</v>
      </c>
      <c r="M889" s="103" t="s">
        <v>65</v>
      </c>
      <c r="N889" s="103" t="s">
        <v>78</v>
      </c>
      <c r="O889" s="103" t="n">
        <v>61</v>
      </c>
      <c r="P889" s="103" t="n">
        <v>9</v>
      </c>
      <c r="Q889" s="103" t="n">
        <v>5</v>
      </c>
      <c r="R889" s="103" t="s">
        <v>136</v>
      </c>
      <c r="S889" s="103" t="n">
        <v>1330</v>
      </c>
      <c r="T889" s="103" t="n">
        <v>1310</v>
      </c>
      <c r="U889" s="103" t="s">
        <v>1542</v>
      </c>
      <c r="V889" s="103" t="n">
        <v>2025</v>
      </c>
    </row>
    <row r="890" customFormat="false" ht="14.25" hidden="false" customHeight="false" outlineLevel="0" collapsed="false">
      <c r="A890" s="103" t="s">
        <v>1611</v>
      </c>
      <c r="B890" s="103" t="s">
        <v>528</v>
      </c>
      <c r="C890" s="104" t="n">
        <v>45954</v>
      </c>
      <c r="D890" s="103" t="s">
        <v>106</v>
      </c>
      <c r="E890" s="103" t="n">
        <v>30</v>
      </c>
      <c r="F890" s="103" t="s">
        <v>171</v>
      </c>
      <c r="G890" s="103" t="s">
        <v>83</v>
      </c>
      <c r="H890" s="103" t="n">
        <v>4.4</v>
      </c>
      <c r="I890" s="103" t="n">
        <v>623</v>
      </c>
      <c r="J890" s="103" t="n">
        <v>20</v>
      </c>
      <c r="K890" s="103" t="n">
        <v>20</v>
      </c>
      <c r="L890" s="103" t="s">
        <v>94</v>
      </c>
      <c r="M890" s="103" t="s">
        <v>65</v>
      </c>
      <c r="N890" s="103" t="s">
        <v>78</v>
      </c>
      <c r="O890" s="103" t="n">
        <v>51</v>
      </c>
      <c r="P890" s="103" t="n">
        <v>5.5</v>
      </c>
      <c r="Q890" s="103" t="n">
        <v>3</v>
      </c>
      <c r="R890" s="103" t="s">
        <v>141</v>
      </c>
      <c r="S890" s="103" t="n">
        <v>643</v>
      </c>
      <c r="T890" s="103" t="n">
        <v>623</v>
      </c>
      <c r="U890" s="103" t="s">
        <v>1542</v>
      </c>
      <c r="V890" s="103" t="n">
        <v>2025</v>
      </c>
    </row>
    <row r="891" customFormat="false" ht="14.25" hidden="false" customHeight="false" outlineLevel="0" collapsed="false">
      <c r="A891" s="103" t="s">
        <v>1612</v>
      </c>
      <c r="B891" s="103" t="s">
        <v>529</v>
      </c>
      <c r="C891" s="104" t="n">
        <v>45954</v>
      </c>
      <c r="D891" s="103" t="s">
        <v>105</v>
      </c>
      <c r="E891" s="103" t="n">
        <v>26</v>
      </c>
      <c r="F891" s="103" t="s">
        <v>170</v>
      </c>
      <c r="G891" s="103" t="s">
        <v>88</v>
      </c>
      <c r="H891" s="103" t="n">
        <v>3.2</v>
      </c>
      <c r="I891" s="103" t="n">
        <v>572</v>
      </c>
      <c r="J891" s="103" t="n">
        <v>40</v>
      </c>
      <c r="K891" s="103" t="n">
        <v>10</v>
      </c>
      <c r="L891" s="103" t="s">
        <v>95</v>
      </c>
      <c r="M891" s="103" t="s">
        <v>65</v>
      </c>
      <c r="N891" s="103" t="s">
        <v>77</v>
      </c>
      <c r="O891" s="103" t="n">
        <v>45</v>
      </c>
      <c r="P891" s="103" t="n">
        <v>9.6</v>
      </c>
      <c r="Q891" s="103" t="n">
        <v>2</v>
      </c>
      <c r="R891" s="103" t="s">
        <v>139</v>
      </c>
      <c r="S891" s="103" t="n">
        <v>612</v>
      </c>
      <c r="T891" s="103" t="n">
        <v>602</v>
      </c>
      <c r="U891" s="103" t="s">
        <v>1542</v>
      </c>
      <c r="V891" s="103" t="n">
        <v>2025</v>
      </c>
    </row>
    <row r="892" customFormat="false" ht="14.25" hidden="false" customHeight="false" outlineLevel="0" collapsed="false">
      <c r="A892" s="103" t="s">
        <v>1613</v>
      </c>
      <c r="B892" s="103" t="s">
        <v>530</v>
      </c>
      <c r="C892" s="104" t="n">
        <v>45954</v>
      </c>
      <c r="D892" s="103" t="s">
        <v>109</v>
      </c>
      <c r="E892" s="103" t="n">
        <v>30</v>
      </c>
      <c r="F892" s="103" t="s">
        <v>171</v>
      </c>
      <c r="G892" s="103" t="s">
        <v>81</v>
      </c>
      <c r="H892" s="103" t="n">
        <v>4.1</v>
      </c>
      <c r="I892" s="103" t="n">
        <v>1797</v>
      </c>
      <c r="J892" s="103" t="n">
        <v>50</v>
      </c>
      <c r="K892" s="103" t="n">
        <v>150</v>
      </c>
      <c r="L892" s="103" t="s">
        <v>96</v>
      </c>
      <c r="M892" s="103" t="s">
        <v>66</v>
      </c>
      <c r="N892" s="103" t="s">
        <v>78</v>
      </c>
      <c r="O892" s="103" t="n">
        <v>25</v>
      </c>
      <c r="P892" s="103" t="n">
        <v>13.7</v>
      </c>
      <c r="Q892" s="103" t="n">
        <v>3</v>
      </c>
      <c r="R892" s="103" t="s">
        <v>142</v>
      </c>
      <c r="S892" s="103" t="n">
        <v>1847</v>
      </c>
      <c r="T892" s="103" t="n">
        <v>1697</v>
      </c>
      <c r="U892" s="103" t="s">
        <v>1542</v>
      </c>
      <c r="V892" s="103" t="n">
        <v>2025</v>
      </c>
    </row>
    <row r="893" customFormat="false" ht="14.25" hidden="false" customHeight="false" outlineLevel="0" collapsed="false">
      <c r="A893" s="103" t="s">
        <v>1614</v>
      </c>
      <c r="B893" s="103" t="s">
        <v>531</v>
      </c>
      <c r="C893" s="104" t="n">
        <v>45955</v>
      </c>
      <c r="D893" s="103" t="s">
        <v>102</v>
      </c>
      <c r="E893" s="103" t="n">
        <v>48</v>
      </c>
      <c r="F893" s="103" t="s">
        <v>171</v>
      </c>
      <c r="G893" s="103" t="s">
        <v>85</v>
      </c>
      <c r="H893" s="103" t="n">
        <v>2.7</v>
      </c>
      <c r="I893" s="103" t="n">
        <v>1562</v>
      </c>
      <c r="J893" s="103" t="n">
        <v>50</v>
      </c>
      <c r="K893" s="103" t="n">
        <v>20</v>
      </c>
      <c r="L893" s="103" t="s">
        <v>93</v>
      </c>
      <c r="M893" s="103" t="s">
        <v>66</v>
      </c>
      <c r="N893" s="103" t="s">
        <v>77</v>
      </c>
      <c r="O893" s="103" t="n">
        <v>36</v>
      </c>
      <c r="P893" s="103" t="n">
        <v>4.5</v>
      </c>
      <c r="Q893" s="103" t="n">
        <v>5</v>
      </c>
      <c r="R893" s="103" t="s">
        <v>138</v>
      </c>
      <c r="S893" s="103" t="n">
        <v>1612</v>
      </c>
      <c r="T893" s="103" t="n">
        <v>1592</v>
      </c>
      <c r="U893" s="103" t="s">
        <v>1542</v>
      </c>
      <c r="V893" s="103" t="n">
        <v>2025</v>
      </c>
    </row>
    <row r="894" customFormat="false" ht="14.25" hidden="false" customHeight="false" outlineLevel="0" collapsed="false">
      <c r="A894" s="103" t="s">
        <v>1615</v>
      </c>
      <c r="B894" s="103" t="s">
        <v>532</v>
      </c>
      <c r="C894" s="104" t="n">
        <v>45955</v>
      </c>
      <c r="D894" s="103" t="s">
        <v>102</v>
      </c>
      <c r="E894" s="103" t="n">
        <v>58</v>
      </c>
      <c r="F894" s="103" t="s">
        <v>171</v>
      </c>
      <c r="G894" s="103" t="s">
        <v>84</v>
      </c>
      <c r="H894" s="103" t="n">
        <v>3.6</v>
      </c>
      <c r="I894" s="103" t="n">
        <v>805</v>
      </c>
      <c r="J894" s="103" t="n">
        <v>60</v>
      </c>
      <c r="K894" s="103" t="n">
        <v>75</v>
      </c>
      <c r="L894" s="103" t="s">
        <v>95</v>
      </c>
      <c r="M894" s="103" t="s">
        <v>65</v>
      </c>
      <c r="N894" s="103" t="s">
        <v>77</v>
      </c>
      <c r="O894" s="103" t="n">
        <v>32</v>
      </c>
      <c r="P894" s="103" t="n">
        <v>7.8</v>
      </c>
      <c r="Q894" s="103" t="n">
        <v>5</v>
      </c>
      <c r="R894" s="103" t="s">
        <v>135</v>
      </c>
      <c r="S894" s="103" t="n">
        <v>865</v>
      </c>
      <c r="T894" s="103" t="n">
        <v>790</v>
      </c>
      <c r="U894" s="103" t="s">
        <v>1542</v>
      </c>
      <c r="V894" s="103" t="n">
        <v>2025</v>
      </c>
    </row>
    <row r="895" customFormat="false" ht="14.25" hidden="false" customHeight="false" outlineLevel="0" collapsed="false">
      <c r="A895" s="103" t="s">
        <v>1616</v>
      </c>
      <c r="B895" s="103" t="s">
        <v>533</v>
      </c>
      <c r="C895" s="104" t="n">
        <v>45955</v>
      </c>
      <c r="D895" s="103" t="s">
        <v>111</v>
      </c>
      <c r="E895" s="103" t="n">
        <v>28</v>
      </c>
      <c r="F895" s="103" t="s">
        <v>170</v>
      </c>
      <c r="G895" s="103" t="s">
        <v>85</v>
      </c>
      <c r="H895" s="103" t="n">
        <v>4.3</v>
      </c>
      <c r="I895" s="103" t="n">
        <v>1767</v>
      </c>
      <c r="J895" s="103" t="n">
        <v>60</v>
      </c>
      <c r="K895" s="103" t="n">
        <v>10</v>
      </c>
      <c r="L895" s="103" t="s">
        <v>94</v>
      </c>
      <c r="M895" s="103" t="s">
        <v>65</v>
      </c>
      <c r="N895" s="103" t="s">
        <v>78</v>
      </c>
      <c r="O895" s="103" t="n">
        <v>49</v>
      </c>
      <c r="P895" s="103" t="n">
        <v>14.4</v>
      </c>
      <c r="Q895" s="103" t="n">
        <v>5</v>
      </c>
      <c r="R895" s="103" t="s">
        <v>137</v>
      </c>
      <c r="S895" s="103" t="n">
        <v>1827</v>
      </c>
      <c r="T895" s="103" t="n">
        <v>1817</v>
      </c>
      <c r="U895" s="103" t="s">
        <v>1542</v>
      </c>
      <c r="V895" s="103" t="n">
        <v>2025</v>
      </c>
    </row>
    <row r="896" customFormat="false" ht="14.25" hidden="false" customHeight="false" outlineLevel="0" collapsed="false">
      <c r="A896" s="103" t="s">
        <v>1617</v>
      </c>
      <c r="B896" s="103" t="s">
        <v>534</v>
      </c>
      <c r="C896" s="104" t="n">
        <v>45956</v>
      </c>
      <c r="D896" s="103" t="s">
        <v>110</v>
      </c>
      <c r="E896" s="103" t="n">
        <v>21</v>
      </c>
      <c r="F896" s="103" t="s">
        <v>172</v>
      </c>
      <c r="G896" s="103" t="s">
        <v>82</v>
      </c>
      <c r="H896" s="103" t="n">
        <v>4.2</v>
      </c>
      <c r="I896" s="103" t="n">
        <v>1212</v>
      </c>
      <c r="J896" s="103" t="n">
        <v>40</v>
      </c>
      <c r="K896" s="103" t="n">
        <v>100</v>
      </c>
      <c r="L896" s="103" t="s">
        <v>94</v>
      </c>
      <c r="M896" s="103" t="s">
        <v>65</v>
      </c>
      <c r="N896" s="103" t="s">
        <v>78</v>
      </c>
      <c r="O896" s="103" t="n">
        <v>20</v>
      </c>
      <c r="P896" s="103" t="n">
        <v>3</v>
      </c>
      <c r="Q896" s="103" t="n">
        <v>4</v>
      </c>
      <c r="R896" s="103" t="s">
        <v>135</v>
      </c>
      <c r="S896" s="103" t="n">
        <v>1252</v>
      </c>
      <c r="T896" s="103" t="n">
        <v>1152</v>
      </c>
      <c r="U896" s="103" t="s">
        <v>1542</v>
      </c>
      <c r="V896" s="103" t="n">
        <v>2025</v>
      </c>
    </row>
    <row r="897" customFormat="false" ht="14.25" hidden="false" customHeight="false" outlineLevel="0" collapsed="false">
      <c r="A897" s="103" t="s">
        <v>1618</v>
      </c>
      <c r="B897" s="103" t="s">
        <v>535</v>
      </c>
      <c r="C897" s="104" t="n">
        <v>45956</v>
      </c>
      <c r="D897" s="103" t="s">
        <v>104</v>
      </c>
      <c r="E897" s="103" t="n">
        <v>51</v>
      </c>
      <c r="F897" s="103" t="s">
        <v>170</v>
      </c>
      <c r="G897" s="103" t="s">
        <v>89</v>
      </c>
      <c r="H897" s="103" t="n">
        <v>4.5</v>
      </c>
      <c r="I897" s="103" t="n">
        <v>1367</v>
      </c>
      <c r="J897" s="103" t="n">
        <v>20</v>
      </c>
      <c r="K897" s="103" t="n">
        <v>30</v>
      </c>
      <c r="L897" s="103" t="s">
        <v>93</v>
      </c>
      <c r="M897" s="103" t="s">
        <v>65</v>
      </c>
      <c r="N897" s="103" t="s">
        <v>77</v>
      </c>
      <c r="O897" s="103" t="n">
        <v>17</v>
      </c>
      <c r="P897" s="103" t="n">
        <v>10.9</v>
      </c>
      <c r="Q897" s="103" t="n">
        <v>5</v>
      </c>
      <c r="R897" s="103" t="s">
        <v>141</v>
      </c>
      <c r="S897" s="103" t="n">
        <v>1387</v>
      </c>
      <c r="T897" s="103" t="n">
        <v>1357</v>
      </c>
      <c r="U897" s="103" t="s">
        <v>1542</v>
      </c>
      <c r="V897" s="103" t="n">
        <v>2025</v>
      </c>
    </row>
    <row r="898" customFormat="false" ht="14.25" hidden="false" customHeight="false" outlineLevel="0" collapsed="false">
      <c r="A898" s="103" t="s">
        <v>1619</v>
      </c>
      <c r="B898" s="103" t="s">
        <v>536</v>
      </c>
      <c r="C898" s="104" t="n">
        <v>45956</v>
      </c>
      <c r="D898" s="103" t="s">
        <v>102</v>
      </c>
      <c r="E898" s="103" t="n">
        <v>55</v>
      </c>
      <c r="F898" s="103" t="s">
        <v>171</v>
      </c>
      <c r="G898" s="103" t="s">
        <v>87</v>
      </c>
      <c r="H898" s="103" t="n">
        <v>4.7</v>
      </c>
      <c r="I898" s="103" t="n">
        <v>173</v>
      </c>
      <c r="J898" s="103" t="n">
        <v>0</v>
      </c>
      <c r="K898" s="103" t="n">
        <v>200</v>
      </c>
      <c r="L898" s="103" t="s">
        <v>95</v>
      </c>
      <c r="M898" s="103" t="s">
        <v>65</v>
      </c>
      <c r="N898" s="103" t="s">
        <v>78</v>
      </c>
      <c r="O898" s="103" t="n">
        <v>19</v>
      </c>
      <c r="P898" s="103" t="n">
        <v>9.4</v>
      </c>
      <c r="Q898" s="103" t="n">
        <v>4</v>
      </c>
      <c r="R898" s="103" t="s">
        <v>132</v>
      </c>
      <c r="S898" s="103" t="n">
        <v>173</v>
      </c>
      <c r="T898" s="103" t="n">
        <v>0</v>
      </c>
      <c r="U898" s="103" t="s">
        <v>1542</v>
      </c>
      <c r="V898" s="103" t="n">
        <v>2025</v>
      </c>
    </row>
    <row r="899" customFormat="false" ht="14.25" hidden="false" customHeight="false" outlineLevel="0" collapsed="false">
      <c r="A899" s="103" t="s">
        <v>1620</v>
      </c>
      <c r="B899" s="103" t="s">
        <v>537</v>
      </c>
      <c r="C899" s="104" t="n">
        <v>45957</v>
      </c>
      <c r="D899" s="103" t="s">
        <v>102</v>
      </c>
      <c r="E899" s="103" t="n">
        <v>21</v>
      </c>
      <c r="F899" s="103" t="s">
        <v>170</v>
      </c>
      <c r="G899" s="103" t="s">
        <v>88</v>
      </c>
      <c r="H899" s="103" t="n">
        <v>4.4</v>
      </c>
      <c r="I899" s="103" t="n">
        <v>324</v>
      </c>
      <c r="J899" s="103" t="n">
        <v>30</v>
      </c>
      <c r="K899" s="103" t="n">
        <v>200</v>
      </c>
      <c r="L899" s="103" t="s">
        <v>95</v>
      </c>
      <c r="M899" s="103" t="s">
        <v>67</v>
      </c>
      <c r="N899" s="103" t="s">
        <v>78</v>
      </c>
      <c r="O899" s="103" t="n">
        <v>23</v>
      </c>
      <c r="P899" s="103" t="n">
        <v>10.4</v>
      </c>
      <c r="Q899" s="103" t="n">
        <v>5</v>
      </c>
      <c r="R899" s="103" t="s">
        <v>133</v>
      </c>
      <c r="S899" s="103" t="n">
        <v>354</v>
      </c>
      <c r="T899" s="103" t="n">
        <v>154</v>
      </c>
      <c r="U899" s="103" t="s">
        <v>1542</v>
      </c>
      <c r="V899" s="103" t="n">
        <v>2025</v>
      </c>
    </row>
    <row r="900" customFormat="false" ht="14.25" hidden="false" customHeight="false" outlineLevel="0" collapsed="false">
      <c r="A900" s="103" t="s">
        <v>1621</v>
      </c>
      <c r="B900" s="103" t="s">
        <v>538</v>
      </c>
      <c r="C900" s="104" t="n">
        <v>45957</v>
      </c>
      <c r="D900" s="103" t="s">
        <v>103</v>
      </c>
      <c r="E900" s="103" t="n">
        <v>55</v>
      </c>
      <c r="F900" s="103" t="s">
        <v>171</v>
      </c>
      <c r="G900" s="103" t="s">
        <v>88</v>
      </c>
      <c r="H900" s="103" t="n">
        <v>4.2</v>
      </c>
      <c r="I900" s="103" t="n">
        <v>1184</v>
      </c>
      <c r="J900" s="103" t="n">
        <v>50</v>
      </c>
      <c r="K900" s="103" t="n">
        <v>100</v>
      </c>
      <c r="L900" s="103" t="s">
        <v>93</v>
      </c>
      <c r="M900" s="103" t="s">
        <v>67</v>
      </c>
      <c r="N900" s="103" t="s">
        <v>77</v>
      </c>
      <c r="O900" s="103" t="n">
        <v>42</v>
      </c>
      <c r="P900" s="103" t="n">
        <v>5.6</v>
      </c>
      <c r="Q900" s="103" t="n">
        <v>5</v>
      </c>
      <c r="R900" s="103" t="s">
        <v>134</v>
      </c>
      <c r="S900" s="103" t="n">
        <v>1234</v>
      </c>
      <c r="T900" s="103" t="n">
        <v>1134</v>
      </c>
      <c r="U900" s="103" t="s">
        <v>1542</v>
      </c>
      <c r="V900" s="103" t="n">
        <v>2025</v>
      </c>
    </row>
    <row r="901" customFormat="false" ht="14.25" hidden="false" customHeight="false" outlineLevel="0" collapsed="false">
      <c r="A901" s="103" t="s">
        <v>1622</v>
      </c>
      <c r="B901" s="103" t="s">
        <v>539</v>
      </c>
      <c r="C901" s="104" t="n">
        <v>45957</v>
      </c>
      <c r="D901" s="103" t="s">
        <v>103</v>
      </c>
      <c r="E901" s="103" t="n">
        <v>36</v>
      </c>
      <c r="F901" s="103" t="s">
        <v>170</v>
      </c>
      <c r="G901" s="103" t="s">
        <v>89</v>
      </c>
      <c r="H901" s="103" t="n">
        <v>2.6</v>
      </c>
      <c r="I901" s="103" t="n">
        <v>1630</v>
      </c>
      <c r="J901" s="103" t="n">
        <v>30</v>
      </c>
      <c r="K901" s="103" t="n">
        <v>150</v>
      </c>
      <c r="L901" s="103" t="s">
        <v>94</v>
      </c>
      <c r="M901" s="103" t="s">
        <v>65</v>
      </c>
      <c r="N901" s="103" t="s">
        <v>78</v>
      </c>
      <c r="O901" s="103" t="n">
        <v>33</v>
      </c>
      <c r="P901" s="103" t="n">
        <v>5.1</v>
      </c>
      <c r="Q901" s="103" t="n">
        <v>5</v>
      </c>
      <c r="R901" s="103" t="s">
        <v>142</v>
      </c>
      <c r="S901" s="103" t="n">
        <v>1660</v>
      </c>
      <c r="T901" s="103" t="n">
        <v>1510</v>
      </c>
      <c r="U901" s="103" t="s">
        <v>1542</v>
      </c>
      <c r="V901" s="103" t="n">
        <v>2025</v>
      </c>
    </row>
    <row r="902" customFormat="false" ht="14.25" hidden="false" customHeight="false" outlineLevel="0" collapsed="false">
      <c r="A902" s="103" t="s">
        <v>1623</v>
      </c>
      <c r="B902" s="103" t="s">
        <v>540</v>
      </c>
      <c r="C902" s="104" t="n">
        <v>45958</v>
      </c>
      <c r="D902" s="103" t="s">
        <v>110</v>
      </c>
      <c r="E902" s="103" t="n">
        <v>23</v>
      </c>
      <c r="F902" s="103" t="s">
        <v>170</v>
      </c>
      <c r="G902" s="103" t="s">
        <v>84</v>
      </c>
      <c r="H902" s="103" t="n">
        <v>3.8</v>
      </c>
      <c r="I902" s="103" t="n">
        <v>1168</v>
      </c>
      <c r="J902" s="103" t="n">
        <v>0</v>
      </c>
      <c r="K902" s="103" t="n">
        <v>20</v>
      </c>
      <c r="L902" s="103" t="s">
        <v>93</v>
      </c>
      <c r="M902" s="103" t="s">
        <v>65</v>
      </c>
      <c r="N902" s="103" t="s">
        <v>77</v>
      </c>
      <c r="O902" s="103" t="n">
        <v>42</v>
      </c>
      <c r="P902" s="103" t="n">
        <v>10.4</v>
      </c>
      <c r="Q902" s="103" t="n">
        <v>2</v>
      </c>
      <c r="R902" s="103" t="s">
        <v>142</v>
      </c>
      <c r="S902" s="103" t="n">
        <v>1168</v>
      </c>
      <c r="T902" s="103" t="n">
        <v>1148</v>
      </c>
      <c r="U902" s="103" t="s">
        <v>1542</v>
      </c>
      <c r="V902" s="103" t="n">
        <v>2025</v>
      </c>
    </row>
    <row r="903" customFormat="false" ht="14.25" hidden="false" customHeight="false" outlineLevel="0" collapsed="false">
      <c r="A903" s="103" t="s">
        <v>1624</v>
      </c>
      <c r="B903" s="103" t="s">
        <v>541</v>
      </c>
      <c r="C903" s="104" t="n">
        <v>45958</v>
      </c>
      <c r="D903" s="103" t="s">
        <v>101</v>
      </c>
      <c r="E903" s="103" t="n">
        <v>51</v>
      </c>
      <c r="F903" s="103" t="s">
        <v>171</v>
      </c>
      <c r="G903" s="103" t="s">
        <v>87</v>
      </c>
      <c r="H903" s="103" t="n">
        <v>2.6</v>
      </c>
      <c r="I903" s="103" t="n">
        <v>345</v>
      </c>
      <c r="J903" s="103" t="n">
        <v>60</v>
      </c>
      <c r="K903" s="103" t="n">
        <v>50</v>
      </c>
      <c r="L903" s="103" t="s">
        <v>96</v>
      </c>
      <c r="M903" s="103" t="s">
        <v>67</v>
      </c>
      <c r="N903" s="103" t="s">
        <v>77</v>
      </c>
      <c r="O903" s="103" t="n">
        <v>41</v>
      </c>
      <c r="P903" s="103" t="n">
        <v>3.6</v>
      </c>
      <c r="Q903" s="103" t="n">
        <v>4</v>
      </c>
      <c r="R903" s="103" t="s">
        <v>133</v>
      </c>
      <c r="S903" s="103" t="n">
        <v>405</v>
      </c>
      <c r="T903" s="103" t="n">
        <v>355</v>
      </c>
      <c r="U903" s="103" t="s">
        <v>1542</v>
      </c>
      <c r="V903" s="103" t="n">
        <v>2025</v>
      </c>
    </row>
    <row r="904" customFormat="false" ht="14.25" hidden="false" customHeight="false" outlineLevel="0" collapsed="false">
      <c r="A904" s="103" t="s">
        <v>1625</v>
      </c>
      <c r="B904" s="103" t="s">
        <v>542</v>
      </c>
      <c r="C904" s="104" t="n">
        <v>45958</v>
      </c>
      <c r="D904" s="103" t="s">
        <v>104</v>
      </c>
      <c r="E904" s="103" t="n">
        <v>35</v>
      </c>
      <c r="F904" s="103" t="s">
        <v>170</v>
      </c>
      <c r="G904" s="103" t="s">
        <v>86</v>
      </c>
      <c r="H904" s="103" t="n">
        <v>4.5</v>
      </c>
      <c r="I904" s="103" t="n">
        <v>314</v>
      </c>
      <c r="J904" s="103" t="n">
        <v>50</v>
      </c>
      <c r="K904" s="103" t="n">
        <v>10</v>
      </c>
      <c r="L904" s="103" t="s">
        <v>94</v>
      </c>
      <c r="M904" s="103" t="s">
        <v>65</v>
      </c>
      <c r="N904" s="103" t="s">
        <v>78</v>
      </c>
      <c r="O904" s="103" t="n">
        <v>27</v>
      </c>
      <c r="P904" s="103" t="n">
        <v>6.6</v>
      </c>
      <c r="Q904" s="103" t="n">
        <v>4</v>
      </c>
      <c r="R904" s="103" t="s">
        <v>140</v>
      </c>
      <c r="S904" s="103" t="n">
        <v>364</v>
      </c>
      <c r="T904" s="103" t="n">
        <v>354</v>
      </c>
      <c r="U904" s="103" t="s">
        <v>1542</v>
      </c>
      <c r="V904" s="103" t="n">
        <v>2025</v>
      </c>
    </row>
    <row r="905" customFormat="false" ht="14.25" hidden="false" customHeight="false" outlineLevel="0" collapsed="false">
      <c r="A905" s="103" t="s">
        <v>1626</v>
      </c>
      <c r="B905" s="103" t="s">
        <v>543</v>
      </c>
      <c r="C905" s="104" t="n">
        <v>45959</v>
      </c>
      <c r="D905" s="103" t="s">
        <v>107</v>
      </c>
      <c r="E905" s="103" t="n">
        <v>30</v>
      </c>
      <c r="F905" s="103" t="s">
        <v>170</v>
      </c>
      <c r="G905" s="103" t="s">
        <v>81</v>
      </c>
      <c r="H905" s="103" t="n">
        <v>3.3</v>
      </c>
      <c r="I905" s="103" t="n">
        <v>1538</v>
      </c>
      <c r="J905" s="103" t="n">
        <v>30</v>
      </c>
      <c r="K905" s="103" t="n">
        <v>100</v>
      </c>
      <c r="L905" s="103" t="s">
        <v>96</v>
      </c>
      <c r="M905" s="103" t="s">
        <v>65</v>
      </c>
      <c r="N905" s="103" t="s">
        <v>77</v>
      </c>
      <c r="O905" s="103" t="n">
        <v>52</v>
      </c>
      <c r="P905" s="103" t="n">
        <v>3.2</v>
      </c>
      <c r="Q905" s="103" t="n">
        <v>5</v>
      </c>
      <c r="R905" s="103" t="s">
        <v>134</v>
      </c>
      <c r="S905" s="103" t="n">
        <v>1568</v>
      </c>
      <c r="T905" s="103" t="n">
        <v>1468</v>
      </c>
      <c r="U905" s="103" t="s">
        <v>1542</v>
      </c>
      <c r="V905" s="103" t="n">
        <v>2025</v>
      </c>
    </row>
    <row r="906" customFormat="false" ht="14.25" hidden="false" customHeight="false" outlineLevel="0" collapsed="false">
      <c r="A906" s="103" t="s">
        <v>1627</v>
      </c>
      <c r="B906" s="103" t="s">
        <v>544</v>
      </c>
      <c r="C906" s="104" t="n">
        <v>45959</v>
      </c>
      <c r="D906" s="103" t="s">
        <v>103</v>
      </c>
      <c r="E906" s="103" t="n">
        <v>58</v>
      </c>
      <c r="F906" s="103" t="s">
        <v>171</v>
      </c>
      <c r="G906" s="103" t="s">
        <v>87</v>
      </c>
      <c r="H906" s="103" t="n">
        <v>3.9</v>
      </c>
      <c r="I906" s="103" t="n">
        <v>354</v>
      </c>
      <c r="J906" s="103" t="n">
        <v>60</v>
      </c>
      <c r="K906" s="103" t="n">
        <v>150</v>
      </c>
      <c r="L906" s="103" t="s">
        <v>93</v>
      </c>
      <c r="M906" s="103" t="s">
        <v>65</v>
      </c>
      <c r="N906" s="103" t="s">
        <v>78</v>
      </c>
      <c r="O906" s="103" t="n">
        <v>57</v>
      </c>
      <c r="P906" s="103" t="n">
        <v>0.6</v>
      </c>
      <c r="Q906" s="103" t="n">
        <v>4</v>
      </c>
      <c r="R906" s="103" t="s">
        <v>137</v>
      </c>
      <c r="S906" s="103" t="n">
        <v>414</v>
      </c>
      <c r="T906" s="103" t="n">
        <v>264</v>
      </c>
      <c r="U906" s="103" t="s">
        <v>1542</v>
      </c>
      <c r="V906" s="103" t="n">
        <v>2025</v>
      </c>
    </row>
    <row r="907" customFormat="false" ht="14.25" hidden="false" customHeight="false" outlineLevel="0" collapsed="false">
      <c r="A907" s="103" t="s">
        <v>1628</v>
      </c>
      <c r="B907" s="103" t="s">
        <v>545</v>
      </c>
      <c r="C907" s="104" t="n">
        <v>45959</v>
      </c>
      <c r="D907" s="103" t="s">
        <v>107</v>
      </c>
      <c r="E907" s="103" t="n">
        <v>40</v>
      </c>
      <c r="F907" s="103" t="s">
        <v>170</v>
      </c>
      <c r="G907" s="103" t="s">
        <v>84</v>
      </c>
      <c r="H907" s="103" t="n">
        <v>3.2</v>
      </c>
      <c r="I907" s="103" t="n">
        <v>994</v>
      </c>
      <c r="J907" s="103" t="n">
        <v>0</v>
      </c>
      <c r="K907" s="103" t="n">
        <v>200</v>
      </c>
      <c r="L907" s="103" t="s">
        <v>93</v>
      </c>
      <c r="M907" s="103" t="s">
        <v>65</v>
      </c>
      <c r="N907" s="103" t="s">
        <v>77</v>
      </c>
      <c r="O907" s="103" t="n">
        <v>67</v>
      </c>
      <c r="P907" s="103" t="n">
        <v>14.6</v>
      </c>
      <c r="Q907" s="103" t="n">
        <v>4</v>
      </c>
      <c r="R907" s="103" t="s">
        <v>137</v>
      </c>
      <c r="S907" s="103" t="n">
        <v>994</v>
      </c>
      <c r="T907" s="103" t="n">
        <v>794</v>
      </c>
      <c r="U907" s="103" t="s">
        <v>1542</v>
      </c>
      <c r="V907" s="103" t="n">
        <v>2025</v>
      </c>
    </row>
    <row r="908" customFormat="false" ht="14.25" hidden="false" customHeight="false" outlineLevel="0" collapsed="false">
      <c r="A908" s="103" t="s">
        <v>1629</v>
      </c>
      <c r="B908" s="103" t="s">
        <v>546</v>
      </c>
      <c r="C908" s="104" t="n">
        <v>45960</v>
      </c>
      <c r="D908" s="103" t="s">
        <v>100</v>
      </c>
      <c r="E908" s="103" t="n">
        <v>36</v>
      </c>
      <c r="F908" s="103" t="s">
        <v>171</v>
      </c>
      <c r="G908" s="103" t="s">
        <v>90</v>
      </c>
      <c r="H908" s="103" t="n">
        <v>4.5</v>
      </c>
      <c r="I908" s="103" t="n">
        <v>182</v>
      </c>
      <c r="J908" s="103" t="n">
        <v>30</v>
      </c>
      <c r="K908" s="103" t="n">
        <v>100</v>
      </c>
      <c r="L908" s="103" t="s">
        <v>93</v>
      </c>
      <c r="M908" s="103" t="s">
        <v>65</v>
      </c>
      <c r="N908" s="103" t="s">
        <v>77</v>
      </c>
      <c r="O908" s="103" t="n">
        <v>35</v>
      </c>
      <c r="P908" s="103" t="n">
        <v>6.8</v>
      </c>
      <c r="Q908" s="103" t="n">
        <v>4</v>
      </c>
      <c r="R908" s="103" t="s">
        <v>131</v>
      </c>
      <c r="S908" s="103" t="n">
        <v>212</v>
      </c>
      <c r="T908" s="103" t="n">
        <v>112</v>
      </c>
      <c r="U908" s="103" t="s">
        <v>1542</v>
      </c>
      <c r="V908" s="103" t="n">
        <v>2025</v>
      </c>
    </row>
    <row r="909" customFormat="false" ht="14.25" hidden="false" customHeight="false" outlineLevel="0" collapsed="false">
      <c r="A909" s="103" t="s">
        <v>1630</v>
      </c>
      <c r="B909" s="103" t="s">
        <v>547</v>
      </c>
      <c r="C909" s="104" t="n">
        <v>45960</v>
      </c>
      <c r="D909" s="103" t="s">
        <v>103</v>
      </c>
      <c r="E909" s="103" t="n">
        <v>28</v>
      </c>
      <c r="F909" s="103" t="s">
        <v>170</v>
      </c>
      <c r="G909" s="103" t="s">
        <v>82</v>
      </c>
      <c r="H909" s="103" t="n">
        <v>4.7</v>
      </c>
      <c r="I909" s="103" t="n">
        <v>256</v>
      </c>
      <c r="J909" s="103" t="n">
        <v>20</v>
      </c>
      <c r="K909" s="103" t="n">
        <v>150</v>
      </c>
      <c r="L909" s="103" t="s">
        <v>93</v>
      </c>
      <c r="M909" s="103" t="s">
        <v>65</v>
      </c>
      <c r="N909" s="103" t="s">
        <v>77</v>
      </c>
      <c r="O909" s="103" t="n">
        <v>41</v>
      </c>
      <c r="P909" s="103" t="n">
        <v>14.6</v>
      </c>
      <c r="Q909" s="103" t="n">
        <v>3</v>
      </c>
      <c r="R909" s="103" t="s">
        <v>133</v>
      </c>
      <c r="S909" s="103" t="n">
        <v>276</v>
      </c>
      <c r="T909" s="103" t="n">
        <v>126</v>
      </c>
      <c r="U909" s="103" t="s">
        <v>1542</v>
      </c>
      <c r="V909" s="103" t="n">
        <v>2025</v>
      </c>
    </row>
    <row r="910" customFormat="false" ht="14.25" hidden="false" customHeight="false" outlineLevel="0" collapsed="false">
      <c r="A910" s="103" t="s">
        <v>1631</v>
      </c>
      <c r="B910" s="103" t="s">
        <v>548</v>
      </c>
      <c r="C910" s="104" t="n">
        <v>45960</v>
      </c>
      <c r="D910" s="103" t="s">
        <v>109</v>
      </c>
      <c r="E910" s="103" t="n">
        <v>18</v>
      </c>
      <c r="F910" s="103" t="s">
        <v>170</v>
      </c>
      <c r="G910" s="103" t="s">
        <v>87</v>
      </c>
      <c r="H910" s="103" t="n">
        <v>3.5</v>
      </c>
      <c r="I910" s="103" t="n">
        <v>1250</v>
      </c>
      <c r="J910" s="103" t="n">
        <v>60</v>
      </c>
      <c r="K910" s="103" t="n">
        <v>200</v>
      </c>
      <c r="L910" s="103" t="s">
        <v>93</v>
      </c>
      <c r="M910" s="103" t="s">
        <v>65</v>
      </c>
      <c r="N910" s="103" t="s">
        <v>78</v>
      </c>
      <c r="O910" s="103" t="n">
        <v>60</v>
      </c>
      <c r="P910" s="103" t="n">
        <v>2.5</v>
      </c>
      <c r="Q910" s="103" t="n">
        <v>3</v>
      </c>
      <c r="R910" s="103" t="s">
        <v>138</v>
      </c>
      <c r="S910" s="103" t="n">
        <v>1310</v>
      </c>
      <c r="T910" s="103" t="n">
        <v>1110</v>
      </c>
      <c r="U910" s="103" t="s">
        <v>1542</v>
      </c>
      <c r="V910" s="103" t="n">
        <v>2025</v>
      </c>
    </row>
    <row r="911" customFormat="false" ht="14.25" hidden="false" customHeight="false" outlineLevel="0" collapsed="false">
      <c r="A911" s="103" t="s">
        <v>1632</v>
      </c>
      <c r="B911" s="103" t="s">
        <v>549</v>
      </c>
      <c r="C911" s="104" t="n">
        <v>45961</v>
      </c>
      <c r="D911" s="103" t="s">
        <v>101</v>
      </c>
      <c r="E911" s="103" t="n">
        <v>41</v>
      </c>
      <c r="F911" s="103" t="s">
        <v>170</v>
      </c>
      <c r="G911" s="103" t="s">
        <v>87</v>
      </c>
      <c r="H911" s="103" t="n">
        <v>4.7</v>
      </c>
      <c r="I911" s="103" t="n">
        <v>1278</v>
      </c>
      <c r="J911" s="103" t="n">
        <v>0</v>
      </c>
      <c r="K911" s="103" t="n">
        <v>75</v>
      </c>
      <c r="L911" s="103" t="s">
        <v>94</v>
      </c>
      <c r="M911" s="103" t="s">
        <v>65</v>
      </c>
      <c r="N911" s="103" t="s">
        <v>77</v>
      </c>
      <c r="O911" s="103" t="n">
        <v>20</v>
      </c>
      <c r="P911" s="103" t="n">
        <v>9</v>
      </c>
      <c r="Q911" s="103" t="n">
        <v>5</v>
      </c>
      <c r="R911" s="103" t="s">
        <v>137</v>
      </c>
      <c r="S911" s="103" t="n">
        <v>1278</v>
      </c>
      <c r="T911" s="103" t="n">
        <v>1203</v>
      </c>
      <c r="U911" s="103" t="s">
        <v>1542</v>
      </c>
      <c r="V911" s="103" t="n">
        <v>2025</v>
      </c>
    </row>
    <row r="912" customFormat="false" ht="14.25" hidden="false" customHeight="false" outlineLevel="0" collapsed="false">
      <c r="A912" s="103" t="s">
        <v>1633</v>
      </c>
      <c r="B912" s="103" t="s">
        <v>550</v>
      </c>
      <c r="C912" s="104" t="n">
        <v>45961</v>
      </c>
      <c r="D912" s="103" t="s">
        <v>104</v>
      </c>
      <c r="E912" s="103" t="n">
        <v>24</v>
      </c>
      <c r="F912" s="103" t="s">
        <v>170</v>
      </c>
      <c r="G912" s="103" t="s">
        <v>82</v>
      </c>
      <c r="H912" s="103" t="n">
        <v>3.2</v>
      </c>
      <c r="I912" s="103" t="n">
        <v>694</v>
      </c>
      <c r="J912" s="103" t="n">
        <v>30</v>
      </c>
      <c r="K912" s="103" t="n">
        <v>10</v>
      </c>
      <c r="L912" s="103" t="s">
        <v>93</v>
      </c>
      <c r="M912" s="103" t="s">
        <v>65</v>
      </c>
      <c r="N912" s="103" t="s">
        <v>77</v>
      </c>
      <c r="O912" s="103" t="n">
        <v>52</v>
      </c>
      <c r="P912" s="103" t="n">
        <v>3.4</v>
      </c>
      <c r="Q912" s="103" t="n">
        <v>5</v>
      </c>
      <c r="R912" s="103" t="s">
        <v>139</v>
      </c>
      <c r="S912" s="103" t="n">
        <v>724</v>
      </c>
      <c r="T912" s="103" t="n">
        <v>714</v>
      </c>
      <c r="U912" s="103" t="s">
        <v>1542</v>
      </c>
      <c r="V912" s="103" t="n">
        <v>2025</v>
      </c>
    </row>
    <row r="913" customFormat="false" ht="14.25" hidden="false" customHeight="false" outlineLevel="0" collapsed="false">
      <c r="A913" s="103" t="s">
        <v>1634</v>
      </c>
      <c r="B913" s="103" t="s">
        <v>551</v>
      </c>
      <c r="C913" s="104" t="n">
        <v>45961</v>
      </c>
      <c r="D913" s="103" t="s">
        <v>110</v>
      </c>
      <c r="E913" s="103" t="n">
        <v>42</v>
      </c>
      <c r="F913" s="103" t="s">
        <v>170</v>
      </c>
      <c r="G913" s="103" t="s">
        <v>81</v>
      </c>
      <c r="H913" s="103" t="n">
        <v>3.8</v>
      </c>
      <c r="I913" s="103" t="n">
        <v>482</v>
      </c>
      <c r="J913" s="103" t="n">
        <v>20</v>
      </c>
      <c r="K913" s="103" t="n">
        <v>10</v>
      </c>
      <c r="L913" s="103" t="s">
        <v>94</v>
      </c>
      <c r="M913" s="103" t="s">
        <v>65</v>
      </c>
      <c r="N913" s="103" t="s">
        <v>77</v>
      </c>
      <c r="O913" s="103" t="n">
        <v>63</v>
      </c>
      <c r="P913" s="103" t="n">
        <v>12</v>
      </c>
      <c r="Q913" s="103" t="n">
        <v>5</v>
      </c>
      <c r="R913" s="103" t="s">
        <v>131</v>
      </c>
      <c r="S913" s="103" t="n">
        <v>502</v>
      </c>
      <c r="T913" s="103" t="n">
        <v>492</v>
      </c>
      <c r="U913" s="103" t="s">
        <v>1542</v>
      </c>
      <c r="V913" s="103" t="n">
        <v>2025</v>
      </c>
    </row>
    <row r="914" customFormat="false" ht="14.25" hidden="false" customHeight="false" outlineLevel="0" collapsed="false">
      <c r="A914" s="103" t="s">
        <v>1635</v>
      </c>
      <c r="B914" s="103" t="s">
        <v>552</v>
      </c>
      <c r="C914" s="104" t="n">
        <v>45962</v>
      </c>
      <c r="D914" s="103" t="s">
        <v>100</v>
      </c>
      <c r="E914" s="103" t="n">
        <v>38</v>
      </c>
      <c r="F914" s="103" t="s">
        <v>171</v>
      </c>
      <c r="G914" s="103" t="s">
        <v>87</v>
      </c>
      <c r="H914" s="103" t="n">
        <v>4.6</v>
      </c>
      <c r="I914" s="103" t="n">
        <v>1487</v>
      </c>
      <c r="J914" s="103" t="n">
        <v>20</v>
      </c>
      <c r="K914" s="103" t="n">
        <v>30</v>
      </c>
      <c r="L914" s="103" t="s">
        <v>93</v>
      </c>
      <c r="M914" s="103" t="s">
        <v>65</v>
      </c>
      <c r="N914" s="103" t="s">
        <v>78</v>
      </c>
      <c r="O914" s="103" t="n">
        <v>25</v>
      </c>
      <c r="P914" s="103" t="n">
        <v>11.9</v>
      </c>
      <c r="Q914" s="103" t="n">
        <v>5</v>
      </c>
      <c r="R914" s="103" t="s">
        <v>138</v>
      </c>
      <c r="S914" s="103" t="n">
        <v>1507</v>
      </c>
      <c r="T914" s="103" t="n">
        <v>1477</v>
      </c>
      <c r="U914" s="103" t="s">
        <v>1636</v>
      </c>
      <c r="V914" s="103" t="n">
        <v>2025</v>
      </c>
    </row>
    <row r="915" customFormat="false" ht="14.25" hidden="false" customHeight="false" outlineLevel="0" collapsed="false">
      <c r="A915" s="103" t="s">
        <v>1637</v>
      </c>
      <c r="B915" s="103" t="s">
        <v>553</v>
      </c>
      <c r="C915" s="104" t="n">
        <v>45962</v>
      </c>
      <c r="D915" s="103" t="s">
        <v>104</v>
      </c>
      <c r="E915" s="103" t="n">
        <v>32</v>
      </c>
      <c r="F915" s="103" t="s">
        <v>170</v>
      </c>
      <c r="G915" s="103" t="s">
        <v>82</v>
      </c>
      <c r="H915" s="103" t="n">
        <v>3.3</v>
      </c>
      <c r="I915" s="103" t="n">
        <v>485</v>
      </c>
      <c r="J915" s="103" t="n">
        <v>0</v>
      </c>
      <c r="K915" s="103" t="n">
        <v>200</v>
      </c>
      <c r="L915" s="103" t="s">
        <v>94</v>
      </c>
      <c r="M915" s="103" t="s">
        <v>65</v>
      </c>
      <c r="N915" s="103" t="s">
        <v>77</v>
      </c>
      <c r="O915" s="103" t="n">
        <v>61</v>
      </c>
      <c r="P915" s="103" t="n">
        <v>2.1</v>
      </c>
      <c r="Q915" s="103" t="n">
        <v>4</v>
      </c>
      <c r="R915" s="103" t="s">
        <v>134</v>
      </c>
      <c r="S915" s="103" t="n">
        <v>485</v>
      </c>
      <c r="T915" s="103" t="n">
        <v>285</v>
      </c>
      <c r="U915" s="103" t="s">
        <v>1636</v>
      </c>
      <c r="V915" s="103" t="n">
        <v>2025</v>
      </c>
    </row>
    <row r="916" customFormat="false" ht="14.25" hidden="false" customHeight="false" outlineLevel="0" collapsed="false">
      <c r="A916" s="103" t="s">
        <v>1638</v>
      </c>
      <c r="B916" s="103" t="s">
        <v>554</v>
      </c>
      <c r="C916" s="104" t="n">
        <v>45962</v>
      </c>
      <c r="D916" s="103" t="s">
        <v>111</v>
      </c>
      <c r="E916" s="103" t="n">
        <v>18</v>
      </c>
      <c r="F916" s="103" t="s">
        <v>171</v>
      </c>
      <c r="G916" s="103" t="s">
        <v>82</v>
      </c>
      <c r="H916" s="103" t="n">
        <v>4.9</v>
      </c>
      <c r="I916" s="103" t="n">
        <v>1031</v>
      </c>
      <c r="J916" s="103" t="n">
        <v>40</v>
      </c>
      <c r="K916" s="103" t="n">
        <v>100</v>
      </c>
      <c r="L916" s="103" t="s">
        <v>95</v>
      </c>
      <c r="M916" s="103" t="s">
        <v>65</v>
      </c>
      <c r="N916" s="103" t="s">
        <v>77</v>
      </c>
      <c r="O916" s="103" t="n">
        <v>55</v>
      </c>
      <c r="P916" s="103" t="n">
        <v>13.7</v>
      </c>
      <c r="Q916" s="103" t="n">
        <v>4</v>
      </c>
      <c r="R916" s="103" t="s">
        <v>133</v>
      </c>
      <c r="S916" s="103" t="n">
        <v>1071</v>
      </c>
      <c r="T916" s="103" t="n">
        <v>971</v>
      </c>
      <c r="U916" s="103" t="s">
        <v>1636</v>
      </c>
      <c r="V916" s="103" t="n">
        <v>2025</v>
      </c>
    </row>
    <row r="917" customFormat="false" ht="14.25" hidden="false" customHeight="false" outlineLevel="0" collapsed="false">
      <c r="A917" s="103" t="s">
        <v>1639</v>
      </c>
      <c r="B917" s="103" t="s">
        <v>555</v>
      </c>
      <c r="C917" s="104" t="n">
        <v>45963</v>
      </c>
      <c r="D917" s="103" t="s">
        <v>109</v>
      </c>
      <c r="E917" s="103" t="n">
        <v>29</v>
      </c>
      <c r="F917" s="103" t="s">
        <v>170</v>
      </c>
      <c r="G917" s="103" t="s">
        <v>82</v>
      </c>
      <c r="H917" s="103" t="n">
        <v>2.8</v>
      </c>
      <c r="I917" s="103" t="n">
        <v>1747</v>
      </c>
      <c r="J917" s="103" t="n">
        <v>50</v>
      </c>
      <c r="K917" s="103" t="n">
        <v>10</v>
      </c>
      <c r="L917" s="103" t="s">
        <v>95</v>
      </c>
      <c r="M917" s="103" t="s">
        <v>65</v>
      </c>
      <c r="N917" s="103" t="s">
        <v>77</v>
      </c>
      <c r="O917" s="103" t="n">
        <v>67</v>
      </c>
      <c r="P917" s="103" t="n">
        <v>3.3</v>
      </c>
      <c r="Q917" s="103" t="n">
        <v>2</v>
      </c>
      <c r="R917" s="103" t="s">
        <v>133</v>
      </c>
      <c r="S917" s="103" t="n">
        <v>1797</v>
      </c>
      <c r="T917" s="103" t="n">
        <v>1787</v>
      </c>
      <c r="U917" s="103" t="s">
        <v>1636</v>
      </c>
      <c r="V917" s="103" t="n">
        <v>2025</v>
      </c>
    </row>
    <row r="918" customFormat="false" ht="14.25" hidden="false" customHeight="false" outlineLevel="0" collapsed="false">
      <c r="A918" s="103" t="s">
        <v>1640</v>
      </c>
      <c r="B918" s="103" t="s">
        <v>556</v>
      </c>
      <c r="C918" s="104" t="n">
        <v>45963</v>
      </c>
      <c r="D918" s="103" t="s">
        <v>104</v>
      </c>
      <c r="E918" s="103" t="n">
        <v>24</v>
      </c>
      <c r="F918" s="103" t="s">
        <v>171</v>
      </c>
      <c r="G918" s="103" t="s">
        <v>83</v>
      </c>
      <c r="H918" s="103" t="n">
        <v>2.5</v>
      </c>
      <c r="I918" s="103" t="n">
        <v>368</v>
      </c>
      <c r="J918" s="103" t="n">
        <v>0</v>
      </c>
      <c r="K918" s="103" t="n">
        <v>150</v>
      </c>
      <c r="L918" s="103" t="s">
        <v>97</v>
      </c>
      <c r="M918" s="103" t="s">
        <v>65</v>
      </c>
      <c r="N918" s="103" t="s">
        <v>77</v>
      </c>
      <c r="O918" s="103" t="n">
        <v>31</v>
      </c>
      <c r="P918" s="103" t="n">
        <v>9.4</v>
      </c>
      <c r="Q918" s="103" t="n">
        <v>5</v>
      </c>
      <c r="R918" s="103" t="s">
        <v>138</v>
      </c>
      <c r="S918" s="103" t="n">
        <v>368</v>
      </c>
      <c r="T918" s="103" t="n">
        <v>218</v>
      </c>
      <c r="U918" s="103" t="s">
        <v>1636</v>
      </c>
      <c r="V918" s="103" t="n">
        <v>2025</v>
      </c>
    </row>
    <row r="919" customFormat="false" ht="14.25" hidden="false" customHeight="false" outlineLevel="0" collapsed="false">
      <c r="A919" s="103" t="s">
        <v>1641</v>
      </c>
      <c r="B919" s="103" t="s">
        <v>557</v>
      </c>
      <c r="C919" s="104" t="n">
        <v>45963</v>
      </c>
      <c r="D919" s="103" t="s">
        <v>109</v>
      </c>
      <c r="E919" s="103" t="n">
        <v>32</v>
      </c>
      <c r="F919" s="103" t="s">
        <v>171</v>
      </c>
      <c r="G919" s="103" t="s">
        <v>84</v>
      </c>
      <c r="H919" s="103" t="n">
        <v>4.8</v>
      </c>
      <c r="I919" s="103" t="n">
        <v>1701</v>
      </c>
      <c r="J919" s="103" t="n">
        <v>20</v>
      </c>
      <c r="K919" s="103" t="n">
        <v>100</v>
      </c>
      <c r="L919" s="103" t="s">
        <v>93</v>
      </c>
      <c r="M919" s="103" t="s">
        <v>66</v>
      </c>
      <c r="N919" s="103" t="s">
        <v>78</v>
      </c>
      <c r="O919" s="103" t="n">
        <v>70</v>
      </c>
      <c r="P919" s="103" t="n">
        <v>14.8</v>
      </c>
      <c r="Q919" s="103" t="n">
        <v>4</v>
      </c>
      <c r="R919" s="103" t="s">
        <v>138</v>
      </c>
      <c r="S919" s="103" t="n">
        <v>1721</v>
      </c>
      <c r="T919" s="103" t="n">
        <v>1621</v>
      </c>
      <c r="U919" s="103" t="s">
        <v>1636</v>
      </c>
      <c r="V919" s="103" t="n">
        <v>2025</v>
      </c>
    </row>
    <row r="920" customFormat="false" ht="14.25" hidden="false" customHeight="false" outlineLevel="0" collapsed="false">
      <c r="A920" s="103" t="s">
        <v>1642</v>
      </c>
      <c r="B920" s="103" t="s">
        <v>558</v>
      </c>
      <c r="C920" s="104" t="n">
        <v>45964</v>
      </c>
      <c r="D920" s="103" t="s">
        <v>109</v>
      </c>
      <c r="E920" s="103" t="n">
        <v>38</v>
      </c>
      <c r="F920" s="103" t="s">
        <v>170</v>
      </c>
      <c r="G920" s="103" t="s">
        <v>83</v>
      </c>
      <c r="H920" s="103" t="n">
        <v>2.7</v>
      </c>
      <c r="I920" s="103" t="n">
        <v>427</v>
      </c>
      <c r="J920" s="103" t="n">
        <v>20</v>
      </c>
      <c r="K920" s="103" t="n">
        <v>200</v>
      </c>
      <c r="L920" s="103" t="s">
        <v>94</v>
      </c>
      <c r="M920" s="103" t="s">
        <v>65</v>
      </c>
      <c r="N920" s="103" t="s">
        <v>77</v>
      </c>
      <c r="O920" s="103" t="n">
        <v>53</v>
      </c>
      <c r="P920" s="103" t="n">
        <v>13.3</v>
      </c>
      <c r="Q920" s="103" t="n">
        <v>4</v>
      </c>
      <c r="R920" s="103" t="s">
        <v>137</v>
      </c>
      <c r="S920" s="103" t="n">
        <v>447</v>
      </c>
      <c r="T920" s="103" t="n">
        <v>247</v>
      </c>
      <c r="U920" s="103" t="s">
        <v>1636</v>
      </c>
      <c r="V920" s="103" t="n">
        <v>2025</v>
      </c>
    </row>
    <row r="921" customFormat="false" ht="14.25" hidden="false" customHeight="false" outlineLevel="0" collapsed="false">
      <c r="A921" s="103" t="s">
        <v>1643</v>
      </c>
      <c r="B921" s="103" t="s">
        <v>559</v>
      </c>
      <c r="C921" s="104" t="n">
        <v>45964</v>
      </c>
      <c r="D921" s="103" t="s">
        <v>107</v>
      </c>
      <c r="E921" s="103" t="n">
        <v>36</v>
      </c>
      <c r="F921" s="103" t="s">
        <v>171</v>
      </c>
      <c r="G921" s="103" t="s">
        <v>90</v>
      </c>
      <c r="H921" s="103" t="n">
        <v>5</v>
      </c>
      <c r="I921" s="103" t="n">
        <v>1073</v>
      </c>
      <c r="J921" s="103" t="n">
        <v>0</v>
      </c>
      <c r="K921" s="103" t="n">
        <v>150</v>
      </c>
      <c r="L921" s="103" t="s">
        <v>94</v>
      </c>
      <c r="M921" s="103" t="s">
        <v>67</v>
      </c>
      <c r="N921" s="103" t="s">
        <v>77</v>
      </c>
      <c r="O921" s="103" t="n">
        <v>21</v>
      </c>
      <c r="P921" s="103" t="n">
        <v>14.4</v>
      </c>
      <c r="Q921" s="103" t="n">
        <v>4</v>
      </c>
      <c r="R921" s="103" t="s">
        <v>134</v>
      </c>
      <c r="S921" s="103" t="n">
        <v>1073</v>
      </c>
      <c r="T921" s="103" t="n">
        <v>923</v>
      </c>
      <c r="U921" s="103" t="s">
        <v>1636</v>
      </c>
      <c r="V921" s="103" t="n">
        <v>2025</v>
      </c>
    </row>
    <row r="922" customFormat="false" ht="14.25" hidden="false" customHeight="false" outlineLevel="0" collapsed="false">
      <c r="A922" s="103" t="s">
        <v>1644</v>
      </c>
      <c r="B922" s="103" t="s">
        <v>560</v>
      </c>
      <c r="C922" s="104" t="n">
        <v>45964</v>
      </c>
      <c r="D922" s="103" t="s">
        <v>105</v>
      </c>
      <c r="E922" s="103" t="n">
        <v>46</v>
      </c>
      <c r="F922" s="103" t="s">
        <v>170</v>
      </c>
      <c r="G922" s="103" t="s">
        <v>86</v>
      </c>
      <c r="H922" s="103" t="n">
        <v>4.9</v>
      </c>
      <c r="I922" s="103" t="n">
        <v>753</v>
      </c>
      <c r="J922" s="103" t="n">
        <v>40</v>
      </c>
      <c r="K922" s="103" t="n">
        <v>20</v>
      </c>
      <c r="L922" s="103" t="s">
        <v>93</v>
      </c>
      <c r="M922" s="103" t="s">
        <v>67</v>
      </c>
      <c r="N922" s="103" t="s">
        <v>77</v>
      </c>
      <c r="O922" s="103" t="n">
        <v>44</v>
      </c>
      <c r="P922" s="103" t="n">
        <v>5.5</v>
      </c>
      <c r="Q922" s="103" t="n">
        <v>4</v>
      </c>
      <c r="R922" s="103" t="s">
        <v>142</v>
      </c>
      <c r="S922" s="103" t="n">
        <v>793</v>
      </c>
      <c r="T922" s="103" t="n">
        <v>773</v>
      </c>
      <c r="U922" s="103" t="s">
        <v>1636</v>
      </c>
      <c r="V922" s="103" t="n">
        <v>2025</v>
      </c>
    </row>
    <row r="923" customFormat="false" ht="14.25" hidden="false" customHeight="false" outlineLevel="0" collapsed="false">
      <c r="A923" s="103" t="s">
        <v>1645</v>
      </c>
      <c r="B923" s="103" t="s">
        <v>561</v>
      </c>
      <c r="C923" s="104" t="n">
        <v>45965</v>
      </c>
      <c r="D923" s="103" t="s">
        <v>111</v>
      </c>
      <c r="E923" s="103" t="n">
        <v>42</v>
      </c>
      <c r="F923" s="103" t="s">
        <v>171</v>
      </c>
      <c r="G923" s="103" t="s">
        <v>83</v>
      </c>
      <c r="H923" s="103" t="n">
        <v>2.8</v>
      </c>
      <c r="I923" s="103" t="n">
        <v>1741</v>
      </c>
      <c r="J923" s="103" t="n">
        <v>50</v>
      </c>
      <c r="K923" s="103" t="n">
        <v>0</v>
      </c>
      <c r="L923" s="103" t="s">
        <v>95</v>
      </c>
      <c r="M923" s="103" t="s">
        <v>66</v>
      </c>
      <c r="N923" s="103" t="s">
        <v>77</v>
      </c>
      <c r="O923" s="103" t="n">
        <v>35</v>
      </c>
      <c r="P923" s="103" t="n">
        <v>2</v>
      </c>
      <c r="Q923" s="103" t="n">
        <v>4</v>
      </c>
      <c r="R923" s="103" t="s">
        <v>142</v>
      </c>
      <c r="S923" s="103" t="n">
        <v>1791</v>
      </c>
      <c r="T923" s="103" t="n">
        <v>1791</v>
      </c>
      <c r="U923" s="103" t="s">
        <v>1636</v>
      </c>
      <c r="V923" s="103" t="n">
        <v>2025</v>
      </c>
    </row>
    <row r="924" customFormat="false" ht="14.25" hidden="false" customHeight="false" outlineLevel="0" collapsed="false">
      <c r="A924" s="103" t="s">
        <v>1646</v>
      </c>
      <c r="B924" s="103" t="s">
        <v>562</v>
      </c>
      <c r="C924" s="104" t="n">
        <v>45965</v>
      </c>
      <c r="D924" s="103" t="s">
        <v>100</v>
      </c>
      <c r="E924" s="103" t="n">
        <v>50</v>
      </c>
      <c r="F924" s="103" t="s">
        <v>171</v>
      </c>
      <c r="G924" s="103" t="s">
        <v>83</v>
      </c>
      <c r="H924" s="103" t="n">
        <v>3.8</v>
      </c>
      <c r="I924" s="103" t="n">
        <v>580</v>
      </c>
      <c r="J924" s="103" t="n">
        <v>30</v>
      </c>
      <c r="K924" s="103" t="n">
        <v>10</v>
      </c>
      <c r="L924" s="103" t="s">
        <v>94</v>
      </c>
      <c r="M924" s="103" t="s">
        <v>65</v>
      </c>
      <c r="N924" s="103" t="s">
        <v>78</v>
      </c>
      <c r="O924" s="103" t="n">
        <v>15</v>
      </c>
      <c r="P924" s="103" t="n">
        <v>3.2</v>
      </c>
      <c r="Q924" s="103" t="n">
        <v>4</v>
      </c>
      <c r="R924" s="103" t="s">
        <v>131</v>
      </c>
      <c r="S924" s="103" t="n">
        <v>610</v>
      </c>
      <c r="T924" s="103" t="n">
        <v>600</v>
      </c>
      <c r="U924" s="103" t="s">
        <v>1636</v>
      </c>
      <c r="V924" s="103" t="n">
        <v>2025</v>
      </c>
    </row>
    <row r="925" customFormat="false" ht="14.25" hidden="false" customHeight="false" outlineLevel="0" collapsed="false">
      <c r="A925" s="103" t="s">
        <v>1647</v>
      </c>
      <c r="B925" s="103" t="s">
        <v>563</v>
      </c>
      <c r="C925" s="104" t="n">
        <v>45965</v>
      </c>
      <c r="D925" s="103" t="s">
        <v>104</v>
      </c>
      <c r="E925" s="103" t="n">
        <v>49</v>
      </c>
      <c r="F925" s="103" t="s">
        <v>170</v>
      </c>
      <c r="G925" s="103" t="s">
        <v>84</v>
      </c>
      <c r="H925" s="103" t="n">
        <v>3</v>
      </c>
      <c r="I925" s="103" t="n">
        <v>791</v>
      </c>
      <c r="J925" s="103" t="n">
        <v>0</v>
      </c>
      <c r="K925" s="103" t="n">
        <v>10</v>
      </c>
      <c r="L925" s="103" t="s">
        <v>94</v>
      </c>
      <c r="M925" s="103" t="s">
        <v>65</v>
      </c>
      <c r="N925" s="103" t="s">
        <v>77</v>
      </c>
      <c r="O925" s="103" t="n">
        <v>39</v>
      </c>
      <c r="P925" s="103" t="n">
        <v>7.8</v>
      </c>
      <c r="Q925" s="103" t="n">
        <v>5</v>
      </c>
      <c r="R925" s="103" t="s">
        <v>139</v>
      </c>
      <c r="S925" s="103" t="n">
        <v>791</v>
      </c>
      <c r="T925" s="103" t="n">
        <v>781</v>
      </c>
      <c r="U925" s="103" t="s">
        <v>1636</v>
      </c>
      <c r="V925" s="103" t="n">
        <v>2025</v>
      </c>
    </row>
    <row r="926" customFormat="false" ht="14.25" hidden="false" customHeight="false" outlineLevel="0" collapsed="false">
      <c r="A926" s="103" t="s">
        <v>1648</v>
      </c>
      <c r="B926" s="103" t="s">
        <v>564</v>
      </c>
      <c r="C926" s="104" t="n">
        <v>45966</v>
      </c>
      <c r="D926" s="103" t="s">
        <v>106</v>
      </c>
      <c r="E926" s="103" t="n">
        <v>52</v>
      </c>
      <c r="F926" s="103" t="s">
        <v>171</v>
      </c>
      <c r="G926" s="103" t="s">
        <v>86</v>
      </c>
      <c r="H926" s="103" t="n">
        <v>3.6</v>
      </c>
      <c r="I926" s="103" t="n">
        <v>1771</v>
      </c>
      <c r="J926" s="103" t="n">
        <v>50</v>
      </c>
      <c r="K926" s="103" t="n">
        <v>30</v>
      </c>
      <c r="L926" s="103" t="s">
        <v>94</v>
      </c>
      <c r="M926" s="103" t="s">
        <v>67</v>
      </c>
      <c r="N926" s="103" t="s">
        <v>77</v>
      </c>
      <c r="O926" s="103" t="n">
        <v>46</v>
      </c>
      <c r="P926" s="103" t="n">
        <v>12</v>
      </c>
      <c r="Q926" s="103" t="n">
        <v>5</v>
      </c>
      <c r="R926" s="103" t="s">
        <v>142</v>
      </c>
      <c r="S926" s="103" t="n">
        <v>1821</v>
      </c>
      <c r="T926" s="103" t="n">
        <v>1791</v>
      </c>
      <c r="U926" s="103" t="s">
        <v>1636</v>
      </c>
      <c r="V926" s="103" t="n">
        <v>2025</v>
      </c>
    </row>
    <row r="927" customFormat="false" ht="14.25" hidden="false" customHeight="false" outlineLevel="0" collapsed="false">
      <c r="A927" s="103" t="s">
        <v>1649</v>
      </c>
      <c r="B927" s="103" t="s">
        <v>565</v>
      </c>
      <c r="C927" s="104" t="n">
        <v>45966</v>
      </c>
      <c r="D927" s="103" t="s">
        <v>100</v>
      </c>
      <c r="E927" s="103" t="n">
        <v>55</v>
      </c>
      <c r="F927" s="103" t="s">
        <v>171</v>
      </c>
      <c r="G927" s="103" t="s">
        <v>89</v>
      </c>
      <c r="H927" s="103" t="n">
        <v>2.7</v>
      </c>
      <c r="I927" s="103" t="n">
        <v>1021</v>
      </c>
      <c r="J927" s="103" t="n">
        <v>50</v>
      </c>
      <c r="K927" s="103" t="n">
        <v>75</v>
      </c>
      <c r="L927" s="103" t="s">
        <v>97</v>
      </c>
      <c r="M927" s="103" t="s">
        <v>65</v>
      </c>
      <c r="N927" s="103" t="s">
        <v>77</v>
      </c>
      <c r="O927" s="103" t="n">
        <v>22</v>
      </c>
      <c r="P927" s="103" t="n">
        <v>2.7</v>
      </c>
      <c r="Q927" s="103" t="n">
        <v>4</v>
      </c>
      <c r="R927" s="103" t="s">
        <v>132</v>
      </c>
      <c r="S927" s="103" t="n">
        <v>1071</v>
      </c>
      <c r="T927" s="103" t="n">
        <v>996</v>
      </c>
      <c r="U927" s="103" t="s">
        <v>1636</v>
      </c>
      <c r="V927" s="103" t="n">
        <v>2025</v>
      </c>
    </row>
    <row r="928" customFormat="false" ht="14.25" hidden="false" customHeight="false" outlineLevel="0" collapsed="false">
      <c r="A928" s="103" t="s">
        <v>1650</v>
      </c>
      <c r="B928" s="103" t="s">
        <v>566</v>
      </c>
      <c r="C928" s="104" t="n">
        <v>45966</v>
      </c>
      <c r="D928" s="103" t="s">
        <v>105</v>
      </c>
      <c r="E928" s="103" t="n">
        <v>43</v>
      </c>
      <c r="F928" s="103" t="s">
        <v>170</v>
      </c>
      <c r="G928" s="103" t="s">
        <v>82</v>
      </c>
      <c r="H928" s="103" t="n">
        <v>3.1</v>
      </c>
      <c r="I928" s="103" t="n">
        <v>964</v>
      </c>
      <c r="J928" s="103" t="n">
        <v>60</v>
      </c>
      <c r="K928" s="103" t="n">
        <v>30</v>
      </c>
      <c r="L928" s="103" t="s">
        <v>97</v>
      </c>
      <c r="M928" s="103" t="s">
        <v>67</v>
      </c>
      <c r="N928" s="103" t="s">
        <v>77</v>
      </c>
      <c r="O928" s="103" t="n">
        <v>19</v>
      </c>
      <c r="P928" s="103" t="n">
        <v>10.1</v>
      </c>
      <c r="Q928" s="103" t="n">
        <v>4</v>
      </c>
      <c r="R928" s="103" t="s">
        <v>132</v>
      </c>
      <c r="S928" s="103" t="n">
        <v>1024</v>
      </c>
      <c r="T928" s="103" t="n">
        <v>994</v>
      </c>
      <c r="U928" s="103" t="s">
        <v>1636</v>
      </c>
      <c r="V928" s="103" t="n">
        <v>2025</v>
      </c>
    </row>
    <row r="929" customFormat="false" ht="14.25" hidden="false" customHeight="false" outlineLevel="0" collapsed="false">
      <c r="A929" s="103" t="s">
        <v>1651</v>
      </c>
      <c r="B929" s="103" t="s">
        <v>567</v>
      </c>
      <c r="C929" s="104" t="n">
        <v>45967</v>
      </c>
      <c r="D929" s="103" t="s">
        <v>100</v>
      </c>
      <c r="E929" s="103" t="n">
        <v>28</v>
      </c>
      <c r="F929" s="103" t="s">
        <v>171</v>
      </c>
      <c r="G929" s="103" t="s">
        <v>88</v>
      </c>
      <c r="H929" s="103" t="n">
        <v>3.4</v>
      </c>
      <c r="I929" s="103" t="n">
        <v>553</v>
      </c>
      <c r="J929" s="103" t="n">
        <v>20</v>
      </c>
      <c r="K929" s="103" t="n">
        <v>200</v>
      </c>
      <c r="L929" s="103" t="s">
        <v>93</v>
      </c>
      <c r="M929" s="103" t="s">
        <v>65</v>
      </c>
      <c r="N929" s="103" t="s">
        <v>77</v>
      </c>
      <c r="O929" s="103" t="n">
        <v>44</v>
      </c>
      <c r="P929" s="103" t="n">
        <v>5.2</v>
      </c>
      <c r="Q929" s="103" t="n">
        <v>5</v>
      </c>
      <c r="R929" s="103" t="s">
        <v>141</v>
      </c>
      <c r="S929" s="103" t="n">
        <v>573</v>
      </c>
      <c r="T929" s="103" t="n">
        <v>373</v>
      </c>
      <c r="U929" s="103" t="s">
        <v>1636</v>
      </c>
      <c r="V929" s="103" t="n">
        <v>2025</v>
      </c>
    </row>
    <row r="930" customFormat="false" ht="14.25" hidden="false" customHeight="false" outlineLevel="0" collapsed="false">
      <c r="A930" s="103" t="s">
        <v>1652</v>
      </c>
      <c r="B930" s="103" t="s">
        <v>568</v>
      </c>
      <c r="C930" s="104" t="n">
        <v>45967</v>
      </c>
      <c r="D930" s="103" t="s">
        <v>102</v>
      </c>
      <c r="E930" s="103" t="n">
        <v>52</v>
      </c>
      <c r="F930" s="103" t="s">
        <v>170</v>
      </c>
      <c r="G930" s="103" t="s">
        <v>86</v>
      </c>
      <c r="H930" s="103" t="n">
        <v>3.6</v>
      </c>
      <c r="I930" s="103" t="n">
        <v>1298</v>
      </c>
      <c r="J930" s="103" t="n">
        <v>30</v>
      </c>
      <c r="K930" s="103" t="n">
        <v>30</v>
      </c>
      <c r="L930" s="103" t="s">
        <v>93</v>
      </c>
      <c r="M930" s="103" t="s">
        <v>67</v>
      </c>
      <c r="N930" s="103" t="s">
        <v>77</v>
      </c>
      <c r="O930" s="103" t="n">
        <v>65</v>
      </c>
      <c r="P930" s="103" t="n">
        <v>5.4</v>
      </c>
      <c r="Q930" s="103" t="n">
        <v>2</v>
      </c>
      <c r="R930" s="103" t="s">
        <v>139</v>
      </c>
      <c r="S930" s="103" t="n">
        <v>1328</v>
      </c>
      <c r="T930" s="103" t="n">
        <v>1298</v>
      </c>
      <c r="U930" s="103" t="s">
        <v>1636</v>
      </c>
      <c r="V930" s="103" t="n">
        <v>2025</v>
      </c>
    </row>
    <row r="931" customFormat="false" ht="14.25" hidden="false" customHeight="false" outlineLevel="0" collapsed="false">
      <c r="A931" s="103" t="s">
        <v>1653</v>
      </c>
      <c r="B931" s="103" t="s">
        <v>569</v>
      </c>
      <c r="C931" s="104" t="n">
        <v>45967</v>
      </c>
      <c r="D931" s="103" t="s">
        <v>106</v>
      </c>
      <c r="E931" s="103" t="n">
        <v>25</v>
      </c>
      <c r="F931" s="103" t="s">
        <v>171</v>
      </c>
      <c r="G931" s="103" t="s">
        <v>90</v>
      </c>
      <c r="H931" s="103" t="n">
        <v>4.9</v>
      </c>
      <c r="I931" s="103" t="n">
        <v>144</v>
      </c>
      <c r="J931" s="103" t="n">
        <v>0</v>
      </c>
      <c r="K931" s="103" t="n">
        <v>75</v>
      </c>
      <c r="L931" s="103" t="s">
        <v>96</v>
      </c>
      <c r="M931" s="103" t="s">
        <v>65</v>
      </c>
      <c r="N931" s="103" t="s">
        <v>77</v>
      </c>
      <c r="O931" s="103" t="n">
        <v>22</v>
      </c>
      <c r="P931" s="103" t="n">
        <v>10.1</v>
      </c>
      <c r="Q931" s="103" t="n">
        <v>5</v>
      </c>
      <c r="R931" s="103" t="s">
        <v>134</v>
      </c>
      <c r="S931" s="103" t="n">
        <v>144</v>
      </c>
      <c r="T931" s="103" t="n">
        <v>69</v>
      </c>
      <c r="U931" s="103" t="s">
        <v>1636</v>
      </c>
      <c r="V931" s="103" t="n">
        <v>2025</v>
      </c>
    </row>
    <row r="932" customFormat="false" ht="14.25" hidden="false" customHeight="false" outlineLevel="0" collapsed="false">
      <c r="A932" s="103" t="s">
        <v>1654</v>
      </c>
      <c r="B932" s="103" t="s">
        <v>570</v>
      </c>
      <c r="C932" s="104" t="n">
        <v>45968</v>
      </c>
      <c r="D932" s="103" t="s">
        <v>105</v>
      </c>
      <c r="E932" s="103" t="n">
        <v>31</v>
      </c>
      <c r="F932" s="103" t="s">
        <v>171</v>
      </c>
      <c r="G932" s="103" t="s">
        <v>81</v>
      </c>
      <c r="H932" s="103" t="n">
        <v>4.5</v>
      </c>
      <c r="I932" s="103" t="n">
        <v>203</v>
      </c>
      <c r="J932" s="103" t="n">
        <v>20</v>
      </c>
      <c r="K932" s="103" t="n">
        <v>75</v>
      </c>
      <c r="L932" s="103" t="s">
        <v>97</v>
      </c>
      <c r="M932" s="103" t="s">
        <v>66</v>
      </c>
      <c r="N932" s="103" t="s">
        <v>77</v>
      </c>
      <c r="O932" s="103" t="n">
        <v>63</v>
      </c>
      <c r="P932" s="103" t="n">
        <v>7.3</v>
      </c>
      <c r="Q932" s="103" t="n">
        <v>3</v>
      </c>
      <c r="R932" s="103" t="s">
        <v>142</v>
      </c>
      <c r="S932" s="103" t="n">
        <v>223</v>
      </c>
      <c r="T932" s="103" t="n">
        <v>148</v>
      </c>
      <c r="U932" s="103" t="s">
        <v>1636</v>
      </c>
      <c r="V932" s="103" t="n">
        <v>2025</v>
      </c>
    </row>
    <row r="933" customFormat="false" ht="14.25" hidden="false" customHeight="false" outlineLevel="0" collapsed="false">
      <c r="A933" s="103" t="s">
        <v>1655</v>
      </c>
      <c r="B933" s="103" t="s">
        <v>571</v>
      </c>
      <c r="C933" s="104" t="n">
        <v>45968</v>
      </c>
      <c r="D933" s="103" t="s">
        <v>107</v>
      </c>
      <c r="E933" s="103" t="n">
        <v>27</v>
      </c>
      <c r="F933" s="103" t="s">
        <v>170</v>
      </c>
      <c r="G933" s="103" t="s">
        <v>90</v>
      </c>
      <c r="H933" s="103" t="n">
        <v>4.3</v>
      </c>
      <c r="I933" s="103" t="n">
        <v>1127</v>
      </c>
      <c r="J933" s="103" t="n">
        <v>60</v>
      </c>
      <c r="K933" s="103" t="n">
        <v>0</v>
      </c>
      <c r="L933" s="103" t="s">
        <v>93</v>
      </c>
      <c r="M933" s="103" t="s">
        <v>65</v>
      </c>
      <c r="N933" s="103" t="s">
        <v>77</v>
      </c>
      <c r="O933" s="103" t="n">
        <v>33</v>
      </c>
      <c r="P933" s="103" t="n">
        <v>12.3</v>
      </c>
      <c r="Q933" s="103" t="n">
        <v>5</v>
      </c>
      <c r="R933" s="103" t="s">
        <v>134</v>
      </c>
      <c r="S933" s="103" t="n">
        <v>1187</v>
      </c>
      <c r="T933" s="103" t="n">
        <v>1187</v>
      </c>
      <c r="U933" s="103" t="s">
        <v>1636</v>
      </c>
      <c r="V933" s="103" t="n">
        <v>2025</v>
      </c>
    </row>
    <row r="934" customFormat="false" ht="14.25" hidden="false" customHeight="false" outlineLevel="0" collapsed="false">
      <c r="A934" s="103" t="s">
        <v>1656</v>
      </c>
      <c r="B934" s="103" t="s">
        <v>572</v>
      </c>
      <c r="C934" s="104" t="n">
        <v>45968</v>
      </c>
      <c r="D934" s="103" t="s">
        <v>104</v>
      </c>
      <c r="E934" s="103" t="n">
        <v>19</v>
      </c>
      <c r="F934" s="103" t="s">
        <v>171</v>
      </c>
      <c r="G934" s="103" t="s">
        <v>82</v>
      </c>
      <c r="H934" s="103" t="n">
        <v>3.8</v>
      </c>
      <c r="I934" s="103" t="n">
        <v>694</v>
      </c>
      <c r="J934" s="103" t="n">
        <v>60</v>
      </c>
      <c r="K934" s="103" t="n">
        <v>150</v>
      </c>
      <c r="L934" s="103" t="s">
        <v>93</v>
      </c>
      <c r="M934" s="103" t="s">
        <v>65</v>
      </c>
      <c r="N934" s="103" t="s">
        <v>77</v>
      </c>
      <c r="O934" s="103" t="n">
        <v>58</v>
      </c>
      <c r="P934" s="103" t="n">
        <v>2.8</v>
      </c>
      <c r="Q934" s="103" t="n">
        <v>5</v>
      </c>
      <c r="R934" s="103" t="s">
        <v>131</v>
      </c>
      <c r="S934" s="103" t="n">
        <v>754</v>
      </c>
      <c r="T934" s="103" t="n">
        <v>604</v>
      </c>
      <c r="U934" s="103" t="s">
        <v>1636</v>
      </c>
      <c r="V934" s="103" t="n">
        <v>2025</v>
      </c>
    </row>
    <row r="935" customFormat="false" ht="14.25" hidden="false" customHeight="false" outlineLevel="0" collapsed="false">
      <c r="A935" s="103" t="s">
        <v>1657</v>
      </c>
      <c r="B935" s="103" t="s">
        <v>573</v>
      </c>
      <c r="C935" s="104" t="n">
        <v>45969</v>
      </c>
      <c r="D935" s="103" t="s">
        <v>101</v>
      </c>
      <c r="E935" s="103" t="n">
        <v>26</v>
      </c>
      <c r="F935" s="103" t="s">
        <v>171</v>
      </c>
      <c r="G935" s="103" t="s">
        <v>86</v>
      </c>
      <c r="H935" s="103" t="n">
        <v>4.6</v>
      </c>
      <c r="I935" s="103" t="n">
        <v>1722</v>
      </c>
      <c r="J935" s="103" t="n">
        <v>20</v>
      </c>
      <c r="K935" s="103" t="n">
        <v>20</v>
      </c>
      <c r="L935" s="103" t="s">
        <v>97</v>
      </c>
      <c r="M935" s="103" t="s">
        <v>65</v>
      </c>
      <c r="N935" s="103" t="s">
        <v>78</v>
      </c>
      <c r="O935" s="103" t="n">
        <v>69</v>
      </c>
      <c r="P935" s="103" t="n">
        <v>12</v>
      </c>
      <c r="Q935" s="103" t="n">
        <v>5</v>
      </c>
      <c r="R935" s="103" t="s">
        <v>133</v>
      </c>
      <c r="S935" s="103" t="n">
        <v>1742</v>
      </c>
      <c r="T935" s="103" t="n">
        <v>1722</v>
      </c>
      <c r="U935" s="103" t="s">
        <v>1636</v>
      </c>
      <c r="V935" s="103" t="n">
        <v>2025</v>
      </c>
    </row>
    <row r="936" customFormat="false" ht="14.25" hidden="false" customHeight="false" outlineLevel="0" collapsed="false">
      <c r="A936" s="103" t="s">
        <v>1658</v>
      </c>
      <c r="B936" s="103" t="s">
        <v>574</v>
      </c>
      <c r="C936" s="104" t="n">
        <v>45969</v>
      </c>
      <c r="D936" s="103" t="s">
        <v>108</v>
      </c>
      <c r="E936" s="103" t="n">
        <v>20</v>
      </c>
      <c r="F936" s="103" t="s">
        <v>171</v>
      </c>
      <c r="G936" s="103" t="s">
        <v>90</v>
      </c>
      <c r="H936" s="103" t="n">
        <v>3.3</v>
      </c>
      <c r="I936" s="103" t="n">
        <v>1637</v>
      </c>
      <c r="J936" s="103" t="n">
        <v>40</v>
      </c>
      <c r="K936" s="103" t="n">
        <v>75</v>
      </c>
      <c r="L936" s="103" t="s">
        <v>95</v>
      </c>
      <c r="M936" s="103" t="s">
        <v>65</v>
      </c>
      <c r="N936" s="103" t="s">
        <v>77</v>
      </c>
      <c r="O936" s="103" t="n">
        <v>44</v>
      </c>
      <c r="P936" s="103" t="n">
        <v>1.4</v>
      </c>
      <c r="Q936" s="103" t="n">
        <v>5</v>
      </c>
      <c r="R936" s="103" t="s">
        <v>141</v>
      </c>
      <c r="S936" s="103" t="n">
        <v>1677</v>
      </c>
      <c r="T936" s="103" t="n">
        <v>1602</v>
      </c>
      <c r="U936" s="103" t="s">
        <v>1636</v>
      </c>
      <c r="V936" s="103" t="n">
        <v>2025</v>
      </c>
    </row>
    <row r="937" customFormat="false" ht="14.25" hidden="false" customHeight="false" outlineLevel="0" collapsed="false">
      <c r="A937" s="103" t="s">
        <v>1659</v>
      </c>
      <c r="B937" s="103" t="s">
        <v>575</v>
      </c>
      <c r="C937" s="104" t="n">
        <v>45969</v>
      </c>
      <c r="D937" s="103" t="s">
        <v>105</v>
      </c>
      <c r="E937" s="103" t="n">
        <v>38</v>
      </c>
      <c r="F937" s="103" t="s">
        <v>171</v>
      </c>
      <c r="G937" s="103" t="s">
        <v>90</v>
      </c>
      <c r="H937" s="103" t="n">
        <v>4.3</v>
      </c>
      <c r="I937" s="103" t="n">
        <v>1319</v>
      </c>
      <c r="J937" s="103" t="n">
        <v>50</v>
      </c>
      <c r="K937" s="103" t="n">
        <v>20</v>
      </c>
      <c r="L937" s="103" t="s">
        <v>93</v>
      </c>
      <c r="M937" s="103" t="s">
        <v>65</v>
      </c>
      <c r="N937" s="103" t="s">
        <v>78</v>
      </c>
      <c r="O937" s="103" t="n">
        <v>29</v>
      </c>
      <c r="P937" s="103" t="n">
        <v>3.3</v>
      </c>
      <c r="Q937" s="103" t="n">
        <v>2</v>
      </c>
      <c r="R937" s="103" t="s">
        <v>135</v>
      </c>
      <c r="S937" s="103" t="n">
        <v>1369</v>
      </c>
      <c r="T937" s="103" t="n">
        <v>1349</v>
      </c>
      <c r="U937" s="103" t="s">
        <v>1636</v>
      </c>
      <c r="V937" s="103" t="n">
        <v>2025</v>
      </c>
    </row>
    <row r="938" customFormat="false" ht="14.25" hidden="false" customHeight="false" outlineLevel="0" collapsed="false">
      <c r="A938" s="103" t="s">
        <v>1660</v>
      </c>
      <c r="B938" s="103" t="s">
        <v>576</v>
      </c>
      <c r="C938" s="104" t="n">
        <v>45970</v>
      </c>
      <c r="D938" s="103" t="s">
        <v>110</v>
      </c>
      <c r="E938" s="103" t="n">
        <v>43</v>
      </c>
      <c r="F938" s="103" t="s">
        <v>170</v>
      </c>
      <c r="G938" s="103" t="s">
        <v>89</v>
      </c>
      <c r="H938" s="103" t="n">
        <v>5</v>
      </c>
      <c r="I938" s="103" t="n">
        <v>1494</v>
      </c>
      <c r="J938" s="103" t="n">
        <v>0</v>
      </c>
      <c r="K938" s="103" t="n">
        <v>10</v>
      </c>
      <c r="L938" s="103" t="s">
        <v>94</v>
      </c>
      <c r="M938" s="103" t="s">
        <v>66</v>
      </c>
      <c r="N938" s="103" t="s">
        <v>78</v>
      </c>
      <c r="O938" s="103" t="n">
        <v>50</v>
      </c>
      <c r="P938" s="103" t="n">
        <v>10</v>
      </c>
      <c r="Q938" s="103" t="n">
        <v>4</v>
      </c>
      <c r="R938" s="103" t="s">
        <v>131</v>
      </c>
      <c r="S938" s="103" t="n">
        <v>1494</v>
      </c>
      <c r="T938" s="103" t="n">
        <v>1484</v>
      </c>
      <c r="U938" s="103" t="s">
        <v>1636</v>
      </c>
      <c r="V938" s="103" t="n">
        <v>2025</v>
      </c>
    </row>
    <row r="939" customFormat="false" ht="14.25" hidden="false" customHeight="false" outlineLevel="0" collapsed="false">
      <c r="A939" s="103" t="s">
        <v>1661</v>
      </c>
      <c r="B939" s="103" t="s">
        <v>577</v>
      </c>
      <c r="C939" s="104" t="n">
        <v>45970</v>
      </c>
      <c r="D939" s="103" t="s">
        <v>104</v>
      </c>
      <c r="E939" s="103" t="n">
        <v>25</v>
      </c>
      <c r="F939" s="103" t="s">
        <v>171</v>
      </c>
      <c r="G939" s="103" t="s">
        <v>89</v>
      </c>
      <c r="H939" s="103" t="n">
        <v>3.3</v>
      </c>
      <c r="I939" s="103" t="n">
        <v>1241</v>
      </c>
      <c r="J939" s="103" t="n">
        <v>0</v>
      </c>
      <c r="K939" s="103" t="n">
        <v>50</v>
      </c>
      <c r="L939" s="103" t="s">
        <v>97</v>
      </c>
      <c r="M939" s="103" t="s">
        <v>65</v>
      </c>
      <c r="N939" s="103" t="s">
        <v>77</v>
      </c>
      <c r="O939" s="103" t="n">
        <v>69</v>
      </c>
      <c r="P939" s="103" t="n">
        <v>12.9</v>
      </c>
      <c r="Q939" s="103" t="n">
        <v>4</v>
      </c>
      <c r="R939" s="103" t="s">
        <v>135</v>
      </c>
      <c r="S939" s="103" t="n">
        <v>1241</v>
      </c>
      <c r="T939" s="103" t="n">
        <v>1191</v>
      </c>
      <c r="U939" s="103" t="s">
        <v>1636</v>
      </c>
      <c r="V939" s="103" t="n">
        <v>2025</v>
      </c>
    </row>
    <row r="940" customFormat="false" ht="14.25" hidden="false" customHeight="false" outlineLevel="0" collapsed="false">
      <c r="A940" s="103" t="s">
        <v>1662</v>
      </c>
      <c r="B940" s="103" t="s">
        <v>578</v>
      </c>
      <c r="C940" s="104" t="n">
        <v>45970</v>
      </c>
      <c r="D940" s="103" t="s">
        <v>111</v>
      </c>
      <c r="E940" s="103" t="n">
        <v>19</v>
      </c>
      <c r="F940" s="103" t="s">
        <v>170</v>
      </c>
      <c r="G940" s="103" t="s">
        <v>86</v>
      </c>
      <c r="H940" s="103" t="n">
        <v>4.2</v>
      </c>
      <c r="I940" s="103" t="n">
        <v>331</v>
      </c>
      <c r="J940" s="103" t="n">
        <v>0</v>
      </c>
      <c r="K940" s="103" t="n">
        <v>0</v>
      </c>
      <c r="L940" s="103" t="s">
        <v>96</v>
      </c>
      <c r="M940" s="103" t="s">
        <v>65</v>
      </c>
      <c r="N940" s="103" t="s">
        <v>77</v>
      </c>
      <c r="O940" s="103" t="n">
        <v>58</v>
      </c>
      <c r="P940" s="103" t="n">
        <v>4.2</v>
      </c>
      <c r="Q940" s="103" t="n">
        <v>5</v>
      </c>
      <c r="R940" s="103" t="s">
        <v>141</v>
      </c>
      <c r="S940" s="103" t="n">
        <v>331</v>
      </c>
      <c r="T940" s="103" t="n">
        <v>331</v>
      </c>
      <c r="U940" s="103" t="s">
        <v>1636</v>
      </c>
      <c r="V940" s="103" t="n">
        <v>2025</v>
      </c>
    </row>
    <row r="941" customFormat="false" ht="14.25" hidden="false" customHeight="false" outlineLevel="0" collapsed="false">
      <c r="A941" s="103" t="s">
        <v>1663</v>
      </c>
      <c r="B941" s="103" t="s">
        <v>579</v>
      </c>
      <c r="C941" s="104" t="n">
        <v>45971</v>
      </c>
      <c r="D941" s="103" t="s">
        <v>105</v>
      </c>
      <c r="E941" s="103" t="n">
        <v>23</v>
      </c>
      <c r="F941" s="103" t="s">
        <v>170</v>
      </c>
      <c r="G941" s="103" t="s">
        <v>82</v>
      </c>
      <c r="H941" s="103" t="n">
        <v>4.6</v>
      </c>
      <c r="I941" s="103" t="n">
        <v>1406</v>
      </c>
      <c r="J941" s="103" t="n">
        <v>20</v>
      </c>
      <c r="K941" s="103" t="n">
        <v>200</v>
      </c>
      <c r="L941" s="103" t="s">
        <v>95</v>
      </c>
      <c r="M941" s="103" t="s">
        <v>65</v>
      </c>
      <c r="N941" s="103" t="s">
        <v>78</v>
      </c>
      <c r="O941" s="103" t="n">
        <v>41</v>
      </c>
      <c r="P941" s="103" t="n">
        <v>5.2</v>
      </c>
      <c r="Q941" s="103" t="n">
        <v>3</v>
      </c>
      <c r="R941" s="103" t="s">
        <v>135</v>
      </c>
      <c r="S941" s="103" t="n">
        <v>1426</v>
      </c>
      <c r="T941" s="103" t="n">
        <v>1226</v>
      </c>
      <c r="U941" s="103" t="s">
        <v>1636</v>
      </c>
      <c r="V941" s="103" t="n">
        <v>2025</v>
      </c>
    </row>
    <row r="942" customFormat="false" ht="14.25" hidden="false" customHeight="false" outlineLevel="0" collapsed="false">
      <c r="A942" s="103" t="s">
        <v>1664</v>
      </c>
      <c r="B942" s="103" t="s">
        <v>580</v>
      </c>
      <c r="C942" s="104" t="n">
        <v>45971</v>
      </c>
      <c r="D942" s="103" t="s">
        <v>102</v>
      </c>
      <c r="E942" s="103" t="n">
        <v>45</v>
      </c>
      <c r="F942" s="103" t="s">
        <v>171</v>
      </c>
      <c r="G942" s="103" t="s">
        <v>83</v>
      </c>
      <c r="H942" s="103" t="n">
        <v>4.8</v>
      </c>
      <c r="I942" s="103" t="n">
        <v>473</v>
      </c>
      <c r="J942" s="103" t="n">
        <v>40</v>
      </c>
      <c r="K942" s="103" t="n">
        <v>100</v>
      </c>
      <c r="L942" s="103" t="s">
        <v>95</v>
      </c>
      <c r="M942" s="103" t="s">
        <v>65</v>
      </c>
      <c r="N942" s="103" t="s">
        <v>78</v>
      </c>
      <c r="O942" s="103" t="n">
        <v>27</v>
      </c>
      <c r="P942" s="103" t="n">
        <v>8.3</v>
      </c>
      <c r="Q942" s="103" t="n">
        <v>5</v>
      </c>
      <c r="R942" s="103" t="s">
        <v>133</v>
      </c>
      <c r="S942" s="103" t="n">
        <v>513</v>
      </c>
      <c r="T942" s="103" t="n">
        <v>413</v>
      </c>
      <c r="U942" s="103" t="s">
        <v>1636</v>
      </c>
      <c r="V942" s="103" t="n">
        <v>2025</v>
      </c>
    </row>
    <row r="943" customFormat="false" ht="14.25" hidden="false" customHeight="false" outlineLevel="0" collapsed="false">
      <c r="A943" s="103" t="s">
        <v>1665</v>
      </c>
      <c r="B943" s="103" t="s">
        <v>581</v>
      </c>
      <c r="C943" s="104" t="n">
        <v>45971</v>
      </c>
      <c r="D943" s="103" t="s">
        <v>108</v>
      </c>
      <c r="E943" s="103" t="n">
        <v>46</v>
      </c>
      <c r="F943" s="103" t="s">
        <v>170</v>
      </c>
      <c r="G943" s="103" t="s">
        <v>85</v>
      </c>
      <c r="H943" s="103" t="n">
        <v>4.3</v>
      </c>
      <c r="I943" s="103" t="n">
        <v>663</v>
      </c>
      <c r="J943" s="103" t="n">
        <v>30</v>
      </c>
      <c r="K943" s="103" t="n">
        <v>20</v>
      </c>
      <c r="L943" s="103" t="s">
        <v>93</v>
      </c>
      <c r="M943" s="103" t="s">
        <v>65</v>
      </c>
      <c r="N943" s="103" t="s">
        <v>77</v>
      </c>
      <c r="O943" s="103" t="n">
        <v>28</v>
      </c>
      <c r="P943" s="103" t="n">
        <v>3.6</v>
      </c>
      <c r="Q943" s="103" t="n">
        <v>4</v>
      </c>
      <c r="R943" s="103" t="s">
        <v>140</v>
      </c>
      <c r="S943" s="103" t="n">
        <v>693</v>
      </c>
      <c r="T943" s="103" t="n">
        <v>673</v>
      </c>
      <c r="U943" s="103" t="s">
        <v>1636</v>
      </c>
      <c r="V943" s="103" t="n">
        <v>2025</v>
      </c>
    </row>
    <row r="944" customFormat="false" ht="14.25" hidden="false" customHeight="false" outlineLevel="0" collapsed="false">
      <c r="A944" s="103" t="s">
        <v>1666</v>
      </c>
      <c r="B944" s="103" t="s">
        <v>582</v>
      </c>
      <c r="C944" s="104" t="n">
        <v>45972</v>
      </c>
      <c r="D944" s="103" t="s">
        <v>102</v>
      </c>
      <c r="E944" s="103" t="n">
        <v>43</v>
      </c>
      <c r="F944" s="103" t="s">
        <v>171</v>
      </c>
      <c r="G944" s="103" t="s">
        <v>87</v>
      </c>
      <c r="H944" s="103" t="n">
        <v>3.2</v>
      </c>
      <c r="I944" s="103" t="n">
        <v>1496</v>
      </c>
      <c r="J944" s="103" t="n">
        <v>60</v>
      </c>
      <c r="K944" s="103" t="n">
        <v>30</v>
      </c>
      <c r="L944" s="103" t="s">
        <v>96</v>
      </c>
      <c r="M944" s="103" t="s">
        <v>65</v>
      </c>
      <c r="N944" s="103" t="s">
        <v>77</v>
      </c>
      <c r="O944" s="103" t="n">
        <v>51</v>
      </c>
      <c r="P944" s="103" t="n">
        <v>12.3</v>
      </c>
      <c r="Q944" s="103" t="n">
        <v>3</v>
      </c>
      <c r="R944" s="103" t="s">
        <v>141</v>
      </c>
      <c r="S944" s="103" t="n">
        <v>1556</v>
      </c>
      <c r="T944" s="103" t="n">
        <v>1526</v>
      </c>
      <c r="U944" s="103" t="s">
        <v>1636</v>
      </c>
      <c r="V944" s="103" t="n">
        <v>2025</v>
      </c>
    </row>
    <row r="945" customFormat="false" ht="14.25" hidden="false" customHeight="false" outlineLevel="0" collapsed="false">
      <c r="A945" s="103" t="s">
        <v>1667</v>
      </c>
      <c r="B945" s="103" t="s">
        <v>583</v>
      </c>
      <c r="C945" s="104" t="n">
        <v>45972</v>
      </c>
      <c r="D945" s="103" t="s">
        <v>108</v>
      </c>
      <c r="E945" s="103" t="n">
        <v>42</v>
      </c>
      <c r="F945" s="103" t="s">
        <v>170</v>
      </c>
      <c r="G945" s="103" t="s">
        <v>88</v>
      </c>
      <c r="H945" s="103" t="n">
        <v>3.3</v>
      </c>
      <c r="I945" s="103" t="n">
        <v>1021</v>
      </c>
      <c r="J945" s="103" t="n">
        <v>20</v>
      </c>
      <c r="K945" s="103" t="n">
        <v>75</v>
      </c>
      <c r="L945" s="103" t="s">
        <v>93</v>
      </c>
      <c r="M945" s="103" t="s">
        <v>65</v>
      </c>
      <c r="N945" s="103" t="s">
        <v>77</v>
      </c>
      <c r="O945" s="103" t="n">
        <v>68</v>
      </c>
      <c r="P945" s="103" t="n">
        <v>11.7</v>
      </c>
      <c r="Q945" s="103" t="n">
        <v>5</v>
      </c>
      <c r="R945" s="103" t="s">
        <v>131</v>
      </c>
      <c r="S945" s="103" t="n">
        <v>1041</v>
      </c>
      <c r="T945" s="103" t="n">
        <v>966</v>
      </c>
      <c r="U945" s="103" t="s">
        <v>1636</v>
      </c>
      <c r="V945" s="103" t="n">
        <v>2025</v>
      </c>
    </row>
    <row r="946" customFormat="false" ht="14.25" hidden="false" customHeight="false" outlineLevel="0" collapsed="false">
      <c r="A946" s="103" t="s">
        <v>1668</v>
      </c>
      <c r="B946" s="103" t="s">
        <v>584</v>
      </c>
      <c r="C946" s="104" t="n">
        <v>45972</v>
      </c>
      <c r="D946" s="103" t="s">
        <v>111</v>
      </c>
      <c r="E946" s="103" t="n">
        <v>29</v>
      </c>
      <c r="F946" s="103" t="s">
        <v>171</v>
      </c>
      <c r="G946" s="103" t="s">
        <v>87</v>
      </c>
      <c r="H946" s="103" t="n">
        <v>2.6</v>
      </c>
      <c r="I946" s="103" t="n">
        <v>1565</v>
      </c>
      <c r="J946" s="103" t="n">
        <v>30</v>
      </c>
      <c r="K946" s="103" t="n">
        <v>20</v>
      </c>
      <c r="L946" s="103" t="s">
        <v>97</v>
      </c>
      <c r="M946" s="103" t="s">
        <v>65</v>
      </c>
      <c r="N946" s="103" t="s">
        <v>77</v>
      </c>
      <c r="O946" s="103" t="n">
        <v>62</v>
      </c>
      <c r="P946" s="103" t="n">
        <v>2.6</v>
      </c>
      <c r="Q946" s="103" t="n">
        <v>2</v>
      </c>
      <c r="R946" s="103" t="s">
        <v>140</v>
      </c>
      <c r="S946" s="103" t="n">
        <v>1595</v>
      </c>
      <c r="T946" s="103" t="n">
        <v>1575</v>
      </c>
      <c r="U946" s="103" t="s">
        <v>1636</v>
      </c>
      <c r="V946" s="103" t="n">
        <v>2025</v>
      </c>
    </row>
    <row r="947" customFormat="false" ht="14.25" hidden="false" customHeight="false" outlineLevel="0" collapsed="false">
      <c r="A947" s="103" t="s">
        <v>1669</v>
      </c>
      <c r="B947" s="103" t="s">
        <v>585</v>
      </c>
      <c r="C947" s="104" t="n">
        <v>45973</v>
      </c>
      <c r="D947" s="103" t="s">
        <v>101</v>
      </c>
      <c r="E947" s="103" t="n">
        <v>22</v>
      </c>
      <c r="F947" s="103" t="s">
        <v>170</v>
      </c>
      <c r="G947" s="103" t="s">
        <v>84</v>
      </c>
      <c r="H947" s="103" t="n">
        <v>4.4</v>
      </c>
      <c r="I947" s="103" t="n">
        <v>478</v>
      </c>
      <c r="J947" s="103" t="n">
        <v>60</v>
      </c>
      <c r="K947" s="103" t="n">
        <v>100</v>
      </c>
      <c r="L947" s="103" t="s">
        <v>93</v>
      </c>
      <c r="M947" s="103" t="s">
        <v>65</v>
      </c>
      <c r="N947" s="103" t="s">
        <v>77</v>
      </c>
      <c r="O947" s="103" t="n">
        <v>44</v>
      </c>
      <c r="P947" s="103" t="n">
        <v>7.2</v>
      </c>
      <c r="Q947" s="103" t="n">
        <v>4</v>
      </c>
      <c r="R947" s="103" t="s">
        <v>138</v>
      </c>
      <c r="S947" s="103" t="n">
        <v>538</v>
      </c>
      <c r="T947" s="103" t="n">
        <v>438</v>
      </c>
      <c r="U947" s="103" t="s">
        <v>1636</v>
      </c>
      <c r="V947" s="103" t="n">
        <v>2025</v>
      </c>
    </row>
    <row r="948" customFormat="false" ht="14.25" hidden="false" customHeight="false" outlineLevel="0" collapsed="false">
      <c r="A948" s="103" t="s">
        <v>1670</v>
      </c>
      <c r="B948" s="103" t="s">
        <v>586</v>
      </c>
      <c r="C948" s="104" t="n">
        <v>45973</v>
      </c>
      <c r="D948" s="103" t="s">
        <v>110</v>
      </c>
      <c r="E948" s="103" t="n">
        <v>51</v>
      </c>
      <c r="F948" s="103" t="s">
        <v>170</v>
      </c>
      <c r="G948" s="103" t="s">
        <v>89</v>
      </c>
      <c r="H948" s="103" t="n">
        <v>2.6</v>
      </c>
      <c r="I948" s="103" t="n">
        <v>1141</v>
      </c>
      <c r="J948" s="103" t="n">
        <v>60</v>
      </c>
      <c r="K948" s="103" t="n">
        <v>75</v>
      </c>
      <c r="L948" s="103" t="s">
        <v>96</v>
      </c>
      <c r="M948" s="103" t="s">
        <v>65</v>
      </c>
      <c r="N948" s="103" t="s">
        <v>77</v>
      </c>
      <c r="O948" s="103" t="n">
        <v>53</v>
      </c>
      <c r="P948" s="103" t="n">
        <v>11.7</v>
      </c>
      <c r="Q948" s="103" t="n">
        <v>2</v>
      </c>
      <c r="R948" s="103" t="s">
        <v>139</v>
      </c>
      <c r="S948" s="103" t="n">
        <v>1201</v>
      </c>
      <c r="T948" s="103" t="n">
        <v>1126</v>
      </c>
      <c r="U948" s="103" t="s">
        <v>1636</v>
      </c>
      <c r="V948" s="103" t="n">
        <v>2025</v>
      </c>
    </row>
    <row r="949" customFormat="false" ht="14.25" hidden="false" customHeight="false" outlineLevel="0" collapsed="false">
      <c r="A949" s="103" t="s">
        <v>1671</v>
      </c>
      <c r="B949" s="103" t="s">
        <v>587</v>
      </c>
      <c r="C949" s="104" t="n">
        <v>45973</v>
      </c>
      <c r="D949" s="103" t="s">
        <v>104</v>
      </c>
      <c r="E949" s="103" t="n">
        <v>54</v>
      </c>
      <c r="F949" s="103" t="s">
        <v>171</v>
      </c>
      <c r="G949" s="103" t="s">
        <v>86</v>
      </c>
      <c r="H949" s="103" t="n">
        <v>4.7</v>
      </c>
      <c r="I949" s="103" t="n">
        <v>261</v>
      </c>
      <c r="J949" s="103" t="n">
        <v>40</v>
      </c>
      <c r="K949" s="103" t="n">
        <v>200</v>
      </c>
      <c r="L949" s="103" t="s">
        <v>93</v>
      </c>
      <c r="M949" s="103" t="s">
        <v>67</v>
      </c>
      <c r="N949" s="103" t="s">
        <v>77</v>
      </c>
      <c r="O949" s="103" t="n">
        <v>61</v>
      </c>
      <c r="P949" s="103" t="n">
        <v>5.4</v>
      </c>
      <c r="Q949" s="103" t="n">
        <v>4</v>
      </c>
      <c r="R949" s="103" t="s">
        <v>137</v>
      </c>
      <c r="S949" s="103" t="n">
        <v>301</v>
      </c>
      <c r="T949" s="103" t="n">
        <v>101</v>
      </c>
      <c r="U949" s="103" t="s">
        <v>1636</v>
      </c>
      <c r="V949" s="103" t="n">
        <v>2025</v>
      </c>
    </row>
    <row r="950" customFormat="false" ht="14.25" hidden="false" customHeight="false" outlineLevel="0" collapsed="false">
      <c r="A950" s="103" t="s">
        <v>1672</v>
      </c>
      <c r="B950" s="103" t="s">
        <v>588</v>
      </c>
      <c r="C950" s="104" t="n">
        <v>45974</v>
      </c>
      <c r="D950" s="103" t="s">
        <v>107</v>
      </c>
      <c r="E950" s="103" t="n">
        <v>32</v>
      </c>
      <c r="F950" s="103" t="s">
        <v>170</v>
      </c>
      <c r="G950" s="103" t="s">
        <v>87</v>
      </c>
      <c r="H950" s="103" t="n">
        <v>2.8</v>
      </c>
      <c r="I950" s="103" t="n">
        <v>1200</v>
      </c>
      <c r="J950" s="103" t="n">
        <v>50</v>
      </c>
      <c r="K950" s="103" t="n">
        <v>50</v>
      </c>
      <c r="L950" s="103" t="s">
        <v>94</v>
      </c>
      <c r="M950" s="103" t="s">
        <v>67</v>
      </c>
      <c r="N950" s="103" t="s">
        <v>77</v>
      </c>
      <c r="O950" s="103" t="n">
        <v>27</v>
      </c>
      <c r="P950" s="103" t="n">
        <v>9.7</v>
      </c>
      <c r="Q950" s="103" t="n">
        <v>5</v>
      </c>
      <c r="R950" s="103" t="s">
        <v>131</v>
      </c>
      <c r="S950" s="103" t="n">
        <v>1250</v>
      </c>
      <c r="T950" s="103" t="n">
        <v>1200</v>
      </c>
      <c r="U950" s="103" t="s">
        <v>1636</v>
      </c>
      <c r="V950" s="103" t="n">
        <v>2025</v>
      </c>
    </row>
    <row r="951" customFormat="false" ht="14.25" hidden="false" customHeight="false" outlineLevel="0" collapsed="false">
      <c r="A951" s="103" t="s">
        <v>1673</v>
      </c>
      <c r="B951" s="103" t="s">
        <v>589</v>
      </c>
      <c r="C951" s="104" t="n">
        <v>45974</v>
      </c>
      <c r="D951" s="103" t="s">
        <v>102</v>
      </c>
      <c r="E951" s="103" t="n">
        <v>53</v>
      </c>
      <c r="F951" s="103" t="s">
        <v>170</v>
      </c>
      <c r="G951" s="103" t="s">
        <v>82</v>
      </c>
      <c r="H951" s="103" t="n">
        <v>2.9</v>
      </c>
      <c r="I951" s="103" t="n">
        <v>1401</v>
      </c>
      <c r="J951" s="103" t="n">
        <v>0</v>
      </c>
      <c r="K951" s="103" t="n">
        <v>30</v>
      </c>
      <c r="L951" s="103" t="s">
        <v>93</v>
      </c>
      <c r="M951" s="103" t="s">
        <v>65</v>
      </c>
      <c r="N951" s="103" t="s">
        <v>77</v>
      </c>
      <c r="O951" s="103" t="n">
        <v>30</v>
      </c>
      <c r="P951" s="103" t="n">
        <v>1.2</v>
      </c>
      <c r="Q951" s="103" t="n">
        <v>5</v>
      </c>
      <c r="R951" s="103" t="s">
        <v>138</v>
      </c>
      <c r="S951" s="103" t="n">
        <v>1401</v>
      </c>
      <c r="T951" s="103" t="n">
        <v>1371</v>
      </c>
      <c r="U951" s="103" t="s">
        <v>1636</v>
      </c>
      <c r="V951" s="103" t="n">
        <v>2025</v>
      </c>
    </row>
    <row r="952" customFormat="false" ht="14.25" hidden="false" customHeight="false" outlineLevel="0" collapsed="false">
      <c r="A952" s="103" t="s">
        <v>1674</v>
      </c>
      <c r="B952" s="103" t="s">
        <v>590</v>
      </c>
      <c r="C952" s="104" t="n">
        <v>45974</v>
      </c>
      <c r="D952" s="103" t="s">
        <v>102</v>
      </c>
      <c r="E952" s="103" t="n">
        <v>32</v>
      </c>
      <c r="F952" s="103" t="s">
        <v>171</v>
      </c>
      <c r="G952" s="103" t="s">
        <v>88</v>
      </c>
      <c r="H952" s="103" t="n">
        <v>3.7</v>
      </c>
      <c r="I952" s="103" t="n">
        <v>1103</v>
      </c>
      <c r="J952" s="103" t="n">
        <v>30</v>
      </c>
      <c r="K952" s="103" t="n">
        <v>20</v>
      </c>
      <c r="L952" s="103" t="s">
        <v>95</v>
      </c>
      <c r="M952" s="103" t="s">
        <v>65</v>
      </c>
      <c r="N952" s="103" t="s">
        <v>78</v>
      </c>
      <c r="O952" s="103" t="n">
        <v>58</v>
      </c>
      <c r="P952" s="103" t="n">
        <v>9.3</v>
      </c>
      <c r="Q952" s="103" t="n">
        <v>4</v>
      </c>
      <c r="R952" s="103" t="s">
        <v>132</v>
      </c>
      <c r="S952" s="103" t="n">
        <v>1133</v>
      </c>
      <c r="T952" s="103" t="n">
        <v>1113</v>
      </c>
      <c r="U952" s="103" t="s">
        <v>1636</v>
      </c>
      <c r="V952" s="103" t="n">
        <v>2025</v>
      </c>
    </row>
    <row r="953" customFormat="false" ht="14.25" hidden="false" customHeight="false" outlineLevel="0" collapsed="false">
      <c r="A953" s="103" t="s">
        <v>1675</v>
      </c>
      <c r="B953" s="103" t="s">
        <v>591</v>
      </c>
      <c r="C953" s="104" t="n">
        <v>45975</v>
      </c>
      <c r="D953" s="103" t="s">
        <v>109</v>
      </c>
      <c r="E953" s="103" t="n">
        <v>60</v>
      </c>
      <c r="F953" s="103" t="s">
        <v>171</v>
      </c>
      <c r="G953" s="103" t="s">
        <v>87</v>
      </c>
      <c r="H953" s="103" t="n">
        <v>4.3</v>
      </c>
      <c r="I953" s="103" t="n">
        <v>567</v>
      </c>
      <c r="J953" s="103" t="n">
        <v>20</v>
      </c>
      <c r="K953" s="103" t="n">
        <v>0</v>
      </c>
      <c r="L953" s="103" t="s">
        <v>96</v>
      </c>
      <c r="M953" s="103" t="s">
        <v>65</v>
      </c>
      <c r="N953" s="103" t="s">
        <v>77</v>
      </c>
      <c r="O953" s="103" t="n">
        <v>21</v>
      </c>
      <c r="P953" s="103" t="n">
        <v>2.7</v>
      </c>
      <c r="Q953" s="103" t="n">
        <v>4</v>
      </c>
      <c r="R953" s="103" t="s">
        <v>132</v>
      </c>
      <c r="S953" s="103" t="n">
        <v>587</v>
      </c>
      <c r="T953" s="103" t="n">
        <v>587</v>
      </c>
      <c r="U953" s="103" t="s">
        <v>1636</v>
      </c>
      <c r="V953" s="103" t="n">
        <v>2025</v>
      </c>
    </row>
    <row r="954" customFormat="false" ht="14.25" hidden="false" customHeight="false" outlineLevel="0" collapsed="false">
      <c r="A954" s="103" t="s">
        <v>1676</v>
      </c>
      <c r="B954" s="103" t="s">
        <v>592</v>
      </c>
      <c r="C954" s="104" t="n">
        <v>45975</v>
      </c>
      <c r="D954" s="103" t="s">
        <v>108</v>
      </c>
      <c r="E954" s="103" t="n">
        <v>40</v>
      </c>
      <c r="F954" s="103" t="s">
        <v>170</v>
      </c>
      <c r="G954" s="103" t="s">
        <v>88</v>
      </c>
      <c r="H954" s="103" t="n">
        <v>2.8</v>
      </c>
      <c r="I954" s="103" t="n">
        <v>173</v>
      </c>
      <c r="J954" s="103" t="n">
        <v>30</v>
      </c>
      <c r="K954" s="103" t="n">
        <v>20</v>
      </c>
      <c r="L954" s="103" t="s">
        <v>95</v>
      </c>
      <c r="M954" s="103" t="s">
        <v>67</v>
      </c>
      <c r="N954" s="103" t="s">
        <v>77</v>
      </c>
      <c r="O954" s="103" t="n">
        <v>62</v>
      </c>
      <c r="P954" s="103" t="n">
        <v>12.5</v>
      </c>
      <c r="Q954" s="103" t="n">
        <v>3</v>
      </c>
      <c r="R954" s="103" t="s">
        <v>134</v>
      </c>
      <c r="S954" s="103" t="n">
        <v>203</v>
      </c>
      <c r="T954" s="103" t="n">
        <v>183</v>
      </c>
      <c r="U954" s="103" t="s">
        <v>1636</v>
      </c>
      <c r="V954" s="103" t="n">
        <v>2025</v>
      </c>
    </row>
    <row r="955" customFormat="false" ht="14.25" hidden="false" customHeight="false" outlineLevel="0" collapsed="false">
      <c r="A955" s="103" t="s">
        <v>1677</v>
      </c>
      <c r="B955" s="103" t="s">
        <v>593</v>
      </c>
      <c r="C955" s="104" t="n">
        <v>45975</v>
      </c>
      <c r="D955" s="103" t="s">
        <v>103</v>
      </c>
      <c r="E955" s="103" t="n">
        <v>23</v>
      </c>
      <c r="F955" s="103" t="s">
        <v>170</v>
      </c>
      <c r="G955" s="103" t="s">
        <v>81</v>
      </c>
      <c r="H955" s="103" t="n">
        <v>3.6</v>
      </c>
      <c r="I955" s="103" t="n">
        <v>321</v>
      </c>
      <c r="J955" s="103" t="n">
        <v>50</v>
      </c>
      <c r="K955" s="103" t="n">
        <v>20</v>
      </c>
      <c r="L955" s="103" t="s">
        <v>94</v>
      </c>
      <c r="M955" s="103" t="s">
        <v>65</v>
      </c>
      <c r="N955" s="103" t="s">
        <v>77</v>
      </c>
      <c r="O955" s="103" t="n">
        <v>69</v>
      </c>
      <c r="P955" s="103" t="n">
        <v>5.7</v>
      </c>
      <c r="Q955" s="103" t="n">
        <v>4</v>
      </c>
      <c r="R955" s="103" t="s">
        <v>131</v>
      </c>
      <c r="S955" s="103" t="n">
        <v>371</v>
      </c>
      <c r="T955" s="103" t="n">
        <v>351</v>
      </c>
      <c r="U955" s="103" t="s">
        <v>1636</v>
      </c>
      <c r="V955" s="103" t="n">
        <v>2025</v>
      </c>
    </row>
    <row r="956" customFormat="false" ht="14.25" hidden="false" customHeight="false" outlineLevel="0" collapsed="false">
      <c r="A956" s="103" t="s">
        <v>1678</v>
      </c>
      <c r="B956" s="103" t="s">
        <v>594</v>
      </c>
      <c r="C956" s="104" t="n">
        <v>45976</v>
      </c>
      <c r="D956" s="103" t="s">
        <v>101</v>
      </c>
      <c r="E956" s="103" t="n">
        <v>60</v>
      </c>
      <c r="F956" s="103" t="s">
        <v>170</v>
      </c>
      <c r="G956" s="103" t="s">
        <v>82</v>
      </c>
      <c r="H956" s="103" t="n">
        <v>3.7</v>
      </c>
      <c r="I956" s="103" t="n">
        <v>1165</v>
      </c>
      <c r="J956" s="103" t="n">
        <v>0</v>
      </c>
      <c r="K956" s="103" t="n">
        <v>100</v>
      </c>
      <c r="L956" s="103" t="s">
        <v>93</v>
      </c>
      <c r="M956" s="103" t="s">
        <v>65</v>
      </c>
      <c r="N956" s="103" t="s">
        <v>77</v>
      </c>
      <c r="O956" s="103" t="n">
        <v>69</v>
      </c>
      <c r="P956" s="103" t="n">
        <v>4.6</v>
      </c>
      <c r="Q956" s="103" t="n">
        <v>5</v>
      </c>
      <c r="R956" s="103" t="s">
        <v>136</v>
      </c>
      <c r="S956" s="103" t="n">
        <v>1165</v>
      </c>
      <c r="T956" s="103" t="n">
        <v>1065</v>
      </c>
      <c r="U956" s="103" t="s">
        <v>1636</v>
      </c>
      <c r="V956" s="103" t="n">
        <v>2025</v>
      </c>
    </row>
    <row r="957" customFormat="false" ht="14.25" hidden="false" customHeight="false" outlineLevel="0" collapsed="false">
      <c r="A957" s="103" t="s">
        <v>1679</v>
      </c>
      <c r="B957" s="103" t="s">
        <v>595</v>
      </c>
      <c r="C957" s="104" t="n">
        <v>45976</v>
      </c>
      <c r="D957" s="103" t="s">
        <v>104</v>
      </c>
      <c r="E957" s="103" t="n">
        <v>38</v>
      </c>
      <c r="F957" s="103" t="s">
        <v>170</v>
      </c>
      <c r="G957" s="103" t="s">
        <v>85</v>
      </c>
      <c r="H957" s="103" t="n">
        <v>3</v>
      </c>
      <c r="I957" s="103" t="n">
        <v>1690</v>
      </c>
      <c r="J957" s="103" t="n">
        <v>30</v>
      </c>
      <c r="K957" s="103" t="n">
        <v>100</v>
      </c>
      <c r="L957" s="103" t="s">
        <v>97</v>
      </c>
      <c r="M957" s="103" t="s">
        <v>65</v>
      </c>
      <c r="N957" s="103" t="s">
        <v>77</v>
      </c>
      <c r="O957" s="103" t="n">
        <v>41</v>
      </c>
      <c r="P957" s="103" t="n">
        <v>12.7</v>
      </c>
      <c r="Q957" s="103" t="n">
        <v>5</v>
      </c>
      <c r="R957" s="103" t="s">
        <v>137</v>
      </c>
      <c r="S957" s="103" t="n">
        <v>1720</v>
      </c>
      <c r="T957" s="103" t="n">
        <v>1620</v>
      </c>
      <c r="U957" s="103" t="s">
        <v>1636</v>
      </c>
      <c r="V957" s="103" t="n">
        <v>2025</v>
      </c>
    </row>
    <row r="958" customFormat="false" ht="14.25" hidden="false" customHeight="false" outlineLevel="0" collapsed="false">
      <c r="A958" s="103" t="s">
        <v>1680</v>
      </c>
      <c r="B958" s="103" t="s">
        <v>596</v>
      </c>
      <c r="C958" s="104" t="n">
        <v>45976</v>
      </c>
      <c r="D958" s="103" t="s">
        <v>108</v>
      </c>
      <c r="E958" s="103" t="n">
        <v>40</v>
      </c>
      <c r="F958" s="103" t="s">
        <v>170</v>
      </c>
      <c r="G958" s="103" t="s">
        <v>90</v>
      </c>
      <c r="H958" s="103" t="n">
        <v>2.8</v>
      </c>
      <c r="I958" s="103" t="n">
        <v>467</v>
      </c>
      <c r="J958" s="103" t="n">
        <v>50</v>
      </c>
      <c r="K958" s="103" t="n">
        <v>0</v>
      </c>
      <c r="L958" s="103" t="s">
        <v>95</v>
      </c>
      <c r="M958" s="103" t="s">
        <v>66</v>
      </c>
      <c r="N958" s="103" t="s">
        <v>77</v>
      </c>
      <c r="O958" s="103" t="n">
        <v>59</v>
      </c>
      <c r="P958" s="103" t="n">
        <v>1.2</v>
      </c>
      <c r="Q958" s="103" t="n">
        <v>3</v>
      </c>
      <c r="R958" s="103" t="s">
        <v>136</v>
      </c>
      <c r="S958" s="103" t="n">
        <v>517</v>
      </c>
      <c r="T958" s="103" t="n">
        <v>517</v>
      </c>
      <c r="U958" s="103" t="s">
        <v>1636</v>
      </c>
      <c r="V958" s="103" t="n">
        <v>2025</v>
      </c>
    </row>
    <row r="959" customFormat="false" ht="14.25" hidden="false" customHeight="false" outlineLevel="0" collapsed="false">
      <c r="A959" s="103" t="s">
        <v>1681</v>
      </c>
      <c r="B959" s="103" t="s">
        <v>597</v>
      </c>
      <c r="C959" s="104" t="n">
        <v>45977</v>
      </c>
      <c r="D959" s="103" t="s">
        <v>109</v>
      </c>
      <c r="E959" s="103" t="n">
        <v>60</v>
      </c>
      <c r="F959" s="103" t="s">
        <v>170</v>
      </c>
      <c r="G959" s="103" t="s">
        <v>88</v>
      </c>
      <c r="H959" s="103" t="n">
        <v>4.6</v>
      </c>
      <c r="I959" s="103" t="n">
        <v>1355</v>
      </c>
      <c r="J959" s="103" t="n">
        <v>20</v>
      </c>
      <c r="K959" s="103" t="n">
        <v>20</v>
      </c>
      <c r="L959" s="103" t="s">
        <v>95</v>
      </c>
      <c r="M959" s="103" t="s">
        <v>65</v>
      </c>
      <c r="N959" s="103" t="s">
        <v>77</v>
      </c>
      <c r="O959" s="103" t="n">
        <v>69</v>
      </c>
      <c r="P959" s="103" t="n">
        <v>6.3</v>
      </c>
      <c r="Q959" s="103" t="n">
        <v>1</v>
      </c>
      <c r="R959" s="103" t="s">
        <v>139</v>
      </c>
      <c r="S959" s="103" t="n">
        <v>1375</v>
      </c>
      <c r="T959" s="103" t="n">
        <v>1355</v>
      </c>
      <c r="U959" s="103" t="s">
        <v>1636</v>
      </c>
      <c r="V959" s="103" t="n">
        <v>2025</v>
      </c>
    </row>
    <row r="960" customFormat="false" ht="14.25" hidden="false" customHeight="false" outlineLevel="0" collapsed="false">
      <c r="A960" s="103" t="s">
        <v>1682</v>
      </c>
      <c r="B960" s="103" t="s">
        <v>598</v>
      </c>
      <c r="C960" s="104" t="n">
        <v>45977</v>
      </c>
      <c r="D960" s="103" t="s">
        <v>100</v>
      </c>
      <c r="E960" s="103" t="n">
        <v>33</v>
      </c>
      <c r="F960" s="103" t="s">
        <v>171</v>
      </c>
      <c r="G960" s="103" t="s">
        <v>82</v>
      </c>
      <c r="H960" s="103" t="n">
        <v>3.8</v>
      </c>
      <c r="I960" s="103" t="n">
        <v>1576</v>
      </c>
      <c r="J960" s="103" t="n">
        <v>40</v>
      </c>
      <c r="K960" s="103" t="n">
        <v>150</v>
      </c>
      <c r="L960" s="103" t="s">
        <v>95</v>
      </c>
      <c r="M960" s="103" t="s">
        <v>65</v>
      </c>
      <c r="N960" s="103" t="s">
        <v>77</v>
      </c>
      <c r="O960" s="103" t="n">
        <v>49</v>
      </c>
      <c r="P960" s="103" t="n">
        <v>5.9</v>
      </c>
      <c r="Q960" s="103" t="n">
        <v>5</v>
      </c>
      <c r="R960" s="103" t="s">
        <v>135</v>
      </c>
      <c r="S960" s="103" t="n">
        <v>1616</v>
      </c>
      <c r="T960" s="103" t="n">
        <v>1466</v>
      </c>
      <c r="U960" s="103" t="s">
        <v>1636</v>
      </c>
      <c r="V960" s="103" t="n">
        <v>2025</v>
      </c>
    </row>
    <row r="961" customFormat="false" ht="14.25" hidden="false" customHeight="false" outlineLevel="0" collapsed="false">
      <c r="A961" s="103" t="s">
        <v>1683</v>
      </c>
      <c r="B961" s="103" t="s">
        <v>599</v>
      </c>
      <c r="C961" s="104" t="n">
        <v>45977</v>
      </c>
      <c r="D961" s="103" t="s">
        <v>108</v>
      </c>
      <c r="E961" s="103" t="n">
        <v>32</v>
      </c>
      <c r="F961" s="103" t="s">
        <v>171</v>
      </c>
      <c r="G961" s="103" t="s">
        <v>88</v>
      </c>
      <c r="H961" s="103" t="n">
        <v>2.5</v>
      </c>
      <c r="I961" s="103" t="n">
        <v>995</v>
      </c>
      <c r="J961" s="103" t="n">
        <v>60</v>
      </c>
      <c r="K961" s="103" t="n">
        <v>200</v>
      </c>
      <c r="L961" s="103" t="s">
        <v>95</v>
      </c>
      <c r="M961" s="103" t="s">
        <v>66</v>
      </c>
      <c r="N961" s="103" t="s">
        <v>78</v>
      </c>
      <c r="O961" s="103" t="n">
        <v>29</v>
      </c>
      <c r="P961" s="103" t="n">
        <v>4.6</v>
      </c>
      <c r="Q961" s="103" t="n">
        <v>4</v>
      </c>
      <c r="R961" s="103" t="s">
        <v>134</v>
      </c>
      <c r="S961" s="103" t="n">
        <v>1055</v>
      </c>
      <c r="T961" s="103" t="n">
        <v>855</v>
      </c>
      <c r="U961" s="103" t="s">
        <v>1636</v>
      </c>
      <c r="V961" s="103" t="n">
        <v>2025</v>
      </c>
    </row>
    <row r="962" customFormat="false" ht="14.25" hidden="false" customHeight="false" outlineLevel="0" collapsed="false">
      <c r="A962" s="103" t="s">
        <v>1684</v>
      </c>
      <c r="B962" s="103" t="s">
        <v>600</v>
      </c>
      <c r="C962" s="104" t="n">
        <v>45978</v>
      </c>
      <c r="D962" s="103" t="s">
        <v>107</v>
      </c>
      <c r="E962" s="103" t="n">
        <v>42</v>
      </c>
      <c r="F962" s="103" t="s">
        <v>170</v>
      </c>
      <c r="G962" s="103" t="s">
        <v>88</v>
      </c>
      <c r="H962" s="103" t="n">
        <v>4.5</v>
      </c>
      <c r="I962" s="103" t="n">
        <v>1244</v>
      </c>
      <c r="J962" s="103" t="n">
        <v>20</v>
      </c>
      <c r="K962" s="103" t="n">
        <v>100</v>
      </c>
      <c r="L962" s="103" t="s">
        <v>94</v>
      </c>
      <c r="M962" s="103" t="s">
        <v>65</v>
      </c>
      <c r="N962" s="103" t="s">
        <v>77</v>
      </c>
      <c r="O962" s="103" t="n">
        <v>42</v>
      </c>
      <c r="P962" s="103" t="n">
        <v>13.7</v>
      </c>
      <c r="Q962" s="103" t="n">
        <v>4</v>
      </c>
      <c r="R962" s="103" t="s">
        <v>142</v>
      </c>
      <c r="S962" s="103" t="n">
        <v>1264</v>
      </c>
      <c r="T962" s="103" t="n">
        <v>1164</v>
      </c>
      <c r="U962" s="103" t="s">
        <v>1636</v>
      </c>
      <c r="V962" s="103" t="n">
        <v>2025</v>
      </c>
    </row>
    <row r="963" customFormat="false" ht="14.25" hidden="false" customHeight="false" outlineLevel="0" collapsed="false">
      <c r="A963" s="103" t="s">
        <v>1685</v>
      </c>
      <c r="B963" s="103" t="s">
        <v>601</v>
      </c>
      <c r="C963" s="104" t="n">
        <v>45978</v>
      </c>
      <c r="D963" s="103" t="s">
        <v>104</v>
      </c>
      <c r="E963" s="103" t="n">
        <v>53</v>
      </c>
      <c r="F963" s="103" t="s">
        <v>170</v>
      </c>
      <c r="G963" s="103" t="s">
        <v>83</v>
      </c>
      <c r="H963" s="103" t="n">
        <v>5</v>
      </c>
      <c r="I963" s="103" t="n">
        <v>1489</v>
      </c>
      <c r="J963" s="103" t="n">
        <v>0</v>
      </c>
      <c r="K963" s="103" t="n">
        <v>100</v>
      </c>
      <c r="L963" s="103" t="s">
        <v>95</v>
      </c>
      <c r="M963" s="103" t="s">
        <v>65</v>
      </c>
      <c r="N963" s="103" t="s">
        <v>77</v>
      </c>
      <c r="O963" s="103" t="n">
        <v>49</v>
      </c>
      <c r="P963" s="103" t="n">
        <v>11.4</v>
      </c>
      <c r="Q963" s="103" t="n">
        <v>5</v>
      </c>
      <c r="R963" s="103" t="s">
        <v>137</v>
      </c>
      <c r="S963" s="103" t="n">
        <v>1489</v>
      </c>
      <c r="T963" s="103" t="n">
        <v>1389</v>
      </c>
      <c r="U963" s="103" t="s">
        <v>1636</v>
      </c>
      <c r="V963" s="103" t="n">
        <v>2025</v>
      </c>
    </row>
    <row r="964" customFormat="false" ht="14.25" hidden="false" customHeight="false" outlineLevel="0" collapsed="false">
      <c r="A964" s="103" t="s">
        <v>1686</v>
      </c>
      <c r="B964" s="103" t="s">
        <v>602</v>
      </c>
      <c r="C964" s="104" t="n">
        <v>45978</v>
      </c>
      <c r="D964" s="103" t="s">
        <v>101</v>
      </c>
      <c r="E964" s="103" t="n">
        <v>28</v>
      </c>
      <c r="F964" s="103" t="s">
        <v>171</v>
      </c>
      <c r="G964" s="103" t="s">
        <v>83</v>
      </c>
      <c r="H964" s="103" t="n">
        <v>4</v>
      </c>
      <c r="I964" s="103" t="n">
        <v>558</v>
      </c>
      <c r="J964" s="103" t="n">
        <v>60</v>
      </c>
      <c r="K964" s="103" t="n">
        <v>150</v>
      </c>
      <c r="L964" s="103" t="s">
        <v>95</v>
      </c>
      <c r="M964" s="103" t="s">
        <v>67</v>
      </c>
      <c r="N964" s="103" t="s">
        <v>77</v>
      </c>
      <c r="O964" s="103" t="n">
        <v>21</v>
      </c>
      <c r="P964" s="103" t="n">
        <v>1.4</v>
      </c>
      <c r="Q964" s="103" t="n">
        <v>4</v>
      </c>
      <c r="R964" s="103" t="s">
        <v>140</v>
      </c>
      <c r="S964" s="103" t="n">
        <v>618</v>
      </c>
      <c r="T964" s="103" t="n">
        <v>468</v>
      </c>
      <c r="U964" s="103" t="s">
        <v>1636</v>
      </c>
      <c r="V964" s="103" t="n">
        <v>2025</v>
      </c>
    </row>
    <row r="965" customFormat="false" ht="14.25" hidden="false" customHeight="false" outlineLevel="0" collapsed="false">
      <c r="A965" s="103" t="s">
        <v>1687</v>
      </c>
      <c r="B965" s="103" t="s">
        <v>603</v>
      </c>
      <c r="C965" s="104" t="n">
        <v>45979</v>
      </c>
      <c r="D965" s="103" t="s">
        <v>109</v>
      </c>
      <c r="E965" s="103" t="n">
        <v>32</v>
      </c>
      <c r="F965" s="103" t="s">
        <v>171</v>
      </c>
      <c r="G965" s="103" t="s">
        <v>82</v>
      </c>
      <c r="H965" s="103" t="n">
        <v>3.8</v>
      </c>
      <c r="I965" s="103" t="n">
        <v>619</v>
      </c>
      <c r="J965" s="103" t="n">
        <v>20</v>
      </c>
      <c r="K965" s="103" t="n">
        <v>75</v>
      </c>
      <c r="L965" s="103" t="s">
        <v>96</v>
      </c>
      <c r="M965" s="103" t="s">
        <v>67</v>
      </c>
      <c r="N965" s="103" t="s">
        <v>77</v>
      </c>
      <c r="O965" s="103" t="n">
        <v>64</v>
      </c>
      <c r="P965" s="103" t="n">
        <v>10.9</v>
      </c>
      <c r="Q965" s="103" t="n">
        <v>4</v>
      </c>
      <c r="R965" s="103" t="s">
        <v>141</v>
      </c>
      <c r="S965" s="103" t="n">
        <v>639</v>
      </c>
      <c r="T965" s="103" t="n">
        <v>564</v>
      </c>
      <c r="U965" s="103" t="s">
        <v>1636</v>
      </c>
      <c r="V965" s="103" t="n">
        <v>2025</v>
      </c>
    </row>
    <row r="966" customFormat="false" ht="14.25" hidden="false" customHeight="false" outlineLevel="0" collapsed="false">
      <c r="A966" s="103" t="s">
        <v>1688</v>
      </c>
      <c r="B966" s="103" t="s">
        <v>604</v>
      </c>
      <c r="C966" s="104" t="n">
        <v>45979</v>
      </c>
      <c r="D966" s="103" t="s">
        <v>100</v>
      </c>
      <c r="E966" s="103" t="n">
        <v>21</v>
      </c>
      <c r="F966" s="103" t="s">
        <v>170</v>
      </c>
      <c r="G966" s="103" t="s">
        <v>83</v>
      </c>
      <c r="H966" s="103" t="n">
        <v>4.7</v>
      </c>
      <c r="I966" s="103" t="n">
        <v>121</v>
      </c>
      <c r="J966" s="103" t="n">
        <v>20</v>
      </c>
      <c r="K966" s="103" t="n">
        <v>20</v>
      </c>
      <c r="L966" s="103" t="s">
        <v>96</v>
      </c>
      <c r="M966" s="103" t="s">
        <v>65</v>
      </c>
      <c r="N966" s="103" t="s">
        <v>77</v>
      </c>
      <c r="O966" s="103" t="n">
        <v>60</v>
      </c>
      <c r="P966" s="103" t="n">
        <v>8.1</v>
      </c>
      <c r="Q966" s="103" t="n">
        <v>5</v>
      </c>
      <c r="R966" s="103" t="s">
        <v>137</v>
      </c>
      <c r="S966" s="103" t="n">
        <v>141</v>
      </c>
      <c r="T966" s="103" t="n">
        <v>121</v>
      </c>
      <c r="U966" s="103" t="s">
        <v>1636</v>
      </c>
      <c r="V966" s="103" t="n">
        <v>2025</v>
      </c>
    </row>
    <row r="967" customFormat="false" ht="14.25" hidden="false" customHeight="false" outlineLevel="0" collapsed="false">
      <c r="A967" s="103" t="s">
        <v>1689</v>
      </c>
      <c r="B967" s="103" t="s">
        <v>605</v>
      </c>
      <c r="C967" s="104" t="n">
        <v>45979</v>
      </c>
      <c r="D967" s="103" t="s">
        <v>106</v>
      </c>
      <c r="E967" s="103" t="n">
        <v>38</v>
      </c>
      <c r="F967" s="103" t="s">
        <v>170</v>
      </c>
      <c r="G967" s="103" t="s">
        <v>84</v>
      </c>
      <c r="H967" s="103" t="n">
        <v>4.9</v>
      </c>
      <c r="I967" s="103" t="n">
        <v>1738</v>
      </c>
      <c r="J967" s="103" t="n">
        <v>20</v>
      </c>
      <c r="K967" s="103" t="n">
        <v>0</v>
      </c>
      <c r="L967" s="103" t="s">
        <v>93</v>
      </c>
      <c r="M967" s="103" t="s">
        <v>65</v>
      </c>
      <c r="N967" s="103" t="s">
        <v>77</v>
      </c>
      <c r="O967" s="103" t="n">
        <v>64</v>
      </c>
      <c r="P967" s="103" t="n">
        <v>13.6</v>
      </c>
      <c r="Q967" s="103" t="n">
        <v>5</v>
      </c>
      <c r="R967" s="103" t="s">
        <v>133</v>
      </c>
      <c r="S967" s="103" t="n">
        <v>1758</v>
      </c>
      <c r="T967" s="103" t="n">
        <v>1758</v>
      </c>
      <c r="U967" s="103" t="s">
        <v>1636</v>
      </c>
      <c r="V967" s="103" t="n">
        <v>2025</v>
      </c>
    </row>
    <row r="968" customFormat="false" ht="14.25" hidden="false" customHeight="false" outlineLevel="0" collapsed="false">
      <c r="A968" s="103" t="s">
        <v>1690</v>
      </c>
      <c r="B968" s="103" t="s">
        <v>606</v>
      </c>
      <c r="C968" s="104" t="n">
        <v>45980</v>
      </c>
      <c r="D968" s="103" t="s">
        <v>109</v>
      </c>
      <c r="E968" s="103" t="n">
        <v>30</v>
      </c>
      <c r="F968" s="103" t="s">
        <v>171</v>
      </c>
      <c r="G968" s="103" t="s">
        <v>85</v>
      </c>
      <c r="H968" s="103" t="n">
        <v>4.4</v>
      </c>
      <c r="I968" s="103" t="n">
        <v>1661</v>
      </c>
      <c r="J968" s="103" t="n">
        <v>20</v>
      </c>
      <c r="K968" s="103" t="n">
        <v>100</v>
      </c>
      <c r="L968" s="103" t="s">
        <v>93</v>
      </c>
      <c r="M968" s="103" t="s">
        <v>67</v>
      </c>
      <c r="N968" s="103" t="s">
        <v>77</v>
      </c>
      <c r="O968" s="103" t="n">
        <v>65</v>
      </c>
      <c r="P968" s="103" t="n">
        <v>5</v>
      </c>
      <c r="Q968" s="103" t="n">
        <v>3</v>
      </c>
      <c r="R968" s="103" t="s">
        <v>140</v>
      </c>
      <c r="S968" s="103" t="n">
        <v>1681</v>
      </c>
      <c r="T968" s="103" t="n">
        <v>1581</v>
      </c>
      <c r="U968" s="103" t="s">
        <v>1636</v>
      </c>
      <c r="V968" s="103" t="n">
        <v>2025</v>
      </c>
    </row>
    <row r="969" customFormat="false" ht="14.25" hidden="false" customHeight="false" outlineLevel="0" collapsed="false">
      <c r="A969" s="103" t="s">
        <v>1691</v>
      </c>
      <c r="B969" s="103" t="s">
        <v>607</v>
      </c>
      <c r="C969" s="104" t="n">
        <v>45980</v>
      </c>
      <c r="D969" s="103" t="s">
        <v>106</v>
      </c>
      <c r="E969" s="103" t="n">
        <v>39</v>
      </c>
      <c r="F969" s="103" t="s">
        <v>171</v>
      </c>
      <c r="G969" s="103" t="s">
        <v>86</v>
      </c>
      <c r="H969" s="103" t="n">
        <v>3.6</v>
      </c>
      <c r="I969" s="103" t="n">
        <v>1404</v>
      </c>
      <c r="J969" s="103" t="n">
        <v>60</v>
      </c>
      <c r="K969" s="103" t="n">
        <v>0</v>
      </c>
      <c r="L969" s="103" t="s">
        <v>93</v>
      </c>
      <c r="M969" s="103" t="s">
        <v>66</v>
      </c>
      <c r="N969" s="103" t="s">
        <v>77</v>
      </c>
      <c r="O969" s="103" t="n">
        <v>60</v>
      </c>
      <c r="P969" s="103" t="n">
        <v>8.8</v>
      </c>
      <c r="Q969" s="103" t="n">
        <v>3</v>
      </c>
      <c r="R969" s="103" t="s">
        <v>141</v>
      </c>
      <c r="S969" s="103" t="n">
        <v>1464</v>
      </c>
      <c r="T969" s="103" t="n">
        <v>1464</v>
      </c>
      <c r="U969" s="103" t="s">
        <v>1636</v>
      </c>
      <c r="V969" s="103" t="n">
        <v>2025</v>
      </c>
    </row>
    <row r="970" customFormat="false" ht="14.25" hidden="false" customHeight="false" outlineLevel="0" collapsed="false">
      <c r="A970" s="103" t="s">
        <v>1692</v>
      </c>
      <c r="B970" s="103" t="s">
        <v>608</v>
      </c>
      <c r="C970" s="104" t="n">
        <v>45980</v>
      </c>
      <c r="D970" s="103" t="s">
        <v>104</v>
      </c>
      <c r="E970" s="103" t="n">
        <v>36</v>
      </c>
      <c r="F970" s="103" t="s">
        <v>171</v>
      </c>
      <c r="G970" s="103" t="s">
        <v>82</v>
      </c>
      <c r="H970" s="103" t="n">
        <v>4</v>
      </c>
      <c r="I970" s="103" t="n">
        <v>253</v>
      </c>
      <c r="J970" s="103" t="n">
        <v>0</v>
      </c>
      <c r="K970" s="103" t="n">
        <v>0</v>
      </c>
      <c r="L970" s="103" t="s">
        <v>93</v>
      </c>
      <c r="M970" s="103" t="s">
        <v>67</v>
      </c>
      <c r="N970" s="103" t="s">
        <v>77</v>
      </c>
      <c r="O970" s="103" t="n">
        <v>34</v>
      </c>
      <c r="P970" s="103" t="n">
        <v>7.8</v>
      </c>
      <c r="Q970" s="103" t="n">
        <v>3</v>
      </c>
      <c r="R970" s="103" t="s">
        <v>139</v>
      </c>
      <c r="S970" s="103" t="n">
        <v>253</v>
      </c>
      <c r="T970" s="103" t="n">
        <v>253</v>
      </c>
      <c r="U970" s="103" t="s">
        <v>1636</v>
      </c>
      <c r="V970" s="103" t="n">
        <v>2025</v>
      </c>
    </row>
    <row r="971" customFormat="false" ht="14.25" hidden="false" customHeight="false" outlineLevel="0" collapsed="false">
      <c r="A971" s="103" t="s">
        <v>1693</v>
      </c>
      <c r="B971" s="103" t="s">
        <v>609</v>
      </c>
      <c r="C971" s="104" t="n">
        <v>45981</v>
      </c>
      <c r="D971" s="103" t="s">
        <v>102</v>
      </c>
      <c r="E971" s="103" t="n">
        <v>51</v>
      </c>
      <c r="F971" s="103" t="s">
        <v>171</v>
      </c>
      <c r="G971" s="103" t="s">
        <v>82</v>
      </c>
      <c r="H971" s="103" t="n">
        <v>4.3</v>
      </c>
      <c r="I971" s="103" t="n">
        <v>872</v>
      </c>
      <c r="J971" s="103" t="n">
        <v>50</v>
      </c>
      <c r="K971" s="103" t="n">
        <v>200</v>
      </c>
      <c r="L971" s="103" t="s">
        <v>94</v>
      </c>
      <c r="M971" s="103" t="s">
        <v>65</v>
      </c>
      <c r="N971" s="103" t="s">
        <v>77</v>
      </c>
      <c r="O971" s="103" t="n">
        <v>46</v>
      </c>
      <c r="P971" s="103" t="n">
        <v>7.6</v>
      </c>
      <c r="Q971" s="103" t="n">
        <v>5</v>
      </c>
      <c r="R971" s="103" t="s">
        <v>132</v>
      </c>
      <c r="S971" s="103" t="n">
        <v>922</v>
      </c>
      <c r="T971" s="103" t="n">
        <v>722</v>
      </c>
      <c r="U971" s="103" t="s">
        <v>1636</v>
      </c>
      <c r="V971" s="103" t="n">
        <v>2025</v>
      </c>
    </row>
    <row r="972" customFormat="false" ht="14.25" hidden="false" customHeight="false" outlineLevel="0" collapsed="false">
      <c r="A972" s="103" t="s">
        <v>1694</v>
      </c>
      <c r="B972" s="103" t="s">
        <v>610</v>
      </c>
      <c r="C972" s="104" t="n">
        <v>45981</v>
      </c>
      <c r="D972" s="103" t="s">
        <v>109</v>
      </c>
      <c r="E972" s="103" t="n">
        <v>31</v>
      </c>
      <c r="F972" s="103" t="s">
        <v>171</v>
      </c>
      <c r="G972" s="103" t="s">
        <v>84</v>
      </c>
      <c r="H972" s="103" t="n">
        <v>3</v>
      </c>
      <c r="I972" s="103" t="n">
        <v>291</v>
      </c>
      <c r="J972" s="103" t="n">
        <v>30</v>
      </c>
      <c r="K972" s="103" t="n">
        <v>100</v>
      </c>
      <c r="L972" s="103" t="s">
        <v>96</v>
      </c>
      <c r="M972" s="103" t="s">
        <v>65</v>
      </c>
      <c r="N972" s="103" t="s">
        <v>78</v>
      </c>
      <c r="O972" s="103" t="n">
        <v>52</v>
      </c>
      <c r="P972" s="103" t="n">
        <v>7.1</v>
      </c>
      <c r="Q972" s="103" t="n">
        <v>4</v>
      </c>
      <c r="R972" s="103" t="s">
        <v>141</v>
      </c>
      <c r="S972" s="103" t="n">
        <v>321</v>
      </c>
      <c r="T972" s="103" t="n">
        <v>221</v>
      </c>
      <c r="U972" s="103" t="s">
        <v>1636</v>
      </c>
      <c r="V972" s="103" t="n">
        <v>2025</v>
      </c>
    </row>
    <row r="973" customFormat="false" ht="14.25" hidden="false" customHeight="false" outlineLevel="0" collapsed="false">
      <c r="A973" s="103" t="s">
        <v>1695</v>
      </c>
      <c r="B973" s="103" t="s">
        <v>611</v>
      </c>
      <c r="C973" s="104" t="n">
        <v>45981</v>
      </c>
      <c r="D973" s="103" t="s">
        <v>110</v>
      </c>
      <c r="E973" s="103" t="n">
        <v>21</v>
      </c>
      <c r="F973" s="103" t="s">
        <v>171</v>
      </c>
      <c r="G973" s="103" t="s">
        <v>89</v>
      </c>
      <c r="H973" s="103" t="n">
        <v>3.6</v>
      </c>
      <c r="I973" s="103" t="n">
        <v>147</v>
      </c>
      <c r="J973" s="103" t="n">
        <v>40</v>
      </c>
      <c r="K973" s="103" t="n">
        <v>30</v>
      </c>
      <c r="L973" s="103" t="s">
        <v>93</v>
      </c>
      <c r="M973" s="103" t="s">
        <v>65</v>
      </c>
      <c r="N973" s="103" t="s">
        <v>78</v>
      </c>
      <c r="O973" s="103" t="n">
        <v>54</v>
      </c>
      <c r="P973" s="103" t="n">
        <v>3.5</v>
      </c>
      <c r="Q973" s="103" t="n">
        <v>1</v>
      </c>
      <c r="R973" s="103" t="s">
        <v>133</v>
      </c>
      <c r="S973" s="103" t="n">
        <v>187</v>
      </c>
      <c r="T973" s="103" t="n">
        <v>157</v>
      </c>
      <c r="U973" s="103" t="s">
        <v>1636</v>
      </c>
      <c r="V973" s="103" t="n">
        <v>2025</v>
      </c>
    </row>
    <row r="974" customFormat="false" ht="14.25" hidden="false" customHeight="false" outlineLevel="0" collapsed="false">
      <c r="A974" s="103" t="s">
        <v>1696</v>
      </c>
      <c r="B974" s="103" t="s">
        <v>612</v>
      </c>
      <c r="C974" s="104" t="n">
        <v>45982</v>
      </c>
      <c r="D974" s="103" t="s">
        <v>106</v>
      </c>
      <c r="E974" s="103" t="n">
        <v>44</v>
      </c>
      <c r="F974" s="103" t="s">
        <v>170</v>
      </c>
      <c r="G974" s="103" t="s">
        <v>89</v>
      </c>
      <c r="H974" s="103" t="n">
        <v>4.6</v>
      </c>
      <c r="I974" s="103" t="n">
        <v>1155</v>
      </c>
      <c r="J974" s="103" t="n">
        <v>30</v>
      </c>
      <c r="K974" s="103" t="n">
        <v>75</v>
      </c>
      <c r="L974" s="103" t="s">
        <v>94</v>
      </c>
      <c r="M974" s="103" t="s">
        <v>65</v>
      </c>
      <c r="N974" s="103" t="s">
        <v>77</v>
      </c>
      <c r="O974" s="103" t="n">
        <v>46</v>
      </c>
      <c r="P974" s="103" t="n">
        <v>11.5</v>
      </c>
      <c r="Q974" s="103" t="n">
        <v>5</v>
      </c>
      <c r="R974" s="103" t="s">
        <v>134</v>
      </c>
      <c r="S974" s="103" t="n">
        <v>1185</v>
      </c>
      <c r="T974" s="103" t="n">
        <v>1110</v>
      </c>
      <c r="U974" s="103" t="s">
        <v>1636</v>
      </c>
      <c r="V974" s="103" t="n">
        <v>2025</v>
      </c>
    </row>
    <row r="975" customFormat="false" ht="14.25" hidden="false" customHeight="false" outlineLevel="0" collapsed="false">
      <c r="A975" s="103" t="s">
        <v>1697</v>
      </c>
      <c r="B975" s="103" t="s">
        <v>613</v>
      </c>
      <c r="C975" s="104" t="n">
        <v>45982</v>
      </c>
      <c r="D975" s="103" t="s">
        <v>107</v>
      </c>
      <c r="E975" s="103" t="n">
        <v>46</v>
      </c>
      <c r="F975" s="103" t="s">
        <v>171</v>
      </c>
      <c r="G975" s="103" t="s">
        <v>83</v>
      </c>
      <c r="H975" s="103" t="n">
        <v>4.1</v>
      </c>
      <c r="I975" s="103" t="n">
        <v>1734</v>
      </c>
      <c r="J975" s="103" t="n">
        <v>30</v>
      </c>
      <c r="K975" s="103" t="n">
        <v>0</v>
      </c>
      <c r="L975" s="103" t="s">
        <v>96</v>
      </c>
      <c r="M975" s="103" t="s">
        <v>65</v>
      </c>
      <c r="N975" s="103" t="s">
        <v>78</v>
      </c>
      <c r="O975" s="103" t="n">
        <v>40</v>
      </c>
      <c r="P975" s="103" t="n">
        <v>7</v>
      </c>
      <c r="Q975" s="103" t="n">
        <v>3</v>
      </c>
      <c r="R975" s="103" t="s">
        <v>141</v>
      </c>
      <c r="S975" s="103" t="n">
        <v>1764</v>
      </c>
      <c r="T975" s="103" t="n">
        <v>1764</v>
      </c>
      <c r="U975" s="103" t="s">
        <v>1636</v>
      </c>
      <c r="V975" s="103" t="n">
        <v>2025</v>
      </c>
    </row>
    <row r="976" customFormat="false" ht="14.25" hidden="false" customHeight="false" outlineLevel="0" collapsed="false">
      <c r="A976" s="103" t="s">
        <v>1698</v>
      </c>
      <c r="B976" s="103" t="s">
        <v>614</v>
      </c>
      <c r="C976" s="104" t="n">
        <v>45982</v>
      </c>
      <c r="D976" s="103" t="s">
        <v>110</v>
      </c>
      <c r="E976" s="103" t="n">
        <v>45</v>
      </c>
      <c r="F976" s="103" t="s">
        <v>170</v>
      </c>
      <c r="G976" s="103" t="s">
        <v>86</v>
      </c>
      <c r="H976" s="103" t="n">
        <v>3.5</v>
      </c>
      <c r="I976" s="103" t="n">
        <v>1637</v>
      </c>
      <c r="J976" s="103" t="n">
        <v>40</v>
      </c>
      <c r="K976" s="103" t="n">
        <v>100</v>
      </c>
      <c r="L976" s="103" t="s">
        <v>96</v>
      </c>
      <c r="M976" s="103" t="s">
        <v>65</v>
      </c>
      <c r="N976" s="103" t="s">
        <v>78</v>
      </c>
      <c r="O976" s="103" t="n">
        <v>53</v>
      </c>
      <c r="P976" s="103" t="n">
        <v>14.4</v>
      </c>
      <c r="Q976" s="103" t="n">
        <v>1</v>
      </c>
      <c r="R976" s="103" t="s">
        <v>135</v>
      </c>
      <c r="S976" s="103" t="n">
        <v>1677</v>
      </c>
      <c r="T976" s="103" t="n">
        <v>1577</v>
      </c>
      <c r="U976" s="103" t="s">
        <v>1636</v>
      </c>
      <c r="V976" s="103" t="n">
        <v>2025</v>
      </c>
    </row>
    <row r="977" customFormat="false" ht="14.25" hidden="false" customHeight="false" outlineLevel="0" collapsed="false">
      <c r="A977" s="103" t="s">
        <v>1699</v>
      </c>
      <c r="B977" s="103" t="s">
        <v>615</v>
      </c>
      <c r="C977" s="104" t="n">
        <v>45983</v>
      </c>
      <c r="D977" s="103" t="s">
        <v>105</v>
      </c>
      <c r="E977" s="103" t="n">
        <v>52</v>
      </c>
      <c r="F977" s="103" t="s">
        <v>170</v>
      </c>
      <c r="G977" s="103" t="s">
        <v>83</v>
      </c>
      <c r="H977" s="103" t="n">
        <v>4.2</v>
      </c>
      <c r="I977" s="103" t="n">
        <v>1291</v>
      </c>
      <c r="J977" s="103" t="n">
        <v>60</v>
      </c>
      <c r="K977" s="103" t="n">
        <v>75</v>
      </c>
      <c r="L977" s="103" t="s">
        <v>94</v>
      </c>
      <c r="M977" s="103" t="s">
        <v>65</v>
      </c>
      <c r="N977" s="103" t="s">
        <v>78</v>
      </c>
      <c r="O977" s="103" t="n">
        <v>34</v>
      </c>
      <c r="P977" s="103" t="n">
        <v>4.3</v>
      </c>
      <c r="Q977" s="103" t="n">
        <v>3</v>
      </c>
      <c r="R977" s="103" t="s">
        <v>137</v>
      </c>
      <c r="S977" s="103" t="n">
        <v>1351</v>
      </c>
      <c r="T977" s="103" t="n">
        <v>1276</v>
      </c>
      <c r="U977" s="103" t="s">
        <v>1636</v>
      </c>
      <c r="V977" s="103" t="n">
        <v>2025</v>
      </c>
    </row>
    <row r="978" customFormat="false" ht="14.25" hidden="false" customHeight="false" outlineLevel="0" collapsed="false">
      <c r="A978" s="103" t="s">
        <v>1700</v>
      </c>
      <c r="B978" s="103" t="s">
        <v>616</v>
      </c>
      <c r="C978" s="104" t="n">
        <v>45983</v>
      </c>
      <c r="D978" s="103" t="s">
        <v>105</v>
      </c>
      <c r="E978" s="103" t="n">
        <v>25</v>
      </c>
      <c r="F978" s="103" t="s">
        <v>171</v>
      </c>
      <c r="G978" s="103" t="s">
        <v>81</v>
      </c>
      <c r="H978" s="103" t="n">
        <v>2.8</v>
      </c>
      <c r="I978" s="103" t="n">
        <v>282</v>
      </c>
      <c r="J978" s="103" t="n">
        <v>0</v>
      </c>
      <c r="K978" s="103" t="n">
        <v>30</v>
      </c>
      <c r="L978" s="103" t="s">
        <v>95</v>
      </c>
      <c r="M978" s="103" t="s">
        <v>67</v>
      </c>
      <c r="N978" s="103" t="s">
        <v>78</v>
      </c>
      <c r="O978" s="103" t="n">
        <v>32</v>
      </c>
      <c r="P978" s="103" t="n">
        <v>10.4</v>
      </c>
      <c r="Q978" s="103" t="n">
        <v>3</v>
      </c>
      <c r="R978" s="103" t="s">
        <v>137</v>
      </c>
      <c r="S978" s="103" t="n">
        <v>282</v>
      </c>
      <c r="T978" s="103" t="n">
        <v>252</v>
      </c>
      <c r="U978" s="103" t="s">
        <v>1636</v>
      </c>
      <c r="V978" s="103" t="n">
        <v>2025</v>
      </c>
    </row>
    <row r="979" customFormat="false" ht="14.25" hidden="false" customHeight="false" outlineLevel="0" collapsed="false">
      <c r="A979" s="103" t="s">
        <v>1701</v>
      </c>
      <c r="B979" s="103" t="s">
        <v>617</v>
      </c>
      <c r="C979" s="104" t="n">
        <v>45983</v>
      </c>
      <c r="D979" s="103" t="s">
        <v>100</v>
      </c>
      <c r="E979" s="103" t="n">
        <v>33</v>
      </c>
      <c r="F979" s="103" t="s">
        <v>170</v>
      </c>
      <c r="G979" s="103" t="s">
        <v>81</v>
      </c>
      <c r="H979" s="103" t="n">
        <v>3.5</v>
      </c>
      <c r="I979" s="103" t="n">
        <v>581</v>
      </c>
      <c r="J979" s="103" t="n">
        <v>40</v>
      </c>
      <c r="K979" s="103" t="n">
        <v>100</v>
      </c>
      <c r="L979" s="103" t="s">
        <v>94</v>
      </c>
      <c r="M979" s="103" t="s">
        <v>65</v>
      </c>
      <c r="N979" s="103" t="s">
        <v>78</v>
      </c>
      <c r="O979" s="103" t="n">
        <v>64</v>
      </c>
      <c r="P979" s="103" t="n">
        <v>14.1</v>
      </c>
      <c r="Q979" s="103" t="n">
        <v>4</v>
      </c>
      <c r="R979" s="103" t="s">
        <v>134</v>
      </c>
      <c r="S979" s="103" t="n">
        <v>621</v>
      </c>
      <c r="T979" s="103" t="n">
        <v>521</v>
      </c>
      <c r="U979" s="103" t="s">
        <v>1636</v>
      </c>
      <c r="V979" s="103" t="n">
        <v>2025</v>
      </c>
    </row>
    <row r="980" customFormat="false" ht="14.25" hidden="false" customHeight="false" outlineLevel="0" collapsed="false">
      <c r="A980" s="103" t="s">
        <v>1702</v>
      </c>
      <c r="B980" s="103" t="s">
        <v>618</v>
      </c>
      <c r="C980" s="104" t="n">
        <v>45984</v>
      </c>
      <c r="D980" s="103" t="s">
        <v>101</v>
      </c>
      <c r="E980" s="103" t="n">
        <v>59</v>
      </c>
      <c r="F980" s="103" t="s">
        <v>171</v>
      </c>
      <c r="G980" s="103" t="s">
        <v>90</v>
      </c>
      <c r="H980" s="103" t="n">
        <v>4.5</v>
      </c>
      <c r="I980" s="103" t="n">
        <v>658</v>
      </c>
      <c r="J980" s="103" t="n">
        <v>0</v>
      </c>
      <c r="K980" s="103" t="n">
        <v>20</v>
      </c>
      <c r="L980" s="103" t="s">
        <v>93</v>
      </c>
      <c r="M980" s="103" t="s">
        <v>65</v>
      </c>
      <c r="N980" s="103" t="s">
        <v>77</v>
      </c>
      <c r="O980" s="103" t="n">
        <v>29</v>
      </c>
      <c r="P980" s="103" t="n">
        <v>10.1</v>
      </c>
      <c r="Q980" s="103" t="n">
        <v>5</v>
      </c>
      <c r="R980" s="103" t="s">
        <v>137</v>
      </c>
      <c r="S980" s="103" t="n">
        <v>658</v>
      </c>
      <c r="T980" s="103" t="n">
        <v>638</v>
      </c>
      <c r="U980" s="103" t="s">
        <v>1636</v>
      </c>
      <c r="V980" s="103" t="n">
        <v>2025</v>
      </c>
    </row>
    <row r="981" customFormat="false" ht="14.25" hidden="false" customHeight="false" outlineLevel="0" collapsed="false">
      <c r="A981" s="103" t="s">
        <v>1703</v>
      </c>
      <c r="B981" s="103" t="s">
        <v>619</v>
      </c>
      <c r="C981" s="104" t="n">
        <v>45984</v>
      </c>
      <c r="D981" s="103" t="s">
        <v>102</v>
      </c>
      <c r="E981" s="103" t="n">
        <v>53</v>
      </c>
      <c r="F981" s="103" t="s">
        <v>170</v>
      </c>
      <c r="G981" s="103" t="s">
        <v>81</v>
      </c>
      <c r="H981" s="103" t="n">
        <v>3.1</v>
      </c>
      <c r="I981" s="103" t="n">
        <v>1402</v>
      </c>
      <c r="J981" s="103" t="n">
        <v>60</v>
      </c>
      <c r="K981" s="103" t="n">
        <v>0</v>
      </c>
      <c r="L981" s="103" t="s">
        <v>93</v>
      </c>
      <c r="M981" s="103" t="s">
        <v>65</v>
      </c>
      <c r="N981" s="103" t="s">
        <v>77</v>
      </c>
      <c r="O981" s="103" t="n">
        <v>66</v>
      </c>
      <c r="P981" s="103" t="n">
        <v>13.1</v>
      </c>
      <c r="Q981" s="103" t="n">
        <v>5</v>
      </c>
      <c r="R981" s="103" t="s">
        <v>135</v>
      </c>
      <c r="S981" s="103" t="n">
        <v>1462</v>
      </c>
      <c r="T981" s="103" t="n">
        <v>1462</v>
      </c>
      <c r="U981" s="103" t="s">
        <v>1636</v>
      </c>
      <c r="V981" s="103" t="n">
        <v>2025</v>
      </c>
    </row>
    <row r="982" customFormat="false" ht="14.25" hidden="false" customHeight="false" outlineLevel="0" collapsed="false">
      <c r="A982" s="103" t="s">
        <v>1704</v>
      </c>
      <c r="B982" s="103" t="s">
        <v>620</v>
      </c>
      <c r="C982" s="104" t="n">
        <v>45984</v>
      </c>
      <c r="D982" s="103" t="s">
        <v>104</v>
      </c>
      <c r="E982" s="103" t="n">
        <v>47</v>
      </c>
      <c r="F982" s="103" t="s">
        <v>171</v>
      </c>
      <c r="G982" s="103" t="s">
        <v>89</v>
      </c>
      <c r="H982" s="103" t="n">
        <v>3</v>
      </c>
      <c r="I982" s="103" t="n">
        <v>1468</v>
      </c>
      <c r="J982" s="103" t="n">
        <v>30</v>
      </c>
      <c r="K982" s="103" t="n">
        <v>30</v>
      </c>
      <c r="L982" s="103" t="s">
        <v>93</v>
      </c>
      <c r="M982" s="103" t="s">
        <v>65</v>
      </c>
      <c r="N982" s="103" t="s">
        <v>77</v>
      </c>
      <c r="O982" s="103" t="n">
        <v>36</v>
      </c>
      <c r="P982" s="103" t="n">
        <v>12.5</v>
      </c>
      <c r="Q982" s="103" t="n">
        <v>4</v>
      </c>
      <c r="R982" s="103" t="s">
        <v>139</v>
      </c>
      <c r="S982" s="103" t="n">
        <v>1498</v>
      </c>
      <c r="T982" s="103" t="n">
        <v>1468</v>
      </c>
      <c r="U982" s="103" t="s">
        <v>1636</v>
      </c>
      <c r="V982" s="103" t="n">
        <v>2025</v>
      </c>
    </row>
    <row r="983" customFormat="false" ht="14.25" hidden="false" customHeight="false" outlineLevel="0" collapsed="false">
      <c r="A983" s="103" t="s">
        <v>1705</v>
      </c>
      <c r="B983" s="103" t="s">
        <v>621</v>
      </c>
      <c r="C983" s="104" t="n">
        <v>45985</v>
      </c>
      <c r="D983" s="103" t="s">
        <v>109</v>
      </c>
      <c r="E983" s="103" t="n">
        <v>35</v>
      </c>
      <c r="F983" s="103" t="s">
        <v>170</v>
      </c>
      <c r="G983" s="103" t="s">
        <v>85</v>
      </c>
      <c r="H983" s="103" t="n">
        <v>4.9</v>
      </c>
      <c r="I983" s="103" t="n">
        <v>767</v>
      </c>
      <c r="J983" s="103" t="n">
        <v>0</v>
      </c>
      <c r="K983" s="103" t="n">
        <v>20</v>
      </c>
      <c r="L983" s="103" t="s">
        <v>93</v>
      </c>
      <c r="M983" s="103" t="s">
        <v>67</v>
      </c>
      <c r="N983" s="103" t="s">
        <v>78</v>
      </c>
      <c r="O983" s="103" t="n">
        <v>65</v>
      </c>
      <c r="P983" s="103" t="n">
        <v>5.7</v>
      </c>
      <c r="Q983" s="103" t="n">
        <v>4</v>
      </c>
      <c r="R983" s="103" t="s">
        <v>133</v>
      </c>
      <c r="S983" s="103" t="n">
        <v>767</v>
      </c>
      <c r="T983" s="103" t="n">
        <v>747</v>
      </c>
      <c r="U983" s="103" t="s">
        <v>1636</v>
      </c>
      <c r="V983" s="103" t="n">
        <v>2025</v>
      </c>
    </row>
    <row r="984" customFormat="false" ht="14.25" hidden="false" customHeight="false" outlineLevel="0" collapsed="false">
      <c r="A984" s="103" t="s">
        <v>1706</v>
      </c>
      <c r="B984" s="103" t="s">
        <v>622</v>
      </c>
      <c r="C984" s="104" t="n">
        <v>45985</v>
      </c>
      <c r="D984" s="103" t="s">
        <v>103</v>
      </c>
      <c r="E984" s="103" t="n">
        <v>19</v>
      </c>
      <c r="F984" s="103" t="s">
        <v>170</v>
      </c>
      <c r="G984" s="103" t="s">
        <v>81</v>
      </c>
      <c r="H984" s="103" t="n">
        <v>3</v>
      </c>
      <c r="I984" s="103" t="n">
        <v>822</v>
      </c>
      <c r="J984" s="103" t="n">
        <v>60</v>
      </c>
      <c r="K984" s="103" t="n">
        <v>0</v>
      </c>
      <c r="L984" s="103" t="s">
        <v>97</v>
      </c>
      <c r="M984" s="103" t="s">
        <v>66</v>
      </c>
      <c r="N984" s="103" t="s">
        <v>77</v>
      </c>
      <c r="O984" s="103" t="n">
        <v>36</v>
      </c>
      <c r="P984" s="103" t="n">
        <v>9.2</v>
      </c>
      <c r="Q984" s="103" t="n">
        <v>5</v>
      </c>
      <c r="R984" s="103" t="s">
        <v>131</v>
      </c>
      <c r="S984" s="103" t="n">
        <v>882</v>
      </c>
      <c r="T984" s="103" t="n">
        <v>882</v>
      </c>
      <c r="U984" s="103" t="s">
        <v>1636</v>
      </c>
      <c r="V984" s="103" t="n">
        <v>2025</v>
      </c>
    </row>
    <row r="985" customFormat="false" ht="14.25" hidden="false" customHeight="false" outlineLevel="0" collapsed="false">
      <c r="A985" s="103" t="s">
        <v>1707</v>
      </c>
      <c r="B985" s="103" t="s">
        <v>623</v>
      </c>
      <c r="C985" s="104" t="n">
        <v>45985</v>
      </c>
      <c r="D985" s="103" t="s">
        <v>107</v>
      </c>
      <c r="E985" s="103" t="n">
        <v>30</v>
      </c>
      <c r="F985" s="103" t="s">
        <v>171</v>
      </c>
      <c r="G985" s="103" t="s">
        <v>83</v>
      </c>
      <c r="H985" s="103" t="n">
        <v>3.2</v>
      </c>
      <c r="I985" s="103" t="n">
        <v>195</v>
      </c>
      <c r="J985" s="103" t="n">
        <v>60</v>
      </c>
      <c r="K985" s="103" t="n">
        <v>10</v>
      </c>
      <c r="L985" s="103" t="s">
        <v>95</v>
      </c>
      <c r="M985" s="103" t="s">
        <v>65</v>
      </c>
      <c r="N985" s="103" t="s">
        <v>77</v>
      </c>
      <c r="O985" s="103" t="n">
        <v>67</v>
      </c>
      <c r="P985" s="103" t="n">
        <v>2.8</v>
      </c>
      <c r="Q985" s="103" t="n">
        <v>3</v>
      </c>
      <c r="R985" s="103" t="s">
        <v>131</v>
      </c>
      <c r="S985" s="103" t="n">
        <v>255</v>
      </c>
      <c r="T985" s="103" t="n">
        <v>245</v>
      </c>
      <c r="U985" s="103" t="s">
        <v>1636</v>
      </c>
      <c r="V985" s="103" t="n">
        <v>2025</v>
      </c>
    </row>
    <row r="986" customFormat="false" ht="14.25" hidden="false" customHeight="false" outlineLevel="0" collapsed="false">
      <c r="A986" s="103" t="s">
        <v>1708</v>
      </c>
      <c r="B986" s="103" t="s">
        <v>624</v>
      </c>
      <c r="C986" s="104" t="n">
        <v>45986</v>
      </c>
      <c r="D986" s="103" t="s">
        <v>106</v>
      </c>
      <c r="E986" s="103" t="n">
        <v>21</v>
      </c>
      <c r="F986" s="103" t="s">
        <v>171</v>
      </c>
      <c r="G986" s="103" t="s">
        <v>88</v>
      </c>
      <c r="H986" s="103" t="n">
        <v>4.9</v>
      </c>
      <c r="I986" s="103" t="n">
        <v>606</v>
      </c>
      <c r="J986" s="103" t="n">
        <v>50</v>
      </c>
      <c r="K986" s="103" t="n">
        <v>50</v>
      </c>
      <c r="L986" s="103" t="s">
        <v>94</v>
      </c>
      <c r="M986" s="103" t="s">
        <v>65</v>
      </c>
      <c r="N986" s="103" t="s">
        <v>77</v>
      </c>
      <c r="O986" s="103" t="n">
        <v>35</v>
      </c>
      <c r="P986" s="103" t="n">
        <v>8.3</v>
      </c>
      <c r="Q986" s="103" t="n">
        <v>2</v>
      </c>
      <c r="R986" s="103" t="s">
        <v>132</v>
      </c>
      <c r="S986" s="103" t="n">
        <v>656</v>
      </c>
      <c r="T986" s="103" t="n">
        <v>606</v>
      </c>
      <c r="U986" s="103" t="s">
        <v>1636</v>
      </c>
      <c r="V986" s="103" t="n">
        <v>2025</v>
      </c>
    </row>
    <row r="987" customFormat="false" ht="14.25" hidden="false" customHeight="false" outlineLevel="0" collapsed="false">
      <c r="A987" s="103" t="s">
        <v>1709</v>
      </c>
      <c r="B987" s="103" t="s">
        <v>625</v>
      </c>
      <c r="C987" s="104" t="n">
        <v>45986</v>
      </c>
      <c r="D987" s="103" t="s">
        <v>104</v>
      </c>
      <c r="E987" s="103" t="n">
        <v>43</v>
      </c>
      <c r="F987" s="103" t="s">
        <v>170</v>
      </c>
      <c r="G987" s="103" t="s">
        <v>82</v>
      </c>
      <c r="H987" s="103" t="n">
        <v>4.3</v>
      </c>
      <c r="I987" s="103" t="n">
        <v>878</v>
      </c>
      <c r="J987" s="103" t="n">
        <v>40</v>
      </c>
      <c r="K987" s="103" t="n">
        <v>150</v>
      </c>
      <c r="L987" s="103" t="s">
        <v>94</v>
      </c>
      <c r="M987" s="103" t="s">
        <v>65</v>
      </c>
      <c r="N987" s="103" t="s">
        <v>78</v>
      </c>
      <c r="O987" s="103" t="n">
        <v>16</v>
      </c>
      <c r="P987" s="103" t="n">
        <v>3.8</v>
      </c>
      <c r="Q987" s="103" t="n">
        <v>5</v>
      </c>
      <c r="R987" s="103" t="s">
        <v>138</v>
      </c>
      <c r="S987" s="103" t="n">
        <v>918</v>
      </c>
      <c r="T987" s="103" t="n">
        <v>768</v>
      </c>
      <c r="U987" s="103" t="s">
        <v>1636</v>
      </c>
      <c r="V987" s="103" t="n">
        <v>2025</v>
      </c>
    </row>
    <row r="988" customFormat="false" ht="14.25" hidden="false" customHeight="false" outlineLevel="0" collapsed="false">
      <c r="A988" s="103" t="s">
        <v>1710</v>
      </c>
      <c r="B988" s="103" t="s">
        <v>626</v>
      </c>
      <c r="C988" s="104" t="n">
        <v>45986</v>
      </c>
      <c r="D988" s="103" t="s">
        <v>110</v>
      </c>
      <c r="E988" s="103" t="n">
        <v>42</v>
      </c>
      <c r="F988" s="103" t="s">
        <v>170</v>
      </c>
      <c r="G988" s="103" t="s">
        <v>85</v>
      </c>
      <c r="H988" s="103" t="n">
        <v>4.2</v>
      </c>
      <c r="I988" s="103" t="n">
        <v>317</v>
      </c>
      <c r="J988" s="103" t="n">
        <v>50</v>
      </c>
      <c r="K988" s="103" t="n">
        <v>0</v>
      </c>
      <c r="L988" s="103" t="s">
        <v>93</v>
      </c>
      <c r="M988" s="103" t="s">
        <v>65</v>
      </c>
      <c r="N988" s="103" t="s">
        <v>78</v>
      </c>
      <c r="O988" s="103" t="n">
        <v>54</v>
      </c>
      <c r="P988" s="103" t="n">
        <v>11.3</v>
      </c>
      <c r="Q988" s="103" t="n">
        <v>3</v>
      </c>
      <c r="R988" s="103" t="s">
        <v>142</v>
      </c>
      <c r="S988" s="103" t="n">
        <v>367</v>
      </c>
      <c r="T988" s="103" t="n">
        <v>367</v>
      </c>
      <c r="U988" s="103" t="s">
        <v>1636</v>
      </c>
      <c r="V988" s="103" t="n">
        <v>2025</v>
      </c>
    </row>
    <row r="989" customFormat="false" ht="14.25" hidden="false" customHeight="false" outlineLevel="0" collapsed="false">
      <c r="A989" s="103" t="s">
        <v>1711</v>
      </c>
      <c r="B989" s="103" t="s">
        <v>627</v>
      </c>
      <c r="C989" s="104" t="n">
        <v>45987</v>
      </c>
      <c r="D989" s="103" t="s">
        <v>111</v>
      </c>
      <c r="E989" s="103" t="n">
        <v>47</v>
      </c>
      <c r="F989" s="103" t="s">
        <v>171</v>
      </c>
      <c r="G989" s="103" t="s">
        <v>85</v>
      </c>
      <c r="H989" s="103" t="n">
        <v>4.6</v>
      </c>
      <c r="I989" s="103" t="n">
        <v>881</v>
      </c>
      <c r="J989" s="103" t="n">
        <v>30</v>
      </c>
      <c r="K989" s="103" t="n">
        <v>30</v>
      </c>
      <c r="L989" s="103" t="s">
        <v>95</v>
      </c>
      <c r="M989" s="103" t="s">
        <v>66</v>
      </c>
      <c r="N989" s="103" t="s">
        <v>78</v>
      </c>
      <c r="O989" s="103" t="n">
        <v>67</v>
      </c>
      <c r="P989" s="103" t="n">
        <v>8.2</v>
      </c>
      <c r="Q989" s="103" t="n">
        <v>3</v>
      </c>
      <c r="R989" s="103" t="s">
        <v>139</v>
      </c>
      <c r="S989" s="103" t="n">
        <v>911</v>
      </c>
      <c r="T989" s="103" t="n">
        <v>881</v>
      </c>
      <c r="U989" s="103" t="s">
        <v>1636</v>
      </c>
      <c r="V989" s="103" t="n">
        <v>2025</v>
      </c>
    </row>
    <row r="990" customFormat="false" ht="14.25" hidden="false" customHeight="false" outlineLevel="0" collapsed="false">
      <c r="A990" s="103" t="s">
        <v>1712</v>
      </c>
      <c r="B990" s="103" t="s">
        <v>628</v>
      </c>
      <c r="C990" s="104" t="n">
        <v>45987</v>
      </c>
      <c r="D990" s="103" t="s">
        <v>105</v>
      </c>
      <c r="E990" s="103" t="n">
        <v>28</v>
      </c>
      <c r="F990" s="103" t="s">
        <v>170</v>
      </c>
      <c r="G990" s="103" t="s">
        <v>83</v>
      </c>
      <c r="H990" s="103" t="n">
        <v>2.8</v>
      </c>
      <c r="I990" s="103" t="n">
        <v>1553</v>
      </c>
      <c r="J990" s="103" t="n">
        <v>40</v>
      </c>
      <c r="K990" s="103" t="n">
        <v>30</v>
      </c>
      <c r="L990" s="103" t="s">
        <v>96</v>
      </c>
      <c r="M990" s="103" t="s">
        <v>65</v>
      </c>
      <c r="N990" s="103" t="s">
        <v>78</v>
      </c>
      <c r="O990" s="103" t="n">
        <v>57</v>
      </c>
      <c r="P990" s="103" t="n">
        <v>6.5</v>
      </c>
      <c r="Q990" s="103" t="n">
        <v>4</v>
      </c>
      <c r="R990" s="103" t="s">
        <v>142</v>
      </c>
      <c r="S990" s="103" t="n">
        <v>1593</v>
      </c>
      <c r="T990" s="103" t="n">
        <v>1563</v>
      </c>
      <c r="U990" s="103" t="s">
        <v>1636</v>
      </c>
      <c r="V990" s="103" t="n">
        <v>2025</v>
      </c>
    </row>
    <row r="991" customFormat="false" ht="14.25" hidden="false" customHeight="false" outlineLevel="0" collapsed="false">
      <c r="A991" s="103" t="s">
        <v>1713</v>
      </c>
      <c r="B991" s="103" t="s">
        <v>629</v>
      </c>
      <c r="C991" s="104" t="n">
        <v>45987</v>
      </c>
      <c r="D991" s="103" t="s">
        <v>111</v>
      </c>
      <c r="E991" s="103" t="n">
        <v>24</v>
      </c>
      <c r="F991" s="103" t="s">
        <v>171</v>
      </c>
      <c r="G991" s="103" t="s">
        <v>82</v>
      </c>
      <c r="H991" s="103" t="n">
        <v>4.3</v>
      </c>
      <c r="I991" s="103" t="n">
        <v>1097</v>
      </c>
      <c r="J991" s="103" t="n">
        <v>30</v>
      </c>
      <c r="K991" s="103" t="n">
        <v>50</v>
      </c>
      <c r="L991" s="103" t="s">
        <v>93</v>
      </c>
      <c r="M991" s="103" t="s">
        <v>65</v>
      </c>
      <c r="N991" s="103" t="s">
        <v>77</v>
      </c>
      <c r="O991" s="103" t="n">
        <v>32</v>
      </c>
      <c r="P991" s="103" t="n">
        <v>4.4</v>
      </c>
      <c r="Q991" s="103" t="n">
        <v>4</v>
      </c>
      <c r="R991" s="103" t="s">
        <v>138</v>
      </c>
      <c r="S991" s="103" t="n">
        <v>1127</v>
      </c>
      <c r="T991" s="103" t="n">
        <v>1077</v>
      </c>
      <c r="U991" s="103" t="s">
        <v>1636</v>
      </c>
      <c r="V991" s="103" t="n">
        <v>2025</v>
      </c>
    </row>
    <row r="992" customFormat="false" ht="14.25" hidden="false" customHeight="false" outlineLevel="0" collapsed="false">
      <c r="A992" s="103" t="s">
        <v>1714</v>
      </c>
      <c r="B992" s="103" t="s">
        <v>630</v>
      </c>
      <c r="C992" s="104" t="n">
        <v>45988</v>
      </c>
      <c r="D992" s="103" t="s">
        <v>107</v>
      </c>
      <c r="E992" s="103" t="n">
        <v>48</v>
      </c>
      <c r="F992" s="103" t="s">
        <v>170</v>
      </c>
      <c r="G992" s="103" t="s">
        <v>89</v>
      </c>
      <c r="H992" s="103" t="n">
        <v>3.8</v>
      </c>
      <c r="I992" s="103" t="n">
        <v>253</v>
      </c>
      <c r="J992" s="103" t="n">
        <v>50</v>
      </c>
      <c r="K992" s="103" t="n">
        <v>100</v>
      </c>
      <c r="L992" s="103" t="s">
        <v>93</v>
      </c>
      <c r="M992" s="103" t="s">
        <v>66</v>
      </c>
      <c r="N992" s="103" t="s">
        <v>77</v>
      </c>
      <c r="O992" s="103" t="n">
        <v>37</v>
      </c>
      <c r="P992" s="103" t="n">
        <v>15</v>
      </c>
      <c r="Q992" s="103" t="n">
        <v>1</v>
      </c>
      <c r="R992" s="103" t="s">
        <v>131</v>
      </c>
      <c r="S992" s="103" t="n">
        <v>303</v>
      </c>
      <c r="T992" s="103" t="n">
        <v>203</v>
      </c>
      <c r="U992" s="103" t="s">
        <v>1636</v>
      </c>
      <c r="V992" s="103" t="n">
        <v>2025</v>
      </c>
    </row>
    <row r="993" customFormat="false" ht="14.25" hidden="false" customHeight="false" outlineLevel="0" collapsed="false">
      <c r="A993" s="103" t="s">
        <v>1715</v>
      </c>
      <c r="B993" s="103" t="s">
        <v>631</v>
      </c>
      <c r="C993" s="104" t="n">
        <v>45988</v>
      </c>
      <c r="D993" s="103" t="s">
        <v>103</v>
      </c>
      <c r="E993" s="103" t="n">
        <v>27</v>
      </c>
      <c r="F993" s="103" t="s">
        <v>171</v>
      </c>
      <c r="G993" s="103" t="s">
        <v>85</v>
      </c>
      <c r="H993" s="103" t="n">
        <v>4.6</v>
      </c>
      <c r="I993" s="103" t="n">
        <v>442</v>
      </c>
      <c r="J993" s="103" t="n">
        <v>60</v>
      </c>
      <c r="K993" s="103" t="n">
        <v>150</v>
      </c>
      <c r="L993" s="103" t="s">
        <v>95</v>
      </c>
      <c r="M993" s="103" t="s">
        <v>65</v>
      </c>
      <c r="N993" s="103" t="s">
        <v>77</v>
      </c>
      <c r="O993" s="103" t="n">
        <v>27</v>
      </c>
      <c r="P993" s="103" t="n">
        <v>1.5</v>
      </c>
      <c r="Q993" s="103" t="n">
        <v>3</v>
      </c>
      <c r="R993" s="103" t="s">
        <v>141</v>
      </c>
      <c r="S993" s="103" t="n">
        <v>502</v>
      </c>
      <c r="T993" s="103" t="n">
        <v>352</v>
      </c>
      <c r="U993" s="103" t="s">
        <v>1636</v>
      </c>
      <c r="V993" s="103" t="n">
        <v>2025</v>
      </c>
    </row>
    <row r="994" customFormat="false" ht="14.25" hidden="false" customHeight="false" outlineLevel="0" collapsed="false">
      <c r="A994" s="103" t="s">
        <v>1716</v>
      </c>
      <c r="B994" s="103" t="s">
        <v>632</v>
      </c>
      <c r="C994" s="104" t="n">
        <v>45988</v>
      </c>
      <c r="D994" s="103" t="s">
        <v>109</v>
      </c>
      <c r="E994" s="103" t="n">
        <v>56</v>
      </c>
      <c r="F994" s="103" t="s">
        <v>170</v>
      </c>
      <c r="G994" s="103" t="s">
        <v>90</v>
      </c>
      <c r="H994" s="103" t="n">
        <v>3.8</v>
      </c>
      <c r="I994" s="103" t="n">
        <v>917</v>
      </c>
      <c r="J994" s="103" t="n">
        <v>30</v>
      </c>
      <c r="K994" s="103" t="n">
        <v>75</v>
      </c>
      <c r="L994" s="103" t="s">
        <v>94</v>
      </c>
      <c r="M994" s="103" t="s">
        <v>66</v>
      </c>
      <c r="N994" s="103" t="s">
        <v>77</v>
      </c>
      <c r="O994" s="103" t="n">
        <v>55</v>
      </c>
      <c r="P994" s="103" t="n">
        <v>1.1</v>
      </c>
      <c r="Q994" s="103" t="n">
        <v>4</v>
      </c>
      <c r="R994" s="103" t="s">
        <v>141</v>
      </c>
      <c r="S994" s="103" t="n">
        <v>947</v>
      </c>
      <c r="T994" s="103" t="n">
        <v>872</v>
      </c>
      <c r="U994" s="103" t="s">
        <v>1636</v>
      </c>
      <c r="V994" s="103" t="n">
        <v>2025</v>
      </c>
    </row>
    <row r="995" customFormat="false" ht="14.25" hidden="false" customHeight="false" outlineLevel="0" collapsed="false">
      <c r="A995" s="103" t="s">
        <v>1717</v>
      </c>
      <c r="B995" s="103" t="s">
        <v>633</v>
      </c>
      <c r="C995" s="104" t="n">
        <v>45989</v>
      </c>
      <c r="D995" s="103" t="s">
        <v>100</v>
      </c>
      <c r="E995" s="103" t="n">
        <v>30</v>
      </c>
      <c r="F995" s="103" t="s">
        <v>171</v>
      </c>
      <c r="G995" s="103" t="s">
        <v>83</v>
      </c>
      <c r="H995" s="103" t="n">
        <v>4.1</v>
      </c>
      <c r="I995" s="103" t="n">
        <v>727</v>
      </c>
      <c r="J995" s="103" t="n">
        <v>40</v>
      </c>
      <c r="K995" s="103" t="n">
        <v>0</v>
      </c>
      <c r="L995" s="103" t="s">
        <v>93</v>
      </c>
      <c r="M995" s="103" t="s">
        <v>66</v>
      </c>
      <c r="N995" s="103" t="s">
        <v>78</v>
      </c>
      <c r="O995" s="103" t="n">
        <v>23</v>
      </c>
      <c r="P995" s="103" t="n">
        <v>3.7</v>
      </c>
      <c r="Q995" s="103" t="n">
        <v>5</v>
      </c>
      <c r="R995" s="103" t="s">
        <v>141</v>
      </c>
      <c r="S995" s="103" t="n">
        <v>767</v>
      </c>
      <c r="T995" s="103" t="n">
        <v>767</v>
      </c>
      <c r="U995" s="103" t="s">
        <v>1636</v>
      </c>
      <c r="V995" s="103" t="n">
        <v>2025</v>
      </c>
    </row>
    <row r="996" customFormat="false" ht="14.25" hidden="false" customHeight="false" outlineLevel="0" collapsed="false">
      <c r="A996" s="103" t="s">
        <v>1718</v>
      </c>
      <c r="B996" s="103" t="s">
        <v>634</v>
      </c>
      <c r="C996" s="104" t="n">
        <v>45989</v>
      </c>
      <c r="D996" s="103" t="s">
        <v>103</v>
      </c>
      <c r="E996" s="103" t="n">
        <v>48</v>
      </c>
      <c r="F996" s="103" t="s">
        <v>171</v>
      </c>
      <c r="G996" s="103" t="s">
        <v>85</v>
      </c>
      <c r="H996" s="103" t="n">
        <v>3.7</v>
      </c>
      <c r="I996" s="103" t="n">
        <v>723</v>
      </c>
      <c r="J996" s="103" t="n">
        <v>40</v>
      </c>
      <c r="K996" s="103" t="n">
        <v>100</v>
      </c>
      <c r="L996" s="103" t="s">
        <v>95</v>
      </c>
      <c r="M996" s="103" t="s">
        <v>65</v>
      </c>
      <c r="N996" s="103" t="s">
        <v>77</v>
      </c>
      <c r="O996" s="103" t="n">
        <v>63</v>
      </c>
      <c r="P996" s="103" t="n">
        <v>14.6</v>
      </c>
      <c r="Q996" s="103" t="n">
        <v>3</v>
      </c>
      <c r="R996" s="103" t="s">
        <v>137</v>
      </c>
      <c r="S996" s="103" t="n">
        <v>763</v>
      </c>
      <c r="T996" s="103" t="n">
        <v>663</v>
      </c>
      <c r="U996" s="103" t="s">
        <v>1636</v>
      </c>
      <c r="V996" s="103" t="n">
        <v>2025</v>
      </c>
    </row>
    <row r="997" customFormat="false" ht="14.25" hidden="false" customHeight="false" outlineLevel="0" collapsed="false">
      <c r="A997" s="103" t="s">
        <v>1719</v>
      </c>
      <c r="B997" s="103" t="s">
        <v>635</v>
      </c>
      <c r="C997" s="104" t="n">
        <v>45989</v>
      </c>
      <c r="D997" s="103" t="s">
        <v>107</v>
      </c>
      <c r="E997" s="103" t="n">
        <v>24</v>
      </c>
      <c r="F997" s="103" t="s">
        <v>171</v>
      </c>
      <c r="G997" s="103" t="s">
        <v>86</v>
      </c>
      <c r="H997" s="103" t="n">
        <v>3.7</v>
      </c>
      <c r="I997" s="103" t="n">
        <v>1009</v>
      </c>
      <c r="J997" s="103" t="n">
        <v>30</v>
      </c>
      <c r="K997" s="103" t="n">
        <v>20</v>
      </c>
      <c r="L997" s="103" t="s">
        <v>94</v>
      </c>
      <c r="M997" s="103" t="s">
        <v>65</v>
      </c>
      <c r="N997" s="103" t="s">
        <v>77</v>
      </c>
      <c r="O997" s="103" t="n">
        <v>21</v>
      </c>
      <c r="P997" s="103" t="n">
        <v>14.7</v>
      </c>
      <c r="Q997" s="103" t="n">
        <v>4</v>
      </c>
      <c r="R997" s="103" t="s">
        <v>142</v>
      </c>
      <c r="S997" s="103" t="n">
        <v>1039</v>
      </c>
      <c r="T997" s="103" t="n">
        <v>1019</v>
      </c>
      <c r="U997" s="103" t="s">
        <v>1636</v>
      </c>
      <c r="V997" s="103" t="n">
        <v>2025</v>
      </c>
    </row>
    <row r="998" customFormat="false" ht="14.25" hidden="false" customHeight="false" outlineLevel="0" collapsed="false">
      <c r="A998" s="103" t="s">
        <v>1720</v>
      </c>
      <c r="B998" s="103" t="s">
        <v>636</v>
      </c>
      <c r="C998" s="104" t="n">
        <v>45990</v>
      </c>
      <c r="D998" s="103" t="s">
        <v>103</v>
      </c>
      <c r="E998" s="103" t="n">
        <v>59</v>
      </c>
      <c r="F998" s="103" t="s">
        <v>171</v>
      </c>
      <c r="G998" s="103" t="s">
        <v>82</v>
      </c>
      <c r="H998" s="103" t="n">
        <v>4.4</v>
      </c>
      <c r="I998" s="103" t="n">
        <v>1102</v>
      </c>
      <c r="J998" s="103" t="n">
        <v>40</v>
      </c>
      <c r="K998" s="103" t="n">
        <v>75</v>
      </c>
      <c r="L998" s="103" t="s">
        <v>93</v>
      </c>
      <c r="M998" s="103" t="s">
        <v>66</v>
      </c>
      <c r="N998" s="103" t="s">
        <v>77</v>
      </c>
      <c r="O998" s="103" t="n">
        <v>55</v>
      </c>
      <c r="P998" s="103" t="n">
        <v>10</v>
      </c>
      <c r="Q998" s="103" t="n">
        <v>5</v>
      </c>
      <c r="R998" s="103" t="s">
        <v>137</v>
      </c>
      <c r="S998" s="103" t="n">
        <v>1142</v>
      </c>
      <c r="T998" s="103" t="n">
        <v>1067</v>
      </c>
      <c r="U998" s="103" t="s">
        <v>1636</v>
      </c>
      <c r="V998" s="103" t="n">
        <v>2025</v>
      </c>
    </row>
    <row r="999" customFormat="false" ht="14.25" hidden="false" customHeight="false" outlineLevel="0" collapsed="false">
      <c r="A999" s="103" t="s">
        <v>1721</v>
      </c>
      <c r="B999" s="103" t="s">
        <v>637</v>
      </c>
      <c r="C999" s="104" t="n">
        <v>45990</v>
      </c>
      <c r="D999" s="103" t="s">
        <v>107</v>
      </c>
      <c r="E999" s="103" t="n">
        <v>59</v>
      </c>
      <c r="F999" s="103" t="s">
        <v>170</v>
      </c>
      <c r="G999" s="103" t="s">
        <v>81</v>
      </c>
      <c r="H999" s="103" t="n">
        <v>4.1</v>
      </c>
      <c r="I999" s="103" t="n">
        <v>1459</v>
      </c>
      <c r="J999" s="103" t="n">
        <v>60</v>
      </c>
      <c r="K999" s="103" t="n">
        <v>150</v>
      </c>
      <c r="L999" s="103" t="s">
        <v>93</v>
      </c>
      <c r="M999" s="103" t="s">
        <v>65</v>
      </c>
      <c r="N999" s="103" t="s">
        <v>78</v>
      </c>
      <c r="O999" s="103" t="n">
        <v>68</v>
      </c>
      <c r="P999" s="103" t="n">
        <v>13.3</v>
      </c>
      <c r="Q999" s="103" t="n">
        <v>5</v>
      </c>
      <c r="R999" s="103" t="s">
        <v>136</v>
      </c>
      <c r="S999" s="103" t="n">
        <v>1519</v>
      </c>
      <c r="T999" s="103" t="n">
        <v>1369</v>
      </c>
      <c r="U999" s="103" t="s">
        <v>1636</v>
      </c>
      <c r="V999" s="103" t="n">
        <v>2025</v>
      </c>
    </row>
    <row r="1000" customFormat="false" ht="14.25" hidden="false" customHeight="false" outlineLevel="0" collapsed="false">
      <c r="A1000" s="103" t="s">
        <v>1722</v>
      </c>
      <c r="B1000" s="103" t="s">
        <v>638</v>
      </c>
      <c r="C1000" s="104" t="n">
        <v>45990</v>
      </c>
      <c r="D1000" s="103" t="s">
        <v>107</v>
      </c>
      <c r="E1000" s="103" t="n">
        <v>53</v>
      </c>
      <c r="F1000" s="103" t="s">
        <v>171</v>
      </c>
      <c r="G1000" s="103" t="s">
        <v>85</v>
      </c>
      <c r="H1000" s="103" t="n">
        <v>4.1</v>
      </c>
      <c r="I1000" s="103" t="n">
        <v>693</v>
      </c>
      <c r="J1000" s="103" t="n">
        <v>60</v>
      </c>
      <c r="K1000" s="103" t="n">
        <v>100</v>
      </c>
      <c r="L1000" s="103" t="s">
        <v>94</v>
      </c>
      <c r="M1000" s="103" t="s">
        <v>65</v>
      </c>
      <c r="N1000" s="103" t="s">
        <v>78</v>
      </c>
      <c r="O1000" s="103" t="n">
        <v>15</v>
      </c>
      <c r="P1000" s="103" t="n">
        <v>3.6</v>
      </c>
      <c r="Q1000" s="103" t="n">
        <v>4</v>
      </c>
      <c r="R1000" s="103" t="s">
        <v>141</v>
      </c>
      <c r="S1000" s="103" t="n">
        <v>753</v>
      </c>
      <c r="T1000" s="103" t="n">
        <v>653</v>
      </c>
      <c r="U1000" s="103" t="s">
        <v>1636</v>
      </c>
      <c r="V1000" s="103" t="n">
        <v>2025</v>
      </c>
    </row>
    <row r="1001" customFormat="false" ht="14.25" hidden="false" customHeight="false" outlineLevel="0" collapsed="false">
      <c r="A1001" s="103" t="s">
        <v>1723</v>
      </c>
      <c r="B1001" s="103" t="s">
        <v>639</v>
      </c>
      <c r="C1001" s="104" t="n">
        <v>45991</v>
      </c>
      <c r="D1001" s="103" t="s">
        <v>108</v>
      </c>
      <c r="E1001" s="103" t="n">
        <v>37</v>
      </c>
      <c r="F1001" s="103" t="s">
        <v>170</v>
      </c>
      <c r="G1001" s="103" t="s">
        <v>83</v>
      </c>
      <c r="H1001" s="103" t="n">
        <v>3.6</v>
      </c>
      <c r="I1001" s="103" t="n">
        <v>1473</v>
      </c>
      <c r="J1001" s="103" t="n">
        <v>40</v>
      </c>
      <c r="K1001" s="103" t="n">
        <v>75</v>
      </c>
      <c r="L1001" s="103" t="s">
        <v>96</v>
      </c>
      <c r="M1001" s="103" t="s">
        <v>67</v>
      </c>
      <c r="N1001" s="103" t="s">
        <v>77</v>
      </c>
      <c r="O1001" s="103" t="n">
        <v>16</v>
      </c>
      <c r="P1001" s="103" t="n">
        <v>14.6</v>
      </c>
      <c r="Q1001" s="103" t="n">
        <v>3</v>
      </c>
      <c r="R1001" s="103" t="s">
        <v>141</v>
      </c>
      <c r="S1001" s="103" t="n">
        <v>1513</v>
      </c>
      <c r="T1001" s="103" t="n">
        <v>1438</v>
      </c>
      <c r="U1001" s="103" t="s">
        <v>1636</v>
      </c>
      <c r="V1001" s="103" t="n">
        <v>2025</v>
      </c>
    </row>
    <row r="1002" customFormat="false" ht="14.25" hidden="false" customHeight="false" outlineLevel="0" collapsed="false">
      <c r="A1002" s="103" t="s">
        <v>1724</v>
      </c>
      <c r="B1002" s="103" t="s">
        <v>640</v>
      </c>
      <c r="C1002" s="104" t="n">
        <v>45991</v>
      </c>
      <c r="D1002" s="103" t="s">
        <v>106</v>
      </c>
      <c r="E1002" s="103" t="n">
        <v>21</v>
      </c>
      <c r="F1002" s="103" t="s">
        <v>171</v>
      </c>
      <c r="G1002" s="103" t="s">
        <v>81</v>
      </c>
      <c r="H1002" s="103" t="n">
        <v>3.8</v>
      </c>
      <c r="I1002" s="103" t="n">
        <v>689</v>
      </c>
      <c r="J1002" s="103" t="n">
        <v>30</v>
      </c>
      <c r="K1002" s="103" t="n">
        <v>200</v>
      </c>
      <c r="L1002" s="103" t="s">
        <v>97</v>
      </c>
      <c r="M1002" s="103" t="s">
        <v>66</v>
      </c>
      <c r="N1002" s="103" t="s">
        <v>78</v>
      </c>
      <c r="O1002" s="103" t="n">
        <v>18</v>
      </c>
      <c r="P1002" s="103" t="n">
        <v>2.6</v>
      </c>
      <c r="Q1002" s="103" t="n">
        <v>4</v>
      </c>
      <c r="R1002" s="103" t="s">
        <v>140</v>
      </c>
      <c r="S1002" s="103" t="n">
        <v>719</v>
      </c>
      <c r="T1002" s="103" t="n">
        <v>519</v>
      </c>
      <c r="U1002" s="103" t="s">
        <v>1636</v>
      </c>
      <c r="V1002" s="103" t="n">
        <v>2025</v>
      </c>
    </row>
    <row r="1003" customFormat="false" ht="14.25" hidden="false" customHeight="false" outlineLevel="0" collapsed="false">
      <c r="A1003" s="103" t="s">
        <v>1725</v>
      </c>
      <c r="B1003" s="103" t="s">
        <v>641</v>
      </c>
      <c r="C1003" s="104" t="n">
        <v>45991</v>
      </c>
      <c r="D1003" s="103" t="s">
        <v>111</v>
      </c>
      <c r="E1003" s="103" t="n">
        <v>24</v>
      </c>
      <c r="F1003" s="103" t="s">
        <v>171</v>
      </c>
      <c r="G1003" s="103" t="s">
        <v>90</v>
      </c>
      <c r="H1003" s="103" t="n">
        <v>4.4</v>
      </c>
      <c r="I1003" s="103" t="n">
        <v>213</v>
      </c>
      <c r="J1003" s="103" t="n">
        <v>50</v>
      </c>
      <c r="K1003" s="103" t="n">
        <v>200</v>
      </c>
      <c r="L1003" s="103" t="s">
        <v>96</v>
      </c>
      <c r="M1003" s="103" t="s">
        <v>65</v>
      </c>
      <c r="N1003" s="103" t="s">
        <v>77</v>
      </c>
      <c r="O1003" s="103" t="n">
        <v>28</v>
      </c>
      <c r="P1003" s="103" t="n">
        <v>2</v>
      </c>
      <c r="Q1003" s="103" t="n">
        <v>5</v>
      </c>
      <c r="R1003" s="103" t="s">
        <v>134</v>
      </c>
      <c r="S1003" s="103" t="n">
        <v>263</v>
      </c>
      <c r="T1003" s="103" t="n">
        <v>63</v>
      </c>
      <c r="U1003" s="103" t="s">
        <v>1636</v>
      </c>
      <c r="V1003" s="103" t="n">
        <v>2025</v>
      </c>
    </row>
    <row r="1004" customFormat="false" ht="14.25" hidden="false" customHeight="false" outlineLevel="0" collapsed="false">
      <c r="A1004" s="103" t="s">
        <v>1726</v>
      </c>
      <c r="B1004" s="103" t="s">
        <v>642</v>
      </c>
      <c r="C1004" s="104" t="n">
        <v>45992</v>
      </c>
      <c r="D1004" s="103" t="s">
        <v>105</v>
      </c>
      <c r="E1004" s="103" t="n">
        <v>18</v>
      </c>
      <c r="F1004" s="103" t="s">
        <v>171</v>
      </c>
      <c r="G1004" s="103" t="s">
        <v>81</v>
      </c>
      <c r="H1004" s="103" t="n">
        <v>4.6</v>
      </c>
      <c r="I1004" s="103" t="n">
        <v>1051</v>
      </c>
      <c r="J1004" s="103" t="n">
        <v>40</v>
      </c>
      <c r="K1004" s="103" t="n">
        <v>0</v>
      </c>
      <c r="L1004" s="103" t="s">
        <v>95</v>
      </c>
      <c r="M1004" s="103" t="s">
        <v>65</v>
      </c>
      <c r="N1004" s="103" t="s">
        <v>77</v>
      </c>
      <c r="O1004" s="103" t="n">
        <v>46</v>
      </c>
      <c r="P1004" s="103" t="n">
        <v>2.1</v>
      </c>
      <c r="Q1004" s="103" t="n">
        <v>2</v>
      </c>
      <c r="R1004" s="103" t="s">
        <v>131</v>
      </c>
      <c r="S1004" s="103" t="n">
        <v>1091</v>
      </c>
      <c r="T1004" s="103" t="n">
        <v>1091</v>
      </c>
      <c r="U1004" s="103" t="s">
        <v>1727</v>
      </c>
      <c r="V1004" s="103" t="n">
        <v>2025</v>
      </c>
    </row>
    <row r="1005" customFormat="false" ht="14.25" hidden="false" customHeight="false" outlineLevel="0" collapsed="false">
      <c r="A1005" s="103" t="s">
        <v>1728</v>
      </c>
      <c r="B1005" s="103" t="s">
        <v>643</v>
      </c>
      <c r="C1005" s="104" t="n">
        <v>45992</v>
      </c>
      <c r="D1005" s="103" t="s">
        <v>108</v>
      </c>
      <c r="E1005" s="103" t="n">
        <v>59</v>
      </c>
      <c r="F1005" s="103" t="s">
        <v>171</v>
      </c>
      <c r="G1005" s="103" t="s">
        <v>86</v>
      </c>
      <c r="H1005" s="103" t="n">
        <v>4.2</v>
      </c>
      <c r="I1005" s="103" t="n">
        <v>1108</v>
      </c>
      <c r="J1005" s="103" t="n">
        <v>40</v>
      </c>
      <c r="K1005" s="103" t="n">
        <v>0</v>
      </c>
      <c r="L1005" s="103" t="s">
        <v>94</v>
      </c>
      <c r="M1005" s="103" t="s">
        <v>65</v>
      </c>
      <c r="N1005" s="103" t="s">
        <v>78</v>
      </c>
      <c r="O1005" s="103" t="n">
        <v>50</v>
      </c>
      <c r="P1005" s="103" t="n">
        <v>8.8</v>
      </c>
      <c r="Q1005" s="103" t="n">
        <v>4</v>
      </c>
      <c r="R1005" s="103" t="s">
        <v>137</v>
      </c>
      <c r="S1005" s="103" t="n">
        <v>1148</v>
      </c>
      <c r="T1005" s="103" t="n">
        <v>1148</v>
      </c>
      <c r="U1005" s="103" t="s">
        <v>1727</v>
      </c>
      <c r="V1005" s="103" t="n">
        <v>2025</v>
      </c>
    </row>
    <row r="1006" customFormat="false" ht="14.25" hidden="false" customHeight="false" outlineLevel="0" collapsed="false">
      <c r="A1006" s="103" t="s">
        <v>1729</v>
      </c>
      <c r="B1006" s="103" t="s">
        <v>644</v>
      </c>
      <c r="C1006" s="104" t="n">
        <v>45992</v>
      </c>
      <c r="D1006" s="103" t="s">
        <v>109</v>
      </c>
      <c r="E1006" s="103" t="n">
        <v>30</v>
      </c>
      <c r="F1006" s="103" t="s">
        <v>171</v>
      </c>
      <c r="G1006" s="103" t="s">
        <v>89</v>
      </c>
      <c r="H1006" s="103" t="n">
        <v>4.8</v>
      </c>
      <c r="I1006" s="103" t="n">
        <v>1690</v>
      </c>
      <c r="J1006" s="103" t="n">
        <v>40</v>
      </c>
      <c r="K1006" s="103" t="n">
        <v>0</v>
      </c>
      <c r="L1006" s="103" t="s">
        <v>95</v>
      </c>
      <c r="M1006" s="103" t="s">
        <v>66</v>
      </c>
      <c r="N1006" s="103" t="s">
        <v>77</v>
      </c>
      <c r="O1006" s="103" t="n">
        <v>16</v>
      </c>
      <c r="P1006" s="103" t="n">
        <v>11.8</v>
      </c>
      <c r="Q1006" s="103" t="n">
        <v>1</v>
      </c>
      <c r="R1006" s="103" t="s">
        <v>135</v>
      </c>
      <c r="S1006" s="103" t="n">
        <v>1730</v>
      </c>
      <c r="T1006" s="103" t="n">
        <v>1730</v>
      </c>
      <c r="U1006" s="103" t="s">
        <v>1727</v>
      </c>
      <c r="V1006" s="103" t="n">
        <v>2025</v>
      </c>
    </row>
    <row r="1007" customFormat="false" ht="14.25" hidden="false" customHeight="false" outlineLevel="0" collapsed="false">
      <c r="A1007" s="103" t="s">
        <v>1730</v>
      </c>
      <c r="B1007" s="103" t="s">
        <v>645</v>
      </c>
      <c r="C1007" s="104" t="n">
        <v>45993</v>
      </c>
      <c r="D1007" s="103" t="s">
        <v>108</v>
      </c>
      <c r="E1007" s="103" t="n">
        <v>39</v>
      </c>
      <c r="F1007" s="103" t="s">
        <v>171</v>
      </c>
      <c r="G1007" s="103" t="s">
        <v>85</v>
      </c>
      <c r="H1007" s="103" t="n">
        <v>4.6</v>
      </c>
      <c r="I1007" s="103" t="n">
        <v>1340</v>
      </c>
      <c r="J1007" s="103" t="n">
        <v>40</v>
      </c>
      <c r="K1007" s="103" t="n">
        <v>150</v>
      </c>
      <c r="L1007" s="103" t="s">
        <v>97</v>
      </c>
      <c r="M1007" s="103" t="s">
        <v>65</v>
      </c>
      <c r="N1007" s="103" t="s">
        <v>77</v>
      </c>
      <c r="O1007" s="103" t="n">
        <v>54</v>
      </c>
      <c r="P1007" s="103" t="n">
        <v>5.8</v>
      </c>
      <c r="Q1007" s="103" t="n">
        <v>1</v>
      </c>
      <c r="R1007" s="103" t="s">
        <v>133</v>
      </c>
      <c r="S1007" s="103" t="n">
        <v>1380</v>
      </c>
      <c r="T1007" s="103" t="n">
        <v>1230</v>
      </c>
      <c r="U1007" s="103" t="s">
        <v>1727</v>
      </c>
      <c r="V1007" s="103" t="n">
        <v>2025</v>
      </c>
    </row>
    <row r="1008" customFormat="false" ht="14.25" hidden="false" customHeight="false" outlineLevel="0" collapsed="false">
      <c r="A1008" s="103" t="s">
        <v>1731</v>
      </c>
      <c r="B1008" s="103" t="s">
        <v>646</v>
      </c>
      <c r="C1008" s="104" t="n">
        <v>45993</v>
      </c>
      <c r="D1008" s="103" t="s">
        <v>102</v>
      </c>
      <c r="E1008" s="103" t="n">
        <v>38</v>
      </c>
      <c r="F1008" s="103" t="s">
        <v>170</v>
      </c>
      <c r="G1008" s="103" t="s">
        <v>87</v>
      </c>
      <c r="H1008" s="103" t="n">
        <v>3.9</v>
      </c>
      <c r="I1008" s="103" t="n">
        <v>1662</v>
      </c>
      <c r="J1008" s="103" t="n">
        <v>30</v>
      </c>
      <c r="K1008" s="103" t="n">
        <v>100</v>
      </c>
      <c r="L1008" s="103" t="s">
        <v>93</v>
      </c>
      <c r="M1008" s="103" t="s">
        <v>65</v>
      </c>
      <c r="N1008" s="103" t="s">
        <v>78</v>
      </c>
      <c r="O1008" s="103" t="n">
        <v>64</v>
      </c>
      <c r="P1008" s="103" t="n">
        <v>14.7</v>
      </c>
      <c r="Q1008" s="103" t="n">
        <v>4</v>
      </c>
      <c r="R1008" s="103" t="s">
        <v>137</v>
      </c>
      <c r="S1008" s="103" t="n">
        <v>1692</v>
      </c>
      <c r="T1008" s="103" t="n">
        <v>1592</v>
      </c>
      <c r="U1008" s="103" t="s">
        <v>1727</v>
      </c>
      <c r="V1008" s="103" t="n">
        <v>2025</v>
      </c>
    </row>
    <row r="1009" customFormat="false" ht="14.25" hidden="false" customHeight="false" outlineLevel="0" collapsed="false">
      <c r="A1009" s="103" t="s">
        <v>1732</v>
      </c>
      <c r="B1009" s="103" t="s">
        <v>647</v>
      </c>
      <c r="C1009" s="104" t="n">
        <v>45993</v>
      </c>
      <c r="D1009" s="103" t="s">
        <v>102</v>
      </c>
      <c r="E1009" s="103" t="n">
        <v>39</v>
      </c>
      <c r="F1009" s="103" t="s">
        <v>171</v>
      </c>
      <c r="G1009" s="103" t="s">
        <v>87</v>
      </c>
      <c r="H1009" s="103" t="n">
        <v>4.2</v>
      </c>
      <c r="I1009" s="103" t="n">
        <v>1646</v>
      </c>
      <c r="J1009" s="103" t="n">
        <v>50</v>
      </c>
      <c r="K1009" s="103" t="n">
        <v>20</v>
      </c>
      <c r="L1009" s="103" t="s">
        <v>94</v>
      </c>
      <c r="M1009" s="103" t="s">
        <v>65</v>
      </c>
      <c r="N1009" s="103" t="s">
        <v>77</v>
      </c>
      <c r="O1009" s="103" t="n">
        <v>65</v>
      </c>
      <c r="P1009" s="103" t="n">
        <v>6.8</v>
      </c>
      <c r="Q1009" s="103" t="n">
        <v>4</v>
      </c>
      <c r="R1009" s="103" t="s">
        <v>133</v>
      </c>
      <c r="S1009" s="103" t="n">
        <v>1696</v>
      </c>
      <c r="T1009" s="103" t="n">
        <v>1676</v>
      </c>
      <c r="U1009" s="103" t="s">
        <v>1727</v>
      </c>
      <c r="V1009" s="103" t="n">
        <v>2025</v>
      </c>
    </row>
    <row r="1010" customFormat="false" ht="14.25" hidden="false" customHeight="false" outlineLevel="0" collapsed="false">
      <c r="A1010" s="103" t="s">
        <v>1733</v>
      </c>
      <c r="B1010" s="103" t="s">
        <v>648</v>
      </c>
      <c r="C1010" s="104" t="n">
        <v>45994</v>
      </c>
      <c r="D1010" s="103" t="s">
        <v>105</v>
      </c>
      <c r="E1010" s="103" t="n">
        <v>45</v>
      </c>
      <c r="F1010" s="103" t="s">
        <v>170</v>
      </c>
      <c r="G1010" s="103" t="s">
        <v>81</v>
      </c>
      <c r="H1010" s="103" t="n">
        <v>4.8</v>
      </c>
      <c r="I1010" s="103" t="n">
        <v>1136</v>
      </c>
      <c r="J1010" s="103" t="n">
        <v>50</v>
      </c>
      <c r="K1010" s="103" t="n">
        <v>10</v>
      </c>
      <c r="L1010" s="103" t="s">
        <v>95</v>
      </c>
      <c r="M1010" s="103" t="s">
        <v>67</v>
      </c>
      <c r="N1010" s="103" t="s">
        <v>77</v>
      </c>
      <c r="O1010" s="103" t="n">
        <v>28</v>
      </c>
      <c r="P1010" s="103" t="n">
        <v>2.7</v>
      </c>
      <c r="Q1010" s="103" t="n">
        <v>5</v>
      </c>
      <c r="R1010" s="103" t="s">
        <v>136</v>
      </c>
      <c r="S1010" s="103" t="n">
        <v>1186</v>
      </c>
      <c r="T1010" s="103" t="n">
        <v>1176</v>
      </c>
      <c r="U1010" s="103" t="s">
        <v>1727</v>
      </c>
      <c r="V1010" s="103" t="n">
        <v>2025</v>
      </c>
    </row>
    <row r="1011" customFormat="false" ht="14.25" hidden="false" customHeight="false" outlineLevel="0" collapsed="false">
      <c r="A1011" s="103" t="s">
        <v>1734</v>
      </c>
      <c r="B1011" s="103" t="s">
        <v>649</v>
      </c>
      <c r="C1011" s="104" t="n">
        <v>45994</v>
      </c>
      <c r="D1011" s="103" t="s">
        <v>103</v>
      </c>
      <c r="E1011" s="103" t="n">
        <v>26</v>
      </c>
      <c r="F1011" s="103" t="s">
        <v>170</v>
      </c>
      <c r="G1011" s="103" t="s">
        <v>84</v>
      </c>
      <c r="H1011" s="103" t="n">
        <v>4</v>
      </c>
      <c r="I1011" s="103" t="n">
        <v>1007</v>
      </c>
      <c r="J1011" s="103" t="n">
        <v>0</v>
      </c>
      <c r="K1011" s="103" t="n">
        <v>30</v>
      </c>
      <c r="L1011" s="103" t="s">
        <v>95</v>
      </c>
      <c r="M1011" s="103" t="s">
        <v>67</v>
      </c>
      <c r="N1011" s="103" t="s">
        <v>78</v>
      </c>
      <c r="O1011" s="103" t="n">
        <v>34</v>
      </c>
      <c r="P1011" s="103" t="n">
        <v>7.3</v>
      </c>
      <c r="Q1011" s="103" t="n">
        <v>5</v>
      </c>
      <c r="R1011" s="103" t="s">
        <v>133</v>
      </c>
      <c r="S1011" s="103" t="n">
        <v>1007</v>
      </c>
      <c r="T1011" s="103" t="n">
        <v>977</v>
      </c>
      <c r="U1011" s="103" t="s">
        <v>1727</v>
      </c>
      <c r="V1011" s="103" t="n">
        <v>2025</v>
      </c>
    </row>
    <row r="1012" customFormat="false" ht="14.25" hidden="false" customHeight="false" outlineLevel="0" collapsed="false">
      <c r="A1012" s="103" t="s">
        <v>1735</v>
      </c>
      <c r="B1012" s="103" t="s">
        <v>650</v>
      </c>
      <c r="C1012" s="104" t="n">
        <v>45994</v>
      </c>
      <c r="D1012" s="103" t="s">
        <v>106</v>
      </c>
      <c r="E1012" s="103" t="n">
        <v>43</v>
      </c>
      <c r="F1012" s="103" t="s">
        <v>171</v>
      </c>
      <c r="G1012" s="103" t="s">
        <v>82</v>
      </c>
      <c r="H1012" s="103" t="n">
        <v>4.6</v>
      </c>
      <c r="I1012" s="103" t="n">
        <v>1057</v>
      </c>
      <c r="J1012" s="103" t="n">
        <v>40</v>
      </c>
      <c r="K1012" s="103" t="n">
        <v>20</v>
      </c>
      <c r="L1012" s="103" t="s">
        <v>93</v>
      </c>
      <c r="M1012" s="103" t="s">
        <v>65</v>
      </c>
      <c r="N1012" s="103" t="s">
        <v>78</v>
      </c>
      <c r="O1012" s="103" t="n">
        <v>39</v>
      </c>
      <c r="P1012" s="103" t="n">
        <v>10.3</v>
      </c>
      <c r="Q1012" s="103" t="n">
        <v>4</v>
      </c>
      <c r="R1012" s="103" t="s">
        <v>137</v>
      </c>
      <c r="S1012" s="103" t="n">
        <v>1097</v>
      </c>
      <c r="T1012" s="103" t="n">
        <v>1077</v>
      </c>
      <c r="U1012" s="103" t="s">
        <v>1727</v>
      </c>
      <c r="V1012" s="103" t="n">
        <v>2025</v>
      </c>
    </row>
    <row r="1013" customFormat="false" ht="14.25" hidden="false" customHeight="false" outlineLevel="0" collapsed="false">
      <c r="A1013" s="103" t="s">
        <v>1736</v>
      </c>
      <c r="B1013" s="103" t="s">
        <v>651</v>
      </c>
      <c r="C1013" s="104" t="n">
        <v>45995</v>
      </c>
      <c r="D1013" s="103" t="s">
        <v>105</v>
      </c>
      <c r="E1013" s="103" t="n">
        <v>26</v>
      </c>
      <c r="F1013" s="103" t="s">
        <v>171</v>
      </c>
      <c r="G1013" s="103" t="s">
        <v>87</v>
      </c>
      <c r="H1013" s="103" t="n">
        <v>4.2</v>
      </c>
      <c r="I1013" s="103" t="n">
        <v>1764</v>
      </c>
      <c r="J1013" s="103" t="n">
        <v>40</v>
      </c>
      <c r="K1013" s="103" t="n">
        <v>100</v>
      </c>
      <c r="L1013" s="103" t="s">
        <v>94</v>
      </c>
      <c r="M1013" s="103" t="s">
        <v>65</v>
      </c>
      <c r="N1013" s="103" t="s">
        <v>78</v>
      </c>
      <c r="O1013" s="103" t="n">
        <v>56</v>
      </c>
      <c r="P1013" s="103" t="n">
        <v>12.6</v>
      </c>
      <c r="Q1013" s="103" t="n">
        <v>4</v>
      </c>
      <c r="R1013" s="103" t="s">
        <v>132</v>
      </c>
      <c r="S1013" s="103" t="n">
        <v>1804</v>
      </c>
      <c r="T1013" s="103" t="n">
        <v>1704</v>
      </c>
      <c r="U1013" s="103" t="s">
        <v>1727</v>
      </c>
      <c r="V1013" s="103" t="n">
        <v>2025</v>
      </c>
    </row>
    <row r="1014" customFormat="false" ht="14.25" hidden="false" customHeight="false" outlineLevel="0" collapsed="false">
      <c r="A1014" s="103" t="s">
        <v>1737</v>
      </c>
      <c r="B1014" s="103" t="s">
        <v>652</v>
      </c>
      <c r="C1014" s="104" t="n">
        <v>45995</v>
      </c>
      <c r="D1014" s="103" t="s">
        <v>107</v>
      </c>
      <c r="E1014" s="103" t="n">
        <v>32</v>
      </c>
      <c r="F1014" s="103" t="s">
        <v>170</v>
      </c>
      <c r="G1014" s="103" t="s">
        <v>84</v>
      </c>
      <c r="H1014" s="103" t="n">
        <v>3.9</v>
      </c>
      <c r="I1014" s="103" t="n">
        <v>1419</v>
      </c>
      <c r="J1014" s="103" t="n">
        <v>0</v>
      </c>
      <c r="K1014" s="103" t="n">
        <v>150</v>
      </c>
      <c r="L1014" s="103" t="s">
        <v>95</v>
      </c>
      <c r="M1014" s="103" t="s">
        <v>67</v>
      </c>
      <c r="N1014" s="103" t="s">
        <v>77</v>
      </c>
      <c r="O1014" s="103" t="n">
        <v>63</v>
      </c>
      <c r="P1014" s="103" t="n">
        <v>7.2</v>
      </c>
      <c r="Q1014" s="103" t="n">
        <v>4</v>
      </c>
      <c r="R1014" s="103" t="s">
        <v>137</v>
      </c>
      <c r="S1014" s="103" t="n">
        <v>1419</v>
      </c>
      <c r="T1014" s="103" t="n">
        <v>1269</v>
      </c>
      <c r="U1014" s="103" t="s">
        <v>1727</v>
      </c>
      <c r="V1014" s="103" t="n">
        <v>2025</v>
      </c>
    </row>
    <row r="1015" customFormat="false" ht="14.25" hidden="false" customHeight="false" outlineLevel="0" collapsed="false">
      <c r="A1015" s="103" t="s">
        <v>1738</v>
      </c>
      <c r="B1015" s="103" t="s">
        <v>653</v>
      </c>
      <c r="C1015" s="104" t="n">
        <v>45995</v>
      </c>
      <c r="D1015" s="103" t="s">
        <v>110</v>
      </c>
      <c r="E1015" s="103" t="n">
        <v>27</v>
      </c>
      <c r="F1015" s="103" t="s">
        <v>170</v>
      </c>
      <c r="G1015" s="103" t="s">
        <v>87</v>
      </c>
      <c r="H1015" s="103" t="n">
        <v>3.1</v>
      </c>
      <c r="I1015" s="103" t="n">
        <v>299</v>
      </c>
      <c r="J1015" s="103" t="n">
        <v>50</v>
      </c>
      <c r="K1015" s="103" t="n">
        <v>75</v>
      </c>
      <c r="L1015" s="103" t="s">
        <v>94</v>
      </c>
      <c r="M1015" s="103" t="s">
        <v>66</v>
      </c>
      <c r="N1015" s="103" t="s">
        <v>77</v>
      </c>
      <c r="O1015" s="103" t="n">
        <v>22</v>
      </c>
      <c r="P1015" s="103" t="n">
        <v>9.1</v>
      </c>
      <c r="Q1015" s="103" t="n">
        <v>2</v>
      </c>
      <c r="R1015" s="103" t="s">
        <v>142</v>
      </c>
      <c r="S1015" s="103" t="n">
        <v>349</v>
      </c>
      <c r="T1015" s="103" t="n">
        <v>274</v>
      </c>
      <c r="U1015" s="103" t="s">
        <v>1727</v>
      </c>
      <c r="V1015" s="103" t="n">
        <v>2025</v>
      </c>
    </row>
    <row r="1016" customFormat="false" ht="14.25" hidden="false" customHeight="false" outlineLevel="0" collapsed="false">
      <c r="A1016" s="103" t="s">
        <v>1739</v>
      </c>
      <c r="B1016" s="103" t="s">
        <v>654</v>
      </c>
      <c r="C1016" s="104" t="n">
        <v>45996</v>
      </c>
      <c r="D1016" s="103" t="s">
        <v>106</v>
      </c>
      <c r="E1016" s="103" t="n">
        <v>41</v>
      </c>
      <c r="F1016" s="103" t="s">
        <v>170</v>
      </c>
      <c r="G1016" s="103" t="s">
        <v>84</v>
      </c>
      <c r="H1016" s="103" t="n">
        <v>3.6</v>
      </c>
      <c r="I1016" s="103" t="n">
        <v>1428</v>
      </c>
      <c r="J1016" s="103" t="n">
        <v>20</v>
      </c>
      <c r="K1016" s="103" t="n">
        <v>20</v>
      </c>
      <c r="L1016" s="103" t="s">
        <v>95</v>
      </c>
      <c r="M1016" s="103" t="s">
        <v>65</v>
      </c>
      <c r="N1016" s="103" t="s">
        <v>77</v>
      </c>
      <c r="O1016" s="103" t="n">
        <v>42</v>
      </c>
      <c r="P1016" s="103" t="n">
        <v>4.4</v>
      </c>
      <c r="Q1016" s="103" t="n">
        <v>5</v>
      </c>
      <c r="R1016" s="103" t="s">
        <v>139</v>
      </c>
      <c r="S1016" s="103" t="n">
        <v>1448</v>
      </c>
      <c r="T1016" s="103" t="n">
        <v>1428</v>
      </c>
      <c r="U1016" s="103" t="s">
        <v>1727</v>
      </c>
      <c r="V1016" s="103" t="n">
        <v>2025</v>
      </c>
    </row>
    <row r="1017" customFormat="false" ht="14.25" hidden="false" customHeight="false" outlineLevel="0" collapsed="false">
      <c r="A1017" s="103" t="s">
        <v>1740</v>
      </c>
      <c r="B1017" s="103" t="s">
        <v>655</v>
      </c>
      <c r="C1017" s="104" t="n">
        <v>45996</v>
      </c>
      <c r="D1017" s="103" t="s">
        <v>101</v>
      </c>
      <c r="E1017" s="103" t="n">
        <v>59</v>
      </c>
      <c r="F1017" s="103" t="s">
        <v>171</v>
      </c>
      <c r="G1017" s="103" t="s">
        <v>82</v>
      </c>
      <c r="H1017" s="103" t="n">
        <v>4.9</v>
      </c>
      <c r="I1017" s="103" t="n">
        <v>407</v>
      </c>
      <c r="J1017" s="103" t="n">
        <v>60</v>
      </c>
      <c r="K1017" s="103" t="n">
        <v>75</v>
      </c>
      <c r="L1017" s="103" t="s">
        <v>93</v>
      </c>
      <c r="M1017" s="103" t="s">
        <v>65</v>
      </c>
      <c r="N1017" s="103" t="s">
        <v>77</v>
      </c>
      <c r="O1017" s="103" t="n">
        <v>60</v>
      </c>
      <c r="P1017" s="103" t="n">
        <v>9.9</v>
      </c>
      <c r="Q1017" s="103" t="n">
        <v>5</v>
      </c>
      <c r="R1017" s="103" t="s">
        <v>132</v>
      </c>
      <c r="S1017" s="103" t="n">
        <v>467</v>
      </c>
      <c r="T1017" s="103" t="n">
        <v>392</v>
      </c>
      <c r="U1017" s="103" t="s">
        <v>1727</v>
      </c>
      <c r="V1017" s="103" t="n">
        <v>2025</v>
      </c>
    </row>
    <row r="1018" customFormat="false" ht="14.25" hidden="false" customHeight="false" outlineLevel="0" collapsed="false">
      <c r="A1018" s="103" t="s">
        <v>1741</v>
      </c>
      <c r="B1018" s="103" t="s">
        <v>656</v>
      </c>
      <c r="C1018" s="104" t="n">
        <v>45996</v>
      </c>
      <c r="D1018" s="103" t="s">
        <v>111</v>
      </c>
      <c r="E1018" s="103" t="n">
        <v>25</v>
      </c>
      <c r="F1018" s="103" t="s">
        <v>170</v>
      </c>
      <c r="G1018" s="103" t="s">
        <v>88</v>
      </c>
      <c r="H1018" s="103" t="n">
        <v>4.1</v>
      </c>
      <c r="I1018" s="103" t="n">
        <v>872</v>
      </c>
      <c r="J1018" s="103" t="n">
        <v>20</v>
      </c>
      <c r="K1018" s="103" t="n">
        <v>10</v>
      </c>
      <c r="L1018" s="103" t="s">
        <v>97</v>
      </c>
      <c r="M1018" s="103" t="s">
        <v>65</v>
      </c>
      <c r="N1018" s="103" t="s">
        <v>77</v>
      </c>
      <c r="O1018" s="103" t="n">
        <v>35</v>
      </c>
      <c r="P1018" s="103" t="n">
        <v>14.8</v>
      </c>
      <c r="Q1018" s="103" t="n">
        <v>3</v>
      </c>
      <c r="R1018" s="103" t="s">
        <v>141</v>
      </c>
      <c r="S1018" s="103" t="n">
        <v>892</v>
      </c>
      <c r="T1018" s="103" t="n">
        <v>882</v>
      </c>
      <c r="U1018" s="103" t="s">
        <v>1727</v>
      </c>
      <c r="V1018" s="103" t="n">
        <v>2025</v>
      </c>
    </row>
    <row r="1019" customFormat="false" ht="14.25" hidden="false" customHeight="false" outlineLevel="0" collapsed="false">
      <c r="A1019" s="103" t="s">
        <v>1742</v>
      </c>
      <c r="B1019" s="103" t="s">
        <v>657</v>
      </c>
      <c r="C1019" s="104" t="n">
        <v>45997</v>
      </c>
      <c r="D1019" s="103" t="s">
        <v>106</v>
      </c>
      <c r="E1019" s="103" t="n">
        <v>41</v>
      </c>
      <c r="F1019" s="103" t="s">
        <v>170</v>
      </c>
      <c r="G1019" s="103" t="s">
        <v>87</v>
      </c>
      <c r="H1019" s="103" t="n">
        <v>3.9</v>
      </c>
      <c r="I1019" s="103" t="n">
        <v>474</v>
      </c>
      <c r="J1019" s="103" t="n">
        <v>50</v>
      </c>
      <c r="K1019" s="103" t="n">
        <v>100</v>
      </c>
      <c r="L1019" s="103" t="s">
        <v>94</v>
      </c>
      <c r="M1019" s="103" t="s">
        <v>66</v>
      </c>
      <c r="N1019" s="103" t="s">
        <v>77</v>
      </c>
      <c r="O1019" s="103" t="n">
        <v>37</v>
      </c>
      <c r="P1019" s="103" t="n">
        <v>1.2</v>
      </c>
      <c r="Q1019" s="103" t="n">
        <v>3</v>
      </c>
      <c r="R1019" s="103" t="s">
        <v>131</v>
      </c>
      <c r="S1019" s="103" t="n">
        <v>524</v>
      </c>
      <c r="T1019" s="103" t="n">
        <v>424</v>
      </c>
      <c r="U1019" s="103" t="s">
        <v>1727</v>
      </c>
      <c r="V1019" s="103" t="n">
        <v>2025</v>
      </c>
    </row>
    <row r="1020" customFormat="false" ht="14.25" hidden="false" customHeight="false" outlineLevel="0" collapsed="false">
      <c r="A1020" s="103" t="s">
        <v>1743</v>
      </c>
      <c r="B1020" s="103" t="s">
        <v>658</v>
      </c>
      <c r="C1020" s="104" t="n">
        <v>45997</v>
      </c>
      <c r="D1020" s="103" t="s">
        <v>107</v>
      </c>
      <c r="E1020" s="103" t="n">
        <v>33</v>
      </c>
      <c r="F1020" s="103" t="s">
        <v>170</v>
      </c>
      <c r="G1020" s="103" t="s">
        <v>86</v>
      </c>
      <c r="H1020" s="103" t="n">
        <v>4.8</v>
      </c>
      <c r="I1020" s="103" t="n">
        <v>1278</v>
      </c>
      <c r="J1020" s="103" t="n">
        <v>40</v>
      </c>
      <c r="K1020" s="103" t="n">
        <v>100</v>
      </c>
      <c r="L1020" s="103" t="s">
        <v>94</v>
      </c>
      <c r="M1020" s="103" t="s">
        <v>65</v>
      </c>
      <c r="N1020" s="103" t="s">
        <v>78</v>
      </c>
      <c r="O1020" s="103" t="n">
        <v>46</v>
      </c>
      <c r="P1020" s="103" t="n">
        <v>13.4</v>
      </c>
      <c r="Q1020" s="103" t="n">
        <v>3</v>
      </c>
      <c r="R1020" s="103" t="s">
        <v>135</v>
      </c>
      <c r="S1020" s="103" t="n">
        <v>1318</v>
      </c>
      <c r="T1020" s="103" t="n">
        <v>1218</v>
      </c>
      <c r="U1020" s="103" t="s">
        <v>1727</v>
      </c>
      <c r="V1020" s="103" t="n">
        <v>2025</v>
      </c>
    </row>
    <row r="1021" customFormat="false" ht="14.25" hidden="false" customHeight="false" outlineLevel="0" collapsed="false">
      <c r="A1021" s="103" t="s">
        <v>1744</v>
      </c>
      <c r="B1021" s="103" t="s">
        <v>659</v>
      </c>
      <c r="C1021" s="104" t="n">
        <v>45997</v>
      </c>
      <c r="D1021" s="103" t="s">
        <v>107</v>
      </c>
      <c r="E1021" s="103" t="n">
        <v>43</v>
      </c>
      <c r="F1021" s="103" t="s">
        <v>172</v>
      </c>
      <c r="G1021" s="103" t="s">
        <v>85</v>
      </c>
      <c r="H1021" s="103" t="n">
        <v>4</v>
      </c>
      <c r="I1021" s="103" t="n">
        <v>1594</v>
      </c>
      <c r="J1021" s="103" t="n">
        <v>20</v>
      </c>
      <c r="K1021" s="103" t="n">
        <v>30</v>
      </c>
      <c r="L1021" s="103" t="s">
        <v>93</v>
      </c>
      <c r="M1021" s="103" t="s">
        <v>66</v>
      </c>
      <c r="N1021" s="103" t="s">
        <v>77</v>
      </c>
      <c r="O1021" s="103" t="n">
        <v>22</v>
      </c>
      <c r="P1021" s="103" t="n">
        <v>8.7</v>
      </c>
      <c r="Q1021" s="103" t="n">
        <v>5</v>
      </c>
      <c r="R1021" s="103" t="s">
        <v>133</v>
      </c>
      <c r="S1021" s="103" t="n">
        <v>1614</v>
      </c>
      <c r="T1021" s="103" t="n">
        <v>1584</v>
      </c>
      <c r="U1021" s="103" t="s">
        <v>1727</v>
      </c>
      <c r="V1021" s="103" t="n">
        <v>2025</v>
      </c>
    </row>
    <row r="1022" customFormat="false" ht="14.25" hidden="false" customHeight="false" outlineLevel="0" collapsed="false">
      <c r="A1022" s="103" t="s">
        <v>1745</v>
      </c>
      <c r="B1022" s="103" t="s">
        <v>660</v>
      </c>
      <c r="C1022" s="104" t="n">
        <v>45998</v>
      </c>
      <c r="D1022" s="103" t="s">
        <v>100</v>
      </c>
      <c r="E1022" s="103" t="n">
        <v>44</v>
      </c>
      <c r="F1022" s="103" t="s">
        <v>171</v>
      </c>
      <c r="G1022" s="103" t="s">
        <v>84</v>
      </c>
      <c r="H1022" s="103" t="n">
        <v>3.8</v>
      </c>
      <c r="I1022" s="103" t="n">
        <v>608</v>
      </c>
      <c r="J1022" s="103" t="n">
        <v>30</v>
      </c>
      <c r="K1022" s="103" t="n">
        <v>150</v>
      </c>
      <c r="L1022" s="103" t="s">
        <v>93</v>
      </c>
      <c r="M1022" s="103" t="s">
        <v>65</v>
      </c>
      <c r="N1022" s="103" t="s">
        <v>77</v>
      </c>
      <c r="O1022" s="103" t="n">
        <v>45</v>
      </c>
      <c r="P1022" s="103" t="n">
        <v>4.2</v>
      </c>
      <c r="Q1022" s="103" t="n">
        <v>5</v>
      </c>
      <c r="R1022" s="103" t="s">
        <v>137</v>
      </c>
      <c r="S1022" s="103" t="n">
        <v>638</v>
      </c>
      <c r="T1022" s="103" t="n">
        <v>488</v>
      </c>
      <c r="U1022" s="103" t="s">
        <v>1727</v>
      </c>
      <c r="V1022" s="103" t="n">
        <v>2025</v>
      </c>
    </row>
    <row r="1023" customFormat="false" ht="14.25" hidden="false" customHeight="false" outlineLevel="0" collapsed="false">
      <c r="A1023" s="103" t="s">
        <v>1746</v>
      </c>
      <c r="B1023" s="103" t="s">
        <v>661</v>
      </c>
      <c r="C1023" s="104" t="n">
        <v>45998</v>
      </c>
      <c r="D1023" s="103" t="s">
        <v>105</v>
      </c>
      <c r="E1023" s="103" t="n">
        <v>54</v>
      </c>
      <c r="F1023" s="103" t="s">
        <v>171</v>
      </c>
      <c r="G1023" s="103" t="s">
        <v>85</v>
      </c>
      <c r="H1023" s="103" t="n">
        <v>4.4</v>
      </c>
      <c r="I1023" s="103" t="n">
        <v>258</v>
      </c>
      <c r="J1023" s="103" t="n">
        <v>30</v>
      </c>
      <c r="K1023" s="103" t="n">
        <v>30</v>
      </c>
      <c r="L1023" s="103" t="s">
        <v>95</v>
      </c>
      <c r="M1023" s="103" t="s">
        <v>65</v>
      </c>
      <c r="N1023" s="103" t="s">
        <v>77</v>
      </c>
      <c r="O1023" s="103" t="n">
        <v>51</v>
      </c>
      <c r="P1023" s="103" t="n">
        <v>14.3</v>
      </c>
      <c r="Q1023" s="103" t="n">
        <v>5</v>
      </c>
      <c r="R1023" s="103" t="s">
        <v>137</v>
      </c>
      <c r="S1023" s="103" t="n">
        <v>288</v>
      </c>
      <c r="T1023" s="103" t="n">
        <v>258</v>
      </c>
      <c r="U1023" s="103" t="s">
        <v>1727</v>
      </c>
      <c r="V1023" s="103" t="n">
        <v>2025</v>
      </c>
    </row>
    <row r="1024" customFormat="false" ht="14.25" hidden="false" customHeight="false" outlineLevel="0" collapsed="false">
      <c r="A1024" s="103" t="s">
        <v>1747</v>
      </c>
      <c r="B1024" s="103" t="s">
        <v>662</v>
      </c>
      <c r="C1024" s="104" t="n">
        <v>45998</v>
      </c>
      <c r="D1024" s="103" t="s">
        <v>107</v>
      </c>
      <c r="E1024" s="103" t="n">
        <v>21</v>
      </c>
      <c r="F1024" s="103" t="s">
        <v>170</v>
      </c>
      <c r="G1024" s="103" t="s">
        <v>83</v>
      </c>
      <c r="H1024" s="103" t="n">
        <v>4.3</v>
      </c>
      <c r="I1024" s="103" t="n">
        <v>621</v>
      </c>
      <c r="J1024" s="103" t="n">
        <v>0</v>
      </c>
      <c r="K1024" s="103" t="n">
        <v>100</v>
      </c>
      <c r="L1024" s="103" t="s">
        <v>93</v>
      </c>
      <c r="M1024" s="103" t="s">
        <v>65</v>
      </c>
      <c r="N1024" s="103" t="s">
        <v>77</v>
      </c>
      <c r="O1024" s="103" t="n">
        <v>30</v>
      </c>
      <c r="P1024" s="103" t="n">
        <v>7.5</v>
      </c>
      <c r="Q1024" s="103" t="n">
        <v>5</v>
      </c>
      <c r="R1024" s="103" t="s">
        <v>133</v>
      </c>
      <c r="S1024" s="103" t="n">
        <v>621</v>
      </c>
      <c r="T1024" s="103" t="n">
        <v>521</v>
      </c>
      <c r="U1024" s="103" t="s">
        <v>1727</v>
      </c>
      <c r="V1024" s="103" t="n">
        <v>2025</v>
      </c>
    </row>
    <row r="1025" customFormat="false" ht="14.25" hidden="false" customHeight="false" outlineLevel="0" collapsed="false">
      <c r="A1025" s="103" t="s">
        <v>1748</v>
      </c>
      <c r="B1025" s="103" t="s">
        <v>663</v>
      </c>
      <c r="C1025" s="104" t="n">
        <v>45999</v>
      </c>
      <c r="D1025" s="103" t="s">
        <v>102</v>
      </c>
      <c r="E1025" s="103" t="n">
        <v>41</v>
      </c>
      <c r="F1025" s="103" t="s">
        <v>170</v>
      </c>
      <c r="G1025" s="103" t="s">
        <v>83</v>
      </c>
      <c r="H1025" s="103" t="n">
        <v>3</v>
      </c>
      <c r="I1025" s="103" t="n">
        <v>1250</v>
      </c>
      <c r="J1025" s="103" t="n">
        <v>50</v>
      </c>
      <c r="K1025" s="103" t="n">
        <v>30</v>
      </c>
      <c r="L1025" s="103" t="s">
        <v>94</v>
      </c>
      <c r="M1025" s="103" t="s">
        <v>65</v>
      </c>
      <c r="N1025" s="103" t="s">
        <v>77</v>
      </c>
      <c r="O1025" s="103" t="n">
        <v>54</v>
      </c>
      <c r="P1025" s="103" t="n">
        <v>5.3</v>
      </c>
      <c r="Q1025" s="103" t="n">
        <v>4</v>
      </c>
      <c r="R1025" s="103" t="s">
        <v>138</v>
      </c>
      <c r="S1025" s="103" t="n">
        <v>1300</v>
      </c>
      <c r="T1025" s="103" t="n">
        <v>1270</v>
      </c>
      <c r="U1025" s="103" t="s">
        <v>1727</v>
      </c>
      <c r="V1025" s="103" t="n">
        <v>2025</v>
      </c>
    </row>
    <row r="1026" customFormat="false" ht="14.25" hidden="false" customHeight="false" outlineLevel="0" collapsed="false">
      <c r="A1026" s="103" t="s">
        <v>1749</v>
      </c>
      <c r="B1026" s="103" t="s">
        <v>664</v>
      </c>
      <c r="C1026" s="104" t="n">
        <v>45999</v>
      </c>
      <c r="D1026" s="103" t="s">
        <v>109</v>
      </c>
      <c r="E1026" s="103" t="n">
        <v>36</v>
      </c>
      <c r="F1026" s="103" t="s">
        <v>171</v>
      </c>
      <c r="G1026" s="103" t="s">
        <v>82</v>
      </c>
      <c r="H1026" s="103" t="n">
        <v>3.7</v>
      </c>
      <c r="I1026" s="103" t="n">
        <v>672</v>
      </c>
      <c r="J1026" s="103" t="n">
        <v>50</v>
      </c>
      <c r="K1026" s="103" t="n">
        <v>50</v>
      </c>
      <c r="L1026" s="103" t="s">
        <v>93</v>
      </c>
      <c r="M1026" s="103" t="s">
        <v>65</v>
      </c>
      <c r="N1026" s="103" t="s">
        <v>77</v>
      </c>
      <c r="O1026" s="103" t="n">
        <v>56</v>
      </c>
      <c r="P1026" s="103" t="n">
        <v>3.1</v>
      </c>
      <c r="Q1026" s="103" t="n">
        <v>5</v>
      </c>
      <c r="R1026" s="103" t="s">
        <v>131</v>
      </c>
      <c r="S1026" s="103" t="n">
        <v>722</v>
      </c>
      <c r="T1026" s="103" t="n">
        <v>672</v>
      </c>
      <c r="U1026" s="103" t="s">
        <v>1727</v>
      </c>
      <c r="V1026" s="103" t="n">
        <v>2025</v>
      </c>
    </row>
    <row r="1027" customFormat="false" ht="14.25" hidden="false" customHeight="false" outlineLevel="0" collapsed="false">
      <c r="A1027" s="103" t="s">
        <v>1750</v>
      </c>
      <c r="B1027" s="103" t="s">
        <v>665</v>
      </c>
      <c r="C1027" s="104" t="n">
        <v>45999</v>
      </c>
      <c r="D1027" s="103" t="s">
        <v>110</v>
      </c>
      <c r="E1027" s="103" t="n">
        <v>53</v>
      </c>
      <c r="F1027" s="103" t="s">
        <v>171</v>
      </c>
      <c r="G1027" s="103" t="s">
        <v>84</v>
      </c>
      <c r="H1027" s="103" t="n">
        <v>3.7</v>
      </c>
      <c r="I1027" s="103" t="n">
        <v>587</v>
      </c>
      <c r="J1027" s="103" t="n">
        <v>20</v>
      </c>
      <c r="K1027" s="103" t="n">
        <v>100</v>
      </c>
      <c r="L1027" s="103" t="s">
        <v>96</v>
      </c>
      <c r="M1027" s="103" t="s">
        <v>65</v>
      </c>
      <c r="N1027" s="103" t="s">
        <v>78</v>
      </c>
      <c r="O1027" s="103" t="n">
        <v>41</v>
      </c>
      <c r="P1027" s="103" t="n">
        <v>4</v>
      </c>
      <c r="Q1027" s="103" t="n">
        <v>5</v>
      </c>
      <c r="R1027" s="103" t="s">
        <v>140</v>
      </c>
      <c r="S1027" s="103" t="n">
        <v>607</v>
      </c>
      <c r="T1027" s="103" t="n">
        <v>507</v>
      </c>
      <c r="U1027" s="103" t="s">
        <v>1727</v>
      </c>
      <c r="V1027" s="103" t="n">
        <v>2025</v>
      </c>
    </row>
    <row r="1028" customFormat="false" ht="14.25" hidden="false" customHeight="false" outlineLevel="0" collapsed="false">
      <c r="A1028" s="103" t="s">
        <v>1751</v>
      </c>
      <c r="B1028" s="103" t="s">
        <v>666</v>
      </c>
      <c r="C1028" s="104" t="n">
        <v>46000</v>
      </c>
      <c r="D1028" s="103" t="s">
        <v>111</v>
      </c>
      <c r="E1028" s="103" t="n">
        <v>56</v>
      </c>
      <c r="F1028" s="103" t="s">
        <v>171</v>
      </c>
      <c r="G1028" s="103" t="s">
        <v>90</v>
      </c>
      <c r="H1028" s="103" t="n">
        <v>3.4</v>
      </c>
      <c r="I1028" s="103" t="n">
        <v>430</v>
      </c>
      <c r="J1028" s="103" t="n">
        <v>40</v>
      </c>
      <c r="K1028" s="103" t="n">
        <v>20</v>
      </c>
      <c r="L1028" s="103" t="s">
        <v>95</v>
      </c>
      <c r="M1028" s="103" t="s">
        <v>66</v>
      </c>
      <c r="N1028" s="103" t="s">
        <v>77</v>
      </c>
      <c r="O1028" s="103" t="n">
        <v>54</v>
      </c>
      <c r="P1028" s="103" t="n">
        <v>12.6</v>
      </c>
      <c r="Q1028" s="103" t="n">
        <v>4</v>
      </c>
      <c r="R1028" s="103" t="s">
        <v>134</v>
      </c>
      <c r="S1028" s="103" t="n">
        <v>470</v>
      </c>
      <c r="T1028" s="103" t="n">
        <v>450</v>
      </c>
      <c r="U1028" s="103" t="s">
        <v>1727</v>
      </c>
      <c r="V1028" s="103" t="n">
        <v>2025</v>
      </c>
    </row>
    <row r="1029" customFormat="false" ht="14.25" hidden="false" customHeight="false" outlineLevel="0" collapsed="false">
      <c r="A1029" s="103" t="s">
        <v>1752</v>
      </c>
      <c r="B1029" s="103" t="s">
        <v>667</v>
      </c>
      <c r="C1029" s="104" t="n">
        <v>46000</v>
      </c>
      <c r="D1029" s="103" t="s">
        <v>105</v>
      </c>
      <c r="E1029" s="103" t="n">
        <v>27</v>
      </c>
      <c r="F1029" s="103" t="s">
        <v>171</v>
      </c>
      <c r="G1029" s="103" t="s">
        <v>83</v>
      </c>
      <c r="H1029" s="103" t="n">
        <v>3.8</v>
      </c>
      <c r="I1029" s="103" t="n">
        <v>956</v>
      </c>
      <c r="J1029" s="103" t="n">
        <v>50</v>
      </c>
      <c r="K1029" s="103" t="n">
        <v>50</v>
      </c>
      <c r="L1029" s="103" t="s">
        <v>93</v>
      </c>
      <c r="M1029" s="103" t="s">
        <v>65</v>
      </c>
      <c r="N1029" s="103" t="s">
        <v>78</v>
      </c>
      <c r="O1029" s="103" t="n">
        <v>55</v>
      </c>
      <c r="P1029" s="103" t="n">
        <v>9.4</v>
      </c>
      <c r="Q1029" s="103" t="n">
        <v>4</v>
      </c>
      <c r="R1029" s="103" t="s">
        <v>141</v>
      </c>
      <c r="S1029" s="103" t="n">
        <v>1006</v>
      </c>
      <c r="T1029" s="103" t="n">
        <v>956</v>
      </c>
      <c r="U1029" s="103" t="s">
        <v>1727</v>
      </c>
      <c r="V1029" s="103" t="n">
        <v>2025</v>
      </c>
    </row>
    <row r="1030" customFormat="false" ht="14.25" hidden="false" customHeight="false" outlineLevel="0" collapsed="false">
      <c r="A1030" s="103" t="s">
        <v>1753</v>
      </c>
      <c r="B1030" s="103" t="s">
        <v>668</v>
      </c>
      <c r="C1030" s="104" t="n">
        <v>46000</v>
      </c>
      <c r="D1030" s="103" t="s">
        <v>104</v>
      </c>
      <c r="E1030" s="103" t="n">
        <v>42</v>
      </c>
      <c r="F1030" s="103" t="s">
        <v>170</v>
      </c>
      <c r="G1030" s="103" t="s">
        <v>82</v>
      </c>
      <c r="H1030" s="103" t="n">
        <v>3.5</v>
      </c>
      <c r="I1030" s="103" t="n">
        <v>584</v>
      </c>
      <c r="J1030" s="103" t="n">
        <v>20</v>
      </c>
      <c r="K1030" s="103" t="n">
        <v>20</v>
      </c>
      <c r="L1030" s="103" t="s">
        <v>95</v>
      </c>
      <c r="M1030" s="103" t="s">
        <v>65</v>
      </c>
      <c r="N1030" s="103" t="s">
        <v>77</v>
      </c>
      <c r="O1030" s="103" t="n">
        <v>32</v>
      </c>
      <c r="P1030" s="103" t="n">
        <v>13.7</v>
      </c>
      <c r="Q1030" s="103" t="n">
        <v>5</v>
      </c>
      <c r="R1030" s="103" t="s">
        <v>132</v>
      </c>
      <c r="S1030" s="103" t="n">
        <v>604</v>
      </c>
      <c r="T1030" s="103" t="n">
        <v>584</v>
      </c>
      <c r="U1030" s="103" t="s">
        <v>1727</v>
      </c>
      <c r="V1030" s="103" t="n">
        <v>2025</v>
      </c>
    </row>
    <row r="1031" customFormat="false" ht="14.25" hidden="false" customHeight="false" outlineLevel="0" collapsed="false">
      <c r="A1031" s="103" t="s">
        <v>1754</v>
      </c>
      <c r="B1031" s="103" t="s">
        <v>669</v>
      </c>
      <c r="C1031" s="104" t="n">
        <v>46001</v>
      </c>
      <c r="D1031" s="103" t="s">
        <v>102</v>
      </c>
      <c r="E1031" s="103" t="n">
        <v>35</v>
      </c>
      <c r="F1031" s="103" t="s">
        <v>170</v>
      </c>
      <c r="G1031" s="103" t="s">
        <v>83</v>
      </c>
      <c r="H1031" s="103" t="n">
        <v>3</v>
      </c>
      <c r="I1031" s="103" t="n">
        <v>1348</v>
      </c>
      <c r="J1031" s="103" t="n">
        <v>20</v>
      </c>
      <c r="K1031" s="103" t="n">
        <v>50</v>
      </c>
      <c r="L1031" s="103" t="s">
        <v>96</v>
      </c>
      <c r="M1031" s="103" t="s">
        <v>66</v>
      </c>
      <c r="N1031" s="103" t="s">
        <v>78</v>
      </c>
      <c r="O1031" s="103" t="n">
        <v>49</v>
      </c>
      <c r="P1031" s="103" t="n">
        <v>3.9</v>
      </c>
      <c r="Q1031" s="103" t="n">
        <v>5</v>
      </c>
      <c r="R1031" s="103" t="s">
        <v>137</v>
      </c>
      <c r="S1031" s="103" t="n">
        <v>1368</v>
      </c>
      <c r="T1031" s="103" t="n">
        <v>1318</v>
      </c>
      <c r="U1031" s="103" t="s">
        <v>1727</v>
      </c>
      <c r="V1031" s="103" t="n">
        <v>2025</v>
      </c>
    </row>
    <row r="1032" customFormat="false" ht="14.25" hidden="false" customHeight="false" outlineLevel="0" collapsed="false">
      <c r="A1032" s="103" t="s">
        <v>1755</v>
      </c>
      <c r="B1032" s="103" t="s">
        <v>670</v>
      </c>
      <c r="C1032" s="104" t="n">
        <v>46001</v>
      </c>
      <c r="D1032" s="103" t="s">
        <v>101</v>
      </c>
      <c r="E1032" s="103" t="n">
        <v>36</v>
      </c>
      <c r="F1032" s="103" t="s">
        <v>171</v>
      </c>
      <c r="G1032" s="103" t="s">
        <v>83</v>
      </c>
      <c r="H1032" s="103" t="n">
        <v>3.5</v>
      </c>
      <c r="I1032" s="103" t="n">
        <v>249</v>
      </c>
      <c r="J1032" s="103" t="n">
        <v>60</v>
      </c>
      <c r="K1032" s="103" t="n">
        <v>20</v>
      </c>
      <c r="L1032" s="103" t="s">
        <v>95</v>
      </c>
      <c r="M1032" s="103" t="s">
        <v>65</v>
      </c>
      <c r="N1032" s="103" t="s">
        <v>77</v>
      </c>
      <c r="O1032" s="103" t="n">
        <v>63</v>
      </c>
      <c r="P1032" s="103" t="n">
        <v>2.3</v>
      </c>
      <c r="Q1032" s="103" t="n">
        <v>5</v>
      </c>
      <c r="R1032" s="103" t="s">
        <v>136</v>
      </c>
      <c r="S1032" s="103" t="n">
        <v>309</v>
      </c>
      <c r="T1032" s="103" t="n">
        <v>289</v>
      </c>
      <c r="U1032" s="103" t="s">
        <v>1727</v>
      </c>
      <c r="V1032" s="103" t="n">
        <v>2025</v>
      </c>
    </row>
    <row r="1033" customFormat="false" ht="14.25" hidden="false" customHeight="false" outlineLevel="0" collapsed="false">
      <c r="A1033" s="103" t="s">
        <v>1756</v>
      </c>
      <c r="B1033" s="103" t="s">
        <v>671</v>
      </c>
      <c r="C1033" s="104" t="n">
        <v>46001</v>
      </c>
      <c r="D1033" s="103" t="s">
        <v>103</v>
      </c>
      <c r="E1033" s="103" t="n">
        <v>53</v>
      </c>
      <c r="F1033" s="103" t="s">
        <v>171</v>
      </c>
      <c r="G1033" s="103" t="s">
        <v>90</v>
      </c>
      <c r="H1033" s="103" t="n">
        <v>2.7</v>
      </c>
      <c r="I1033" s="103" t="n">
        <v>1236</v>
      </c>
      <c r="J1033" s="103" t="n">
        <v>60</v>
      </c>
      <c r="K1033" s="103" t="n">
        <v>100</v>
      </c>
      <c r="L1033" s="103" t="s">
        <v>93</v>
      </c>
      <c r="M1033" s="103" t="s">
        <v>65</v>
      </c>
      <c r="N1033" s="103" t="s">
        <v>77</v>
      </c>
      <c r="O1033" s="103" t="n">
        <v>66</v>
      </c>
      <c r="P1033" s="103" t="n">
        <v>0.6</v>
      </c>
      <c r="Q1033" s="103" t="n">
        <v>5</v>
      </c>
      <c r="R1033" s="103" t="s">
        <v>131</v>
      </c>
      <c r="S1033" s="103" t="n">
        <v>1296</v>
      </c>
      <c r="T1033" s="103" t="n">
        <v>1196</v>
      </c>
      <c r="U1033" s="103" t="s">
        <v>1727</v>
      </c>
      <c r="V1033" s="103" t="n">
        <v>2025</v>
      </c>
    </row>
    <row r="1034" customFormat="false" ht="14.25" hidden="false" customHeight="false" outlineLevel="0" collapsed="false">
      <c r="A1034" s="103" t="s">
        <v>1757</v>
      </c>
      <c r="B1034" s="103" t="s">
        <v>672</v>
      </c>
      <c r="C1034" s="104" t="n">
        <v>46002</v>
      </c>
      <c r="D1034" s="103" t="s">
        <v>107</v>
      </c>
      <c r="E1034" s="103" t="n">
        <v>27</v>
      </c>
      <c r="F1034" s="103" t="s">
        <v>171</v>
      </c>
      <c r="G1034" s="103" t="s">
        <v>87</v>
      </c>
      <c r="H1034" s="103" t="n">
        <v>3.9</v>
      </c>
      <c r="I1034" s="103" t="n">
        <v>519</v>
      </c>
      <c r="J1034" s="103" t="n">
        <v>50</v>
      </c>
      <c r="K1034" s="103" t="n">
        <v>0</v>
      </c>
      <c r="L1034" s="103" t="s">
        <v>95</v>
      </c>
      <c r="M1034" s="103" t="s">
        <v>65</v>
      </c>
      <c r="N1034" s="103" t="s">
        <v>77</v>
      </c>
      <c r="O1034" s="103" t="n">
        <v>29</v>
      </c>
      <c r="P1034" s="103" t="n">
        <v>7.9</v>
      </c>
      <c r="Q1034" s="103" t="n">
        <v>5</v>
      </c>
      <c r="R1034" s="103" t="s">
        <v>133</v>
      </c>
      <c r="S1034" s="103" t="n">
        <v>569</v>
      </c>
      <c r="T1034" s="103" t="n">
        <v>569</v>
      </c>
      <c r="U1034" s="103" t="s">
        <v>1727</v>
      </c>
      <c r="V1034" s="103" t="n">
        <v>2025</v>
      </c>
    </row>
    <row r="1035" customFormat="false" ht="14.25" hidden="false" customHeight="false" outlineLevel="0" collapsed="false">
      <c r="A1035" s="103" t="s">
        <v>1758</v>
      </c>
      <c r="B1035" s="103" t="s">
        <v>673</v>
      </c>
      <c r="C1035" s="104" t="n">
        <v>46002</v>
      </c>
      <c r="D1035" s="103" t="s">
        <v>104</v>
      </c>
      <c r="E1035" s="103" t="n">
        <v>50</v>
      </c>
      <c r="F1035" s="103" t="s">
        <v>171</v>
      </c>
      <c r="G1035" s="103" t="s">
        <v>81</v>
      </c>
      <c r="H1035" s="103" t="n">
        <v>4.6</v>
      </c>
      <c r="I1035" s="103" t="n">
        <v>942</v>
      </c>
      <c r="J1035" s="103" t="n">
        <v>20</v>
      </c>
      <c r="K1035" s="103" t="n">
        <v>200</v>
      </c>
      <c r="L1035" s="103" t="s">
        <v>93</v>
      </c>
      <c r="M1035" s="103" t="s">
        <v>65</v>
      </c>
      <c r="N1035" s="103" t="s">
        <v>77</v>
      </c>
      <c r="O1035" s="103" t="n">
        <v>67</v>
      </c>
      <c r="P1035" s="103" t="n">
        <v>15</v>
      </c>
      <c r="Q1035" s="103" t="n">
        <v>5</v>
      </c>
      <c r="R1035" s="103" t="s">
        <v>137</v>
      </c>
      <c r="S1035" s="103" t="n">
        <v>962</v>
      </c>
      <c r="T1035" s="103" t="n">
        <v>762</v>
      </c>
      <c r="U1035" s="103" t="s">
        <v>1727</v>
      </c>
      <c r="V1035" s="103" t="n">
        <v>2025</v>
      </c>
    </row>
    <row r="1036" customFormat="false" ht="14.25" hidden="false" customHeight="false" outlineLevel="0" collapsed="false">
      <c r="A1036" s="103" t="s">
        <v>1759</v>
      </c>
      <c r="B1036" s="103" t="s">
        <v>674</v>
      </c>
      <c r="C1036" s="104" t="n">
        <v>46002</v>
      </c>
      <c r="D1036" s="103" t="s">
        <v>107</v>
      </c>
      <c r="E1036" s="103" t="n">
        <v>22</v>
      </c>
      <c r="F1036" s="103" t="s">
        <v>170</v>
      </c>
      <c r="G1036" s="103" t="s">
        <v>88</v>
      </c>
      <c r="H1036" s="103" t="n">
        <v>4.3</v>
      </c>
      <c r="I1036" s="103" t="n">
        <v>601</v>
      </c>
      <c r="J1036" s="103" t="n">
        <v>0</v>
      </c>
      <c r="K1036" s="103" t="n">
        <v>200</v>
      </c>
      <c r="L1036" s="103" t="s">
        <v>93</v>
      </c>
      <c r="M1036" s="103" t="s">
        <v>66</v>
      </c>
      <c r="N1036" s="103" t="s">
        <v>78</v>
      </c>
      <c r="O1036" s="103" t="n">
        <v>41</v>
      </c>
      <c r="P1036" s="103" t="n">
        <v>10.6</v>
      </c>
      <c r="Q1036" s="103" t="n">
        <v>4</v>
      </c>
      <c r="R1036" s="103" t="s">
        <v>132</v>
      </c>
      <c r="S1036" s="103" t="n">
        <v>601</v>
      </c>
      <c r="T1036" s="103" t="n">
        <v>401</v>
      </c>
      <c r="U1036" s="103" t="s">
        <v>1727</v>
      </c>
      <c r="V1036" s="103" t="n">
        <v>2025</v>
      </c>
    </row>
    <row r="1037" customFormat="false" ht="14.25" hidden="false" customHeight="false" outlineLevel="0" collapsed="false">
      <c r="A1037" s="103" t="s">
        <v>1760</v>
      </c>
      <c r="B1037" s="103" t="s">
        <v>675</v>
      </c>
      <c r="C1037" s="104" t="n">
        <v>46003</v>
      </c>
      <c r="D1037" s="103" t="s">
        <v>106</v>
      </c>
      <c r="E1037" s="103" t="n">
        <v>52</v>
      </c>
      <c r="F1037" s="103" t="s">
        <v>172</v>
      </c>
      <c r="G1037" s="103" t="s">
        <v>83</v>
      </c>
      <c r="H1037" s="103" t="n">
        <v>3.4</v>
      </c>
      <c r="I1037" s="103" t="n">
        <v>1334</v>
      </c>
      <c r="J1037" s="103" t="n">
        <v>0</v>
      </c>
      <c r="K1037" s="103" t="n">
        <v>50</v>
      </c>
      <c r="L1037" s="103" t="s">
        <v>93</v>
      </c>
      <c r="M1037" s="103" t="s">
        <v>66</v>
      </c>
      <c r="N1037" s="103" t="s">
        <v>77</v>
      </c>
      <c r="O1037" s="103" t="n">
        <v>31</v>
      </c>
      <c r="P1037" s="103" t="n">
        <v>5</v>
      </c>
      <c r="Q1037" s="103" t="n">
        <v>5</v>
      </c>
      <c r="R1037" s="103" t="s">
        <v>136</v>
      </c>
      <c r="S1037" s="103" t="n">
        <v>1334</v>
      </c>
      <c r="T1037" s="103" t="n">
        <v>1284</v>
      </c>
      <c r="U1037" s="103" t="s">
        <v>1727</v>
      </c>
      <c r="V1037" s="103" t="n">
        <v>2025</v>
      </c>
    </row>
    <row r="1038" customFormat="false" ht="14.25" hidden="false" customHeight="false" outlineLevel="0" collapsed="false">
      <c r="A1038" s="103" t="s">
        <v>1761</v>
      </c>
      <c r="B1038" s="103" t="s">
        <v>676</v>
      </c>
      <c r="C1038" s="104" t="n">
        <v>46003</v>
      </c>
      <c r="D1038" s="103" t="s">
        <v>102</v>
      </c>
      <c r="E1038" s="103" t="n">
        <v>51</v>
      </c>
      <c r="F1038" s="103" t="s">
        <v>170</v>
      </c>
      <c r="G1038" s="103" t="s">
        <v>83</v>
      </c>
      <c r="H1038" s="103" t="n">
        <v>2.7</v>
      </c>
      <c r="I1038" s="103" t="n">
        <v>1708</v>
      </c>
      <c r="J1038" s="103" t="n">
        <v>60</v>
      </c>
      <c r="K1038" s="103" t="n">
        <v>200</v>
      </c>
      <c r="L1038" s="103" t="s">
        <v>94</v>
      </c>
      <c r="M1038" s="103" t="s">
        <v>67</v>
      </c>
      <c r="N1038" s="103" t="s">
        <v>77</v>
      </c>
      <c r="O1038" s="103" t="n">
        <v>54</v>
      </c>
      <c r="P1038" s="103" t="n">
        <v>13.2</v>
      </c>
      <c r="Q1038" s="103" t="n">
        <v>4</v>
      </c>
      <c r="R1038" s="103" t="s">
        <v>134</v>
      </c>
      <c r="S1038" s="103" t="n">
        <v>1768</v>
      </c>
      <c r="T1038" s="103" t="n">
        <v>1568</v>
      </c>
      <c r="U1038" s="103" t="s">
        <v>1727</v>
      </c>
      <c r="V1038" s="103" t="n">
        <v>2025</v>
      </c>
    </row>
    <row r="1039" customFormat="false" ht="14.25" hidden="false" customHeight="false" outlineLevel="0" collapsed="false">
      <c r="A1039" s="103" t="s">
        <v>1762</v>
      </c>
      <c r="B1039" s="103" t="s">
        <v>677</v>
      </c>
      <c r="C1039" s="104" t="n">
        <v>46003</v>
      </c>
      <c r="D1039" s="103" t="s">
        <v>106</v>
      </c>
      <c r="E1039" s="103" t="n">
        <v>50</v>
      </c>
      <c r="F1039" s="103" t="s">
        <v>171</v>
      </c>
      <c r="G1039" s="103" t="s">
        <v>86</v>
      </c>
      <c r="H1039" s="103" t="n">
        <v>3</v>
      </c>
      <c r="I1039" s="103" t="n">
        <v>1661</v>
      </c>
      <c r="J1039" s="103" t="n">
        <v>50</v>
      </c>
      <c r="K1039" s="103" t="n">
        <v>75</v>
      </c>
      <c r="L1039" s="103" t="s">
        <v>93</v>
      </c>
      <c r="M1039" s="103" t="s">
        <v>67</v>
      </c>
      <c r="N1039" s="103" t="s">
        <v>77</v>
      </c>
      <c r="O1039" s="103" t="n">
        <v>16</v>
      </c>
      <c r="P1039" s="103" t="n">
        <v>11.8</v>
      </c>
      <c r="Q1039" s="103" t="n">
        <v>3</v>
      </c>
      <c r="R1039" s="103" t="s">
        <v>134</v>
      </c>
      <c r="S1039" s="103" t="n">
        <v>1711</v>
      </c>
      <c r="T1039" s="103" t="n">
        <v>1636</v>
      </c>
      <c r="U1039" s="103" t="s">
        <v>1727</v>
      </c>
      <c r="V1039" s="103" t="n">
        <v>2025</v>
      </c>
    </row>
    <row r="1040" customFormat="false" ht="14.25" hidden="false" customHeight="false" outlineLevel="0" collapsed="false">
      <c r="A1040" s="103" t="s">
        <v>1763</v>
      </c>
      <c r="B1040" s="103" t="s">
        <v>678</v>
      </c>
      <c r="C1040" s="104" t="n">
        <v>46004</v>
      </c>
      <c r="D1040" s="103" t="s">
        <v>100</v>
      </c>
      <c r="E1040" s="103" t="n">
        <v>38</v>
      </c>
      <c r="F1040" s="103" t="s">
        <v>170</v>
      </c>
      <c r="G1040" s="103" t="s">
        <v>88</v>
      </c>
      <c r="H1040" s="103" t="n">
        <v>3.9</v>
      </c>
      <c r="I1040" s="103" t="n">
        <v>1100</v>
      </c>
      <c r="J1040" s="103" t="n">
        <v>40</v>
      </c>
      <c r="K1040" s="103" t="n">
        <v>50</v>
      </c>
      <c r="L1040" s="103" t="s">
        <v>97</v>
      </c>
      <c r="M1040" s="103" t="s">
        <v>66</v>
      </c>
      <c r="N1040" s="103" t="s">
        <v>77</v>
      </c>
      <c r="O1040" s="103" t="n">
        <v>63</v>
      </c>
      <c r="P1040" s="103" t="n">
        <v>0.7</v>
      </c>
      <c r="Q1040" s="103" t="n">
        <v>1</v>
      </c>
      <c r="R1040" s="103" t="s">
        <v>132</v>
      </c>
      <c r="S1040" s="103" t="n">
        <v>1140</v>
      </c>
      <c r="T1040" s="103" t="n">
        <v>1090</v>
      </c>
      <c r="U1040" s="103" t="s">
        <v>1727</v>
      </c>
      <c r="V1040" s="103" t="n">
        <v>2025</v>
      </c>
    </row>
    <row r="1041" customFormat="false" ht="14.25" hidden="false" customHeight="false" outlineLevel="0" collapsed="false">
      <c r="A1041" s="103" t="s">
        <v>1764</v>
      </c>
      <c r="B1041" s="103" t="s">
        <v>679</v>
      </c>
      <c r="C1041" s="104" t="n">
        <v>46004</v>
      </c>
      <c r="D1041" s="103" t="s">
        <v>106</v>
      </c>
      <c r="E1041" s="103" t="n">
        <v>34</v>
      </c>
      <c r="F1041" s="103" t="s">
        <v>170</v>
      </c>
      <c r="G1041" s="103" t="s">
        <v>90</v>
      </c>
      <c r="H1041" s="103" t="n">
        <v>3</v>
      </c>
      <c r="I1041" s="103" t="n">
        <v>897</v>
      </c>
      <c r="J1041" s="103" t="n">
        <v>0</v>
      </c>
      <c r="K1041" s="103" t="n">
        <v>20</v>
      </c>
      <c r="L1041" s="103" t="s">
        <v>93</v>
      </c>
      <c r="M1041" s="103" t="s">
        <v>66</v>
      </c>
      <c r="N1041" s="103" t="s">
        <v>77</v>
      </c>
      <c r="O1041" s="103" t="n">
        <v>64</v>
      </c>
      <c r="P1041" s="103" t="n">
        <v>12.3</v>
      </c>
      <c r="Q1041" s="103" t="n">
        <v>5</v>
      </c>
      <c r="R1041" s="103" t="s">
        <v>131</v>
      </c>
      <c r="S1041" s="103" t="n">
        <v>897</v>
      </c>
      <c r="T1041" s="103" t="n">
        <v>877</v>
      </c>
      <c r="U1041" s="103" t="s">
        <v>1727</v>
      </c>
      <c r="V1041" s="103" t="n">
        <v>2025</v>
      </c>
    </row>
    <row r="1042" customFormat="false" ht="14.25" hidden="false" customHeight="false" outlineLevel="0" collapsed="false">
      <c r="A1042" s="103" t="s">
        <v>1765</v>
      </c>
      <c r="B1042" s="103" t="s">
        <v>680</v>
      </c>
      <c r="C1042" s="104" t="n">
        <v>46004</v>
      </c>
      <c r="D1042" s="103" t="s">
        <v>100</v>
      </c>
      <c r="E1042" s="103" t="n">
        <v>39</v>
      </c>
      <c r="F1042" s="103" t="s">
        <v>170</v>
      </c>
      <c r="G1042" s="103" t="s">
        <v>85</v>
      </c>
      <c r="H1042" s="103" t="n">
        <v>3.9</v>
      </c>
      <c r="I1042" s="103" t="n">
        <v>1495</v>
      </c>
      <c r="J1042" s="103" t="n">
        <v>0</v>
      </c>
      <c r="K1042" s="103" t="n">
        <v>150</v>
      </c>
      <c r="L1042" s="103" t="s">
        <v>93</v>
      </c>
      <c r="M1042" s="103" t="s">
        <v>65</v>
      </c>
      <c r="N1042" s="103" t="s">
        <v>77</v>
      </c>
      <c r="O1042" s="103" t="n">
        <v>45</v>
      </c>
      <c r="P1042" s="103" t="n">
        <v>4.9</v>
      </c>
      <c r="Q1042" s="103" t="n">
        <v>5</v>
      </c>
      <c r="R1042" s="103" t="s">
        <v>136</v>
      </c>
      <c r="S1042" s="103" t="n">
        <v>1495</v>
      </c>
      <c r="T1042" s="103" t="n">
        <v>1345</v>
      </c>
      <c r="U1042" s="103" t="s">
        <v>1727</v>
      </c>
      <c r="V1042" s="103" t="n">
        <v>2025</v>
      </c>
    </row>
    <row r="1043" customFormat="false" ht="14.25" hidden="false" customHeight="false" outlineLevel="0" collapsed="false">
      <c r="A1043" s="103" t="s">
        <v>1766</v>
      </c>
      <c r="B1043" s="103" t="s">
        <v>681</v>
      </c>
      <c r="C1043" s="104" t="n">
        <v>46005</v>
      </c>
      <c r="D1043" s="103" t="s">
        <v>101</v>
      </c>
      <c r="E1043" s="103" t="n">
        <v>54</v>
      </c>
      <c r="F1043" s="103" t="s">
        <v>171</v>
      </c>
      <c r="G1043" s="103" t="s">
        <v>84</v>
      </c>
      <c r="H1043" s="103" t="n">
        <v>3.1</v>
      </c>
      <c r="I1043" s="103" t="n">
        <v>1268</v>
      </c>
      <c r="J1043" s="103" t="n">
        <v>60</v>
      </c>
      <c r="K1043" s="103" t="n">
        <v>30</v>
      </c>
      <c r="L1043" s="103" t="s">
        <v>94</v>
      </c>
      <c r="M1043" s="103" t="s">
        <v>65</v>
      </c>
      <c r="N1043" s="103" t="s">
        <v>77</v>
      </c>
      <c r="O1043" s="103" t="n">
        <v>51</v>
      </c>
      <c r="P1043" s="103" t="n">
        <v>2.7</v>
      </c>
      <c r="Q1043" s="103" t="n">
        <v>5</v>
      </c>
      <c r="R1043" s="103" t="s">
        <v>135</v>
      </c>
      <c r="S1043" s="103" t="n">
        <v>1328</v>
      </c>
      <c r="T1043" s="103" t="n">
        <v>1298</v>
      </c>
      <c r="U1043" s="103" t="s">
        <v>1727</v>
      </c>
      <c r="V1043" s="103" t="n">
        <v>2025</v>
      </c>
    </row>
    <row r="1044" customFormat="false" ht="14.25" hidden="false" customHeight="false" outlineLevel="0" collapsed="false">
      <c r="A1044" s="103" t="s">
        <v>1767</v>
      </c>
      <c r="B1044" s="103" t="s">
        <v>682</v>
      </c>
      <c r="C1044" s="104" t="n">
        <v>46005</v>
      </c>
      <c r="D1044" s="103" t="s">
        <v>100</v>
      </c>
      <c r="E1044" s="103" t="n">
        <v>32</v>
      </c>
      <c r="F1044" s="103" t="s">
        <v>171</v>
      </c>
      <c r="G1044" s="103" t="s">
        <v>83</v>
      </c>
      <c r="H1044" s="103" t="n">
        <v>4.6</v>
      </c>
      <c r="I1044" s="103" t="n">
        <v>428</v>
      </c>
      <c r="J1044" s="103" t="n">
        <v>60</v>
      </c>
      <c r="K1044" s="103" t="n">
        <v>20</v>
      </c>
      <c r="L1044" s="103" t="s">
        <v>93</v>
      </c>
      <c r="M1044" s="103" t="s">
        <v>65</v>
      </c>
      <c r="N1044" s="103" t="s">
        <v>77</v>
      </c>
      <c r="O1044" s="103" t="n">
        <v>55</v>
      </c>
      <c r="P1044" s="103" t="n">
        <v>3.8</v>
      </c>
      <c r="Q1044" s="103" t="n">
        <v>4</v>
      </c>
      <c r="R1044" s="103" t="s">
        <v>133</v>
      </c>
      <c r="S1044" s="103" t="n">
        <v>488</v>
      </c>
      <c r="T1044" s="103" t="n">
        <v>468</v>
      </c>
      <c r="U1044" s="103" t="s">
        <v>1727</v>
      </c>
      <c r="V1044" s="103" t="n">
        <v>2025</v>
      </c>
    </row>
    <row r="1045" customFormat="false" ht="14.25" hidden="false" customHeight="false" outlineLevel="0" collapsed="false">
      <c r="A1045" s="103" t="s">
        <v>1768</v>
      </c>
      <c r="B1045" s="103" t="s">
        <v>683</v>
      </c>
      <c r="C1045" s="104" t="n">
        <v>46005</v>
      </c>
      <c r="D1045" s="103" t="s">
        <v>104</v>
      </c>
      <c r="E1045" s="103" t="n">
        <v>52</v>
      </c>
      <c r="F1045" s="103" t="s">
        <v>171</v>
      </c>
      <c r="G1045" s="103" t="s">
        <v>81</v>
      </c>
      <c r="H1045" s="103" t="n">
        <v>3.5</v>
      </c>
      <c r="I1045" s="103" t="n">
        <v>1499</v>
      </c>
      <c r="J1045" s="103" t="n">
        <v>50</v>
      </c>
      <c r="K1045" s="103" t="n">
        <v>75</v>
      </c>
      <c r="L1045" s="103" t="s">
        <v>94</v>
      </c>
      <c r="M1045" s="103" t="s">
        <v>65</v>
      </c>
      <c r="N1045" s="103" t="s">
        <v>77</v>
      </c>
      <c r="O1045" s="103" t="n">
        <v>55</v>
      </c>
      <c r="P1045" s="103" t="n">
        <v>7.3</v>
      </c>
      <c r="Q1045" s="103" t="n">
        <v>4</v>
      </c>
      <c r="R1045" s="103" t="s">
        <v>136</v>
      </c>
      <c r="S1045" s="103" t="n">
        <v>1549</v>
      </c>
      <c r="T1045" s="103" t="n">
        <v>1474</v>
      </c>
      <c r="U1045" s="103" t="s">
        <v>1727</v>
      </c>
      <c r="V1045" s="103" t="n">
        <v>2025</v>
      </c>
    </row>
    <row r="1046" customFormat="false" ht="14.25" hidden="false" customHeight="false" outlineLevel="0" collapsed="false">
      <c r="A1046" s="103" t="s">
        <v>1769</v>
      </c>
      <c r="B1046" s="103" t="s">
        <v>684</v>
      </c>
      <c r="C1046" s="104" t="n">
        <v>46006</v>
      </c>
      <c r="D1046" s="103" t="s">
        <v>107</v>
      </c>
      <c r="E1046" s="103" t="n">
        <v>45</v>
      </c>
      <c r="F1046" s="103" t="s">
        <v>171</v>
      </c>
      <c r="G1046" s="103" t="s">
        <v>84</v>
      </c>
      <c r="H1046" s="103" t="n">
        <v>3.1</v>
      </c>
      <c r="I1046" s="103" t="n">
        <v>841</v>
      </c>
      <c r="J1046" s="103" t="n">
        <v>60</v>
      </c>
      <c r="K1046" s="103" t="n">
        <v>150</v>
      </c>
      <c r="L1046" s="103" t="s">
        <v>93</v>
      </c>
      <c r="M1046" s="103" t="s">
        <v>65</v>
      </c>
      <c r="N1046" s="103" t="s">
        <v>77</v>
      </c>
      <c r="O1046" s="103" t="n">
        <v>48</v>
      </c>
      <c r="P1046" s="103" t="n">
        <v>6.7</v>
      </c>
      <c r="Q1046" s="103" t="n">
        <v>3</v>
      </c>
      <c r="R1046" s="103" t="s">
        <v>135</v>
      </c>
      <c r="S1046" s="103" t="n">
        <v>901</v>
      </c>
      <c r="T1046" s="103" t="n">
        <v>751</v>
      </c>
      <c r="U1046" s="103" t="s">
        <v>1727</v>
      </c>
      <c r="V1046" s="103" t="n">
        <v>2025</v>
      </c>
    </row>
    <row r="1047" customFormat="false" ht="14.25" hidden="false" customHeight="false" outlineLevel="0" collapsed="false">
      <c r="A1047" s="103" t="s">
        <v>1770</v>
      </c>
      <c r="B1047" s="103" t="s">
        <v>685</v>
      </c>
      <c r="C1047" s="104" t="n">
        <v>46006</v>
      </c>
      <c r="D1047" s="103" t="s">
        <v>103</v>
      </c>
      <c r="E1047" s="103" t="n">
        <v>24</v>
      </c>
      <c r="F1047" s="103" t="s">
        <v>171</v>
      </c>
      <c r="G1047" s="103" t="s">
        <v>88</v>
      </c>
      <c r="H1047" s="103" t="n">
        <v>4.5</v>
      </c>
      <c r="I1047" s="103" t="n">
        <v>437</v>
      </c>
      <c r="J1047" s="103" t="n">
        <v>30</v>
      </c>
      <c r="K1047" s="103" t="n">
        <v>200</v>
      </c>
      <c r="L1047" s="103" t="s">
        <v>93</v>
      </c>
      <c r="M1047" s="103" t="s">
        <v>65</v>
      </c>
      <c r="N1047" s="103" t="s">
        <v>77</v>
      </c>
      <c r="O1047" s="103" t="n">
        <v>48</v>
      </c>
      <c r="P1047" s="103" t="n">
        <v>4.7</v>
      </c>
      <c r="Q1047" s="103" t="n">
        <v>2</v>
      </c>
      <c r="R1047" s="103" t="s">
        <v>139</v>
      </c>
      <c r="S1047" s="103" t="n">
        <v>467</v>
      </c>
      <c r="T1047" s="103" t="n">
        <v>267</v>
      </c>
      <c r="U1047" s="103" t="s">
        <v>1727</v>
      </c>
      <c r="V1047" s="103" t="n">
        <v>2025</v>
      </c>
    </row>
    <row r="1048" customFormat="false" ht="14.25" hidden="false" customHeight="false" outlineLevel="0" collapsed="false">
      <c r="A1048" s="103" t="s">
        <v>1771</v>
      </c>
      <c r="B1048" s="103" t="s">
        <v>686</v>
      </c>
      <c r="C1048" s="104" t="n">
        <v>46006</v>
      </c>
      <c r="D1048" s="103" t="s">
        <v>111</v>
      </c>
      <c r="E1048" s="103" t="n">
        <v>49</v>
      </c>
      <c r="F1048" s="103" t="s">
        <v>171</v>
      </c>
      <c r="G1048" s="103" t="s">
        <v>84</v>
      </c>
      <c r="H1048" s="103" t="n">
        <v>3.4</v>
      </c>
      <c r="I1048" s="103" t="n">
        <v>593</v>
      </c>
      <c r="J1048" s="103" t="n">
        <v>20</v>
      </c>
      <c r="K1048" s="103" t="n">
        <v>75</v>
      </c>
      <c r="L1048" s="103" t="s">
        <v>93</v>
      </c>
      <c r="M1048" s="103" t="s">
        <v>65</v>
      </c>
      <c r="N1048" s="103" t="s">
        <v>77</v>
      </c>
      <c r="O1048" s="103" t="n">
        <v>65</v>
      </c>
      <c r="P1048" s="103" t="n">
        <v>3</v>
      </c>
      <c r="Q1048" s="103" t="n">
        <v>5</v>
      </c>
      <c r="R1048" s="103" t="s">
        <v>133</v>
      </c>
      <c r="S1048" s="103" t="n">
        <v>613</v>
      </c>
      <c r="T1048" s="103" t="n">
        <v>538</v>
      </c>
      <c r="U1048" s="103" t="s">
        <v>1727</v>
      </c>
      <c r="V1048" s="103" t="n">
        <v>2025</v>
      </c>
    </row>
    <row r="1049" customFormat="false" ht="14.25" hidden="false" customHeight="false" outlineLevel="0" collapsed="false">
      <c r="A1049" s="103" t="s">
        <v>1772</v>
      </c>
      <c r="B1049" s="103" t="s">
        <v>687</v>
      </c>
      <c r="C1049" s="104" t="n">
        <v>46007</v>
      </c>
      <c r="D1049" s="103" t="s">
        <v>106</v>
      </c>
      <c r="E1049" s="103" t="n">
        <v>28</v>
      </c>
      <c r="F1049" s="103" t="s">
        <v>170</v>
      </c>
      <c r="G1049" s="103" t="s">
        <v>87</v>
      </c>
      <c r="H1049" s="103" t="n">
        <v>2.8</v>
      </c>
      <c r="I1049" s="103" t="n">
        <v>569</v>
      </c>
      <c r="J1049" s="103" t="n">
        <v>0</v>
      </c>
      <c r="K1049" s="103" t="n">
        <v>50</v>
      </c>
      <c r="L1049" s="103" t="s">
        <v>94</v>
      </c>
      <c r="M1049" s="103" t="s">
        <v>67</v>
      </c>
      <c r="N1049" s="103" t="s">
        <v>77</v>
      </c>
      <c r="O1049" s="103" t="n">
        <v>69</v>
      </c>
      <c r="P1049" s="103" t="n">
        <v>11.6</v>
      </c>
      <c r="Q1049" s="103" t="n">
        <v>3</v>
      </c>
      <c r="R1049" s="103" t="s">
        <v>141</v>
      </c>
      <c r="S1049" s="103" t="n">
        <v>569</v>
      </c>
      <c r="T1049" s="103" t="n">
        <v>519</v>
      </c>
      <c r="U1049" s="103" t="s">
        <v>1727</v>
      </c>
      <c r="V1049" s="103" t="n">
        <v>2025</v>
      </c>
    </row>
    <row r="1050" customFormat="false" ht="14.25" hidden="false" customHeight="false" outlineLevel="0" collapsed="false">
      <c r="A1050" s="103" t="s">
        <v>1773</v>
      </c>
      <c r="B1050" s="103" t="s">
        <v>688</v>
      </c>
      <c r="C1050" s="104" t="n">
        <v>46007</v>
      </c>
      <c r="D1050" s="103" t="s">
        <v>111</v>
      </c>
      <c r="E1050" s="103" t="n">
        <v>27</v>
      </c>
      <c r="F1050" s="103" t="s">
        <v>170</v>
      </c>
      <c r="G1050" s="103" t="s">
        <v>83</v>
      </c>
      <c r="H1050" s="103" t="n">
        <v>3.9</v>
      </c>
      <c r="I1050" s="103" t="n">
        <v>992</v>
      </c>
      <c r="J1050" s="103" t="n">
        <v>30</v>
      </c>
      <c r="K1050" s="103" t="n">
        <v>10</v>
      </c>
      <c r="L1050" s="103" t="s">
        <v>93</v>
      </c>
      <c r="M1050" s="103" t="s">
        <v>65</v>
      </c>
      <c r="N1050" s="103" t="s">
        <v>78</v>
      </c>
      <c r="O1050" s="103" t="n">
        <v>17</v>
      </c>
      <c r="P1050" s="103" t="n">
        <v>14.9</v>
      </c>
      <c r="Q1050" s="103" t="n">
        <v>5</v>
      </c>
      <c r="R1050" s="103" t="s">
        <v>140</v>
      </c>
      <c r="S1050" s="103" t="n">
        <v>1022</v>
      </c>
      <c r="T1050" s="103" t="n">
        <v>1012</v>
      </c>
      <c r="U1050" s="103" t="s">
        <v>1727</v>
      </c>
      <c r="V1050" s="103" t="n">
        <v>2025</v>
      </c>
    </row>
    <row r="1051" customFormat="false" ht="14.25" hidden="false" customHeight="false" outlineLevel="0" collapsed="false">
      <c r="A1051" s="103" t="s">
        <v>1774</v>
      </c>
      <c r="B1051" s="103" t="s">
        <v>689</v>
      </c>
      <c r="C1051" s="104" t="n">
        <v>46007</v>
      </c>
      <c r="D1051" s="103" t="s">
        <v>102</v>
      </c>
      <c r="E1051" s="103" t="n">
        <v>26</v>
      </c>
      <c r="F1051" s="103" t="s">
        <v>171</v>
      </c>
      <c r="G1051" s="103" t="s">
        <v>84</v>
      </c>
      <c r="H1051" s="103" t="n">
        <v>4</v>
      </c>
      <c r="I1051" s="103" t="n">
        <v>514</v>
      </c>
      <c r="J1051" s="103" t="n">
        <v>40</v>
      </c>
      <c r="K1051" s="103" t="n">
        <v>10</v>
      </c>
      <c r="L1051" s="103" t="s">
        <v>95</v>
      </c>
      <c r="M1051" s="103" t="s">
        <v>65</v>
      </c>
      <c r="N1051" s="103" t="s">
        <v>77</v>
      </c>
      <c r="O1051" s="103" t="n">
        <v>31</v>
      </c>
      <c r="P1051" s="103" t="n">
        <v>11.8</v>
      </c>
      <c r="Q1051" s="103" t="n">
        <v>5</v>
      </c>
      <c r="R1051" s="103" t="s">
        <v>141</v>
      </c>
      <c r="S1051" s="103" t="n">
        <v>554</v>
      </c>
      <c r="T1051" s="103" t="n">
        <v>544</v>
      </c>
      <c r="U1051" s="103" t="s">
        <v>1727</v>
      </c>
      <c r="V1051" s="103" t="n">
        <v>2025</v>
      </c>
    </row>
    <row r="1052" customFormat="false" ht="14.25" hidden="false" customHeight="false" outlineLevel="0" collapsed="false">
      <c r="A1052" s="103" t="s">
        <v>1775</v>
      </c>
      <c r="B1052" s="103" t="s">
        <v>340</v>
      </c>
      <c r="C1052" s="104" t="n">
        <v>46008</v>
      </c>
      <c r="D1052" s="103" t="s">
        <v>100</v>
      </c>
      <c r="E1052" s="103" t="n">
        <v>31</v>
      </c>
      <c r="F1052" s="103" t="s">
        <v>171</v>
      </c>
      <c r="G1052" s="103" t="s">
        <v>85</v>
      </c>
      <c r="H1052" s="103" t="n">
        <v>4.3</v>
      </c>
      <c r="I1052" s="103" t="n">
        <v>328</v>
      </c>
      <c r="J1052" s="103" t="n">
        <v>30</v>
      </c>
      <c r="K1052" s="103" t="n">
        <v>200</v>
      </c>
      <c r="L1052" s="103" t="s">
        <v>95</v>
      </c>
      <c r="M1052" s="103" t="s">
        <v>66</v>
      </c>
      <c r="N1052" s="103" t="s">
        <v>77</v>
      </c>
      <c r="O1052" s="103" t="n">
        <v>28</v>
      </c>
      <c r="P1052" s="103" t="n">
        <v>4.8</v>
      </c>
      <c r="Q1052" s="103" t="n">
        <v>4</v>
      </c>
      <c r="R1052" s="103" t="s">
        <v>140</v>
      </c>
      <c r="S1052" s="103" t="n">
        <v>358</v>
      </c>
      <c r="T1052" s="103" t="n">
        <v>158</v>
      </c>
      <c r="U1052" s="103" t="s">
        <v>1727</v>
      </c>
      <c r="V1052" s="103" t="n">
        <v>2025</v>
      </c>
    </row>
    <row r="1053" customFormat="false" ht="14.25" hidden="false" customHeight="false" outlineLevel="0" collapsed="false">
      <c r="A1053" s="103" t="s">
        <v>1776</v>
      </c>
      <c r="B1053" s="103" t="s">
        <v>341</v>
      </c>
      <c r="C1053" s="104" t="n">
        <v>46008</v>
      </c>
      <c r="D1053" s="103" t="s">
        <v>107</v>
      </c>
      <c r="E1053" s="103" t="n">
        <v>30</v>
      </c>
      <c r="F1053" s="103" t="s">
        <v>170</v>
      </c>
      <c r="G1053" s="103" t="s">
        <v>85</v>
      </c>
      <c r="H1053" s="103" t="n">
        <v>3.1</v>
      </c>
      <c r="I1053" s="103" t="n">
        <v>328</v>
      </c>
      <c r="J1053" s="103" t="n">
        <v>50</v>
      </c>
      <c r="K1053" s="103" t="n">
        <v>10</v>
      </c>
      <c r="L1053" s="103" t="s">
        <v>94</v>
      </c>
      <c r="M1053" s="103" t="s">
        <v>65</v>
      </c>
      <c r="N1053" s="103" t="s">
        <v>78</v>
      </c>
      <c r="O1053" s="103" t="n">
        <v>28</v>
      </c>
      <c r="P1053" s="103" t="n">
        <v>4</v>
      </c>
      <c r="Q1053" s="103" t="n">
        <v>5</v>
      </c>
      <c r="R1053" s="103" t="s">
        <v>141</v>
      </c>
      <c r="S1053" s="103" t="n">
        <v>378</v>
      </c>
      <c r="T1053" s="103" t="n">
        <v>368</v>
      </c>
      <c r="U1053" s="103" t="s">
        <v>1727</v>
      </c>
      <c r="V1053" s="103" t="n">
        <v>2025</v>
      </c>
    </row>
    <row r="1054" customFormat="false" ht="14.25" hidden="false" customHeight="false" outlineLevel="0" collapsed="false">
      <c r="A1054" s="103" t="s">
        <v>1777</v>
      </c>
      <c r="B1054" s="103" t="s">
        <v>342</v>
      </c>
      <c r="C1054" s="104" t="n">
        <v>46008</v>
      </c>
      <c r="D1054" s="103" t="s">
        <v>110</v>
      </c>
      <c r="E1054" s="103" t="n">
        <v>42</v>
      </c>
      <c r="F1054" s="103" t="s">
        <v>170</v>
      </c>
      <c r="G1054" s="103" t="s">
        <v>83</v>
      </c>
      <c r="H1054" s="103" t="n">
        <v>3.6</v>
      </c>
      <c r="I1054" s="103" t="n">
        <v>1100</v>
      </c>
      <c r="J1054" s="103" t="n">
        <v>40</v>
      </c>
      <c r="K1054" s="103" t="n">
        <v>10</v>
      </c>
      <c r="L1054" s="103" t="s">
        <v>94</v>
      </c>
      <c r="M1054" s="103" t="s">
        <v>67</v>
      </c>
      <c r="N1054" s="103" t="s">
        <v>78</v>
      </c>
      <c r="O1054" s="103" t="n">
        <v>60</v>
      </c>
      <c r="P1054" s="103" t="n">
        <v>3.7</v>
      </c>
      <c r="Q1054" s="103" t="n">
        <v>4</v>
      </c>
      <c r="R1054" s="103" t="s">
        <v>142</v>
      </c>
      <c r="S1054" s="103" t="n">
        <v>1140</v>
      </c>
      <c r="T1054" s="103" t="n">
        <v>1130</v>
      </c>
      <c r="U1054" s="103" t="s">
        <v>1727</v>
      </c>
      <c r="V1054" s="103" t="n">
        <v>2025</v>
      </c>
    </row>
    <row r="1055" customFormat="false" ht="14.25" hidden="false" customHeight="false" outlineLevel="0" collapsed="false">
      <c r="A1055" s="103" t="s">
        <v>1778</v>
      </c>
      <c r="B1055" s="103" t="s">
        <v>343</v>
      </c>
      <c r="C1055" s="104" t="n">
        <v>46009</v>
      </c>
      <c r="D1055" s="103" t="s">
        <v>105</v>
      </c>
      <c r="E1055" s="103" t="n">
        <v>19</v>
      </c>
      <c r="F1055" s="103" t="s">
        <v>170</v>
      </c>
      <c r="G1055" s="103" t="s">
        <v>89</v>
      </c>
      <c r="H1055" s="103" t="n">
        <v>3.2</v>
      </c>
      <c r="I1055" s="103" t="n">
        <v>1354</v>
      </c>
      <c r="J1055" s="103" t="n">
        <v>40</v>
      </c>
      <c r="K1055" s="103" t="n">
        <v>20</v>
      </c>
      <c r="L1055" s="103" t="s">
        <v>94</v>
      </c>
      <c r="M1055" s="103" t="s">
        <v>65</v>
      </c>
      <c r="N1055" s="103" t="s">
        <v>78</v>
      </c>
      <c r="O1055" s="103" t="n">
        <v>52</v>
      </c>
      <c r="P1055" s="103" t="n">
        <v>2.5</v>
      </c>
      <c r="Q1055" s="103" t="n">
        <v>4</v>
      </c>
      <c r="R1055" s="103" t="s">
        <v>136</v>
      </c>
      <c r="S1055" s="103" t="n">
        <v>1394</v>
      </c>
      <c r="T1055" s="103" t="n">
        <v>1374</v>
      </c>
      <c r="U1055" s="103" t="s">
        <v>1727</v>
      </c>
      <c r="V1055" s="103" t="n">
        <v>2025</v>
      </c>
    </row>
    <row r="1056" customFormat="false" ht="14.25" hidden="false" customHeight="false" outlineLevel="0" collapsed="false">
      <c r="A1056" s="103" t="s">
        <v>1779</v>
      </c>
      <c r="B1056" s="103" t="s">
        <v>344</v>
      </c>
      <c r="C1056" s="104" t="n">
        <v>46009</v>
      </c>
      <c r="D1056" s="103" t="s">
        <v>104</v>
      </c>
      <c r="E1056" s="103" t="n">
        <v>52</v>
      </c>
      <c r="F1056" s="103" t="s">
        <v>172</v>
      </c>
      <c r="G1056" s="103" t="s">
        <v>85</v>
      </c>
      <c r="H1056" s="103" t="n">
        <v>2.7</v>
      </c>
      <c r="I1056" s="103" t="n">
        <v>660</v>
      </c>
      <c r="J1056" s="103" t="n">
        <v>60</v>
      </c>
      <c r="K1056" s="103" t="n">
        <v>20</v>
      </c>
      <c r="L1056" s="103" t="s">
        <v>97</v>
      </c>
      <c r="M1056" s="103" t="s">
        <v>65</v>
      </c>
      <c r="N1056" s="103" t="s">
        <v>77</v>
      </c>
      <c r="O1056" s="103" t="n">
        <v>49</v>
      </c>
      <c r="P1056" s="103" t="n">
        <v>8.5</v>
      </c>
      <c r="Q1056" s="103" t="n">
        <v>5</v>
      </c>
      <c r="R1056" s="103" t="s">
        <v>135</v>
      </c>
      <c r="S1056" s="103" t="n">
        <v>720</v>
      </c>
      <c r="T1056" s="103" t="n">
        <v>700</v>
      </c>
      <c r="U1056" s="103" t="s">
        <v>1727</v>
      </c>
      <c r="V1056" s="103" t="n">
        <v>2025</v>
      </c>
    </row>
    <row r="1057" customFormat="false" ht="14.25" hidden="false" customHeight="false" outlineLevel="0" collapsed="false">
      <c r="A1057" s="103" t="s">
        <v>1780</v>
      </c>
      <c r="B1057" s="103" t="s">
        <v>345</v>
      </c>
      <c r="C1057" s="104" t="n">
        <v>46009</v>
      </c>
      <c r="D1057" s="103" t="s">
        <v>103</v>
      </c>
      <c r="E1057" s="103" t="n">
        <v>24</v>
      </c>
      <c r="F1057" s="103" t="s">
        <v>170</v>
      </c>
      <c r="G1057" s="103" t="s">
        <v>84</v>
      </c>
      <c r="H1057" s="103" t="n">
        <v>4.7</v>
      </c>
      <c r="I1057" s="103" t="n">
        <v>178</v>
      </c>
      <c r="J1057" s="103" t="n">
        <v>30</v>
      </c>
      <c r="K1057" s="103" t="n">
        <v>30</v>
      </c>
      <c r="L1057" s="103" t="s">
        <v>93</v>
      </c>
      <c r="M1057" s="103" t="s">
        <v>65</v>
      </c>
      <c r="N1057" s="103" t="s">
        <v>77</v>
      </c>
      <c r="O1057" s="103" t="n">
        <v>15</v>
      </c>
      <c r="P1057" s="103" t="n">
        <v>9.3</v>
      </c>
      <c r="Q1057" s="103" t="n">
        <v>5</v>
      </c>
      <c r="R1057" s="103" t="s">
        <v>131</v>
      </c>
      <c r="S1057" s="103" t="n">
        <v>208</v>
      </c>
      <c r="T1057" s="103" t="n">
        <v>178</v>
      </c>
      <c r="U1057" s="103" t="s">
        <v>1727</v>
      </c>
      <c r="V1057" s="103" t="n">
        <v>2025</v>
      </c>
    </row>
    <row r="1058" customFormat="false" ht="14.25" hidden="false" customHeight="false" outlineLevel="0" collapsed="false">
      <c r="A1058" s="103" t="s">
        <v>1781</v>
      </c>
      <c r="B1058" s="103" t="s">
        <v>346</v>
      </c>
      <c r="C1058" s="104" t="n">
        <v>46010</v>
      </c>
      <c r="D1058" s="103" t="s">
        <v>108</v>
      </c>
      <c r="E1058" s="103" t="n">
        <v>38</v>
      </c>
      <c r="F1058" s="103" t="s">
        <v>170</v>
      </c>
      <c r="G1058" s="103" t="s">
        <v>82</v>
      </c>
      <c r="H1058" s="103" t="n">
        <v>4.3</v>
      </c>
      <c r="I1058" s="103" t="n">
        <v>334</v>
      </c>
      <c r="J1058" s="103" t="n">
        <v>50</v>
      </c>
      <c r="K1058" s="103" t="n">
        <v>100</v>
      </c>
      <c r="L1058" s="103" t="s">
        <v>93</v>
      </c>
      <c r="M1058" s="103" t="s">
        <v>67</v>
      </c>
      <c r="N1058" s="103" t="s">
        <v>78</v>
      </c>
      <c r="O1058" s="103" t="n">
        <v>62</v>
      </c>
      <c r="P1058" s="103" t="n">
        <v>10.7</v>
      </c>
      <c r="Q1058" s="103" t="n">
        <v>3</v>
      </c>
      <c r="R1058" s="103" t="s">
        <v>132</v>
      </c>
      <c r="S1058" s="103" t="n">
        <v>384</v>
      </c>
      <c r="T1058" s="103" t="n">
        <v>284</v>
      </c>
      <c r="U1058" s="103" t="s">
        <v>1727</v>
      </c>
      <c r="V1058" s="103" t="n">
        <v>2025</v>
      </c>
    </row>
    <row r="1059" customFormat="false" ht="14.25" hidden="false" customHeight="false" outlineLevel="0" collapsed="false">
      <c r="A1059" s="103" t="s">
        <v>1782</v>
      </c>
      <c r="B1059" s="103" t="s">
        <v>347</v>
      </c>
      <c r="C1059" s="104" t="n">
        <v>46010</v>
      </c>
      <c r="D1059" s="103" t="s">
        <v>104</v>
      </c>
      <c r="E1059" s="103" t="n">
        <v>35</v>
      </c>
      <c r="F1059" s="103" t="s">
        <v>171</v>
      </c>
      <c r="G1059" s="103" t="s">
        <v>85</v>
      </c>
      <c r="H1059" s="103" t="n">
        <v>3.3</v>
      </c>
      <c r="I1059" s="103" t="n">
        <v>1657</v>
      </c>
      <c r="J1059" s="103" t="n">
        <v>0</v>
      </c>
      <c r="K1059" s="103" t="n">
        <v>200</v>
      </c>
      <c r="L1059" s="103" t="s">
        <v>93</v>
      </c>
      <c r="M1059" s="103" t="s">
        <v>65</v>
      </c>
      <c r="N1059" s="103" t="s">
        <v>77</v>
      </c>
      <c r="O1059" s="103" t="n">
        <v>43</v>
      </c>
      <c r="P1059" s="103" t="n">
        <v>10.4</v>
      </c>
      <c r="Q1059" s="103" t="n">
        <v>1</v>
      </c>
      <c r="R1059" s="103" t="s">
        <v>137</v>
      </c>
      <c r="S1059" s="103" t="n">
        <v>1657</v>
      </c>
      <c r="T1059" s="103" t="n">
        <v>1457</v>
      </c>
      <c r="U1059" s="103" t="s">
        <v>1727</v>
      </c>
      <c r="V1059" s="103" t="n">
        <v>2025</v>
      </c>
    </row>
    <row r="1060" customFormat="false" ht="14.25" hidden="false" customHeight="false" outlineLevel="0" collapsed="false">
      <c r="A1060" s="103" t="s">
        <v>1783</v>
      </c>
      <c r="B1060" s="103" t="s">
        <v>348</v>
      </c>
      <c r="C1060" s="104" t="n">
        <v>46010</v>
      </c>
      <c r="D1060" s="103" t="s">
        <v>101</v>
      </c>
      <c r="E1060" s="103" t="n">
        <v>20</v>
      </c>
      <c r="F1060" s="103" t="s">
        <v>171</v>
      </c>
      <c r="G1060" s="103" t="s">
        <v>88</v>
      </c>
      <c r="H1060" s="103" t="n">
        <v>4</v>
      </c>
      <c r="I1060" s="103" t="n">
        <v>949</v>
      </c>
      <c r="J1060" s="103" t="n">
        <v>60</v>
      </c>
      <c r="K1060" s="103" t="n">
        <v>10</v>
      </c>
      <c r="L1060" s="103" t="s">
        <v>93</v>
      </c>
      <c r="M1060" s="103" t="s">
        <v>65</v>
      </c>
      <c r="N1060" s="103" t="s">
        <v>77</v>
      </c>
      <c r="O1060" s="103" t="n">
        <v>18</v>
      </c>
      <c r="P1060" s="103" t="n">
        <v>4.7</v>
      </c>
      <c r="Q1060" s="103" t="n">
        <v>2</v>
      </c>
      <c r="R1060" s="103" t="s">
        <v>140</v>
      </c>
      <c r="S1060" s="103" t="n">
        <v>1009</v>
      </c>
      <c r="T1060" s="103" t="n">
        <v>999</v>
      </c>
      <c r="U1060" s="103" t="s">
        <v>1727</v>
      </c>
      <c r="V1060" s="103" t="n">
        <v>2025</v>
      </c>
    </row>
    <row r="1061" customFormat="false" ht="14.25" hidden="false" customHeight="false" outlineLevel="0" collapsed="false">
      <c r="A1061" s="103" t="s">
        <v>1784</v>
      </c>
      <c r="B1061" s="103" t="s">
        <v>349</v>
      </c>
      <c r="C1061" s="104" t="n">
        <v>46011</v>
      </c>
      <c r="D1061" s="103" t="s">
        <v>110</v>
      </c>
      <c r="E1061" s="103" t="n">
        <v>59</v>
      </c>
      <c r="F1061" s="103" t="s">
        <v>171</v>
      </c>
      <c r="G1061" s="103" t="s">
        <v>89</v>
      </c>
      <c r="H1061" s="103" t="n">
        <v>3</v>
      </c>
      <c r="I1061" s="103" t="n">
        <v>882</v>
      </c>
      <c r="J1061" s="103" t="n">
        <v>30</v>
      </c>
      <c r="K1061" s="103" t="n">
        <v>30</v>
      </c>
      <c r="L1061" s="103" t="s">
        <v>93</v>
      </c>
      <c r="M1061" s="103" t="s">
        <v>65</v>
      </c>
      <c r="N1061" s="103" t="s">
        <v>77</v>
      </c>
      <c r="O1061" s="103" t="n">
        <v>47</v>
      </c>
      <c r="P1061" s="103" t="n">
        <v>5.3</v>
      </c>
      <c r="Q1061" s="103" t="n">
        <v>4</v>
      </c>
      <c r="R1061" s="103" t="s">
        <v>137</v>
      </c>
      <c r="S1061" s="103" t="n">
        <v>912</v>
      </c>
      <c r="T1061" s="103" t="n">
        <v>882</v>
      </c>
      <c r="U1061" s="103" t="s">
        <v>1727</v>
      </c>
      <c r="V1061" s="103" t="n">
        <v>2025</v>
      </c>
    </row>
    <row r="1062" customFormat="false" ht="14.25" hidden="false" customHeight="false" outlineLevel="0" collapsed="false">
      <c r="A1062" s="103" t="s">
        <v>1785</v>
      </c>
      <c r="B1062" s="103" t="s">
        <v>350</v>
      </c>
      <c r="C1062" s="104" t="n">
        <v>46011</v>
      </c>
      <c r="D1062" s="103" t="s">
        <v>105</v>
      </c>
      <c r="E1062" s="103" t="n">
        <v>56</v>
      </c>
      <c r="F1062" s="103" t="s">
        <v>171</v>
      </c>
      <c r="G1062" s="103" t="s">
        <v>84</v>
      </c>
      <c r="H1062" s="103" t="n">
        <v>4.7</v>
      </c>
      <c r="I1062" s="103" t="n">
        <v>184</v>
      </c>
      <c r="J1062" s="103" t="n">
        <v>0</v>
      </c>
      <c r="K1062" s="103" t="n">
        <v>200</v>
      </c>
      <c r="L1062" s="103" t="s">
        <v>95</v>
      </c>
      <c r="M1062" s="103" t="s">
        <v>65</v>
      </c>
      <c r="N1062" s="103" t="s">
        <v>77</v>
      </c>
      <c r="O1062" s="103" t="n">
        <v>31</v>
      </c>
      <c r="P1062" s="103" t="n">
        <v>10.4</v>
      </c>
      <c r="Q1062" s="103" t="n">
        <v>5</v>
      </c>
      <c r="R1062" s="103" t="s">
        <v>139</v>
      </c>
      <c r="S1062" s="103" t="n">
        <v>184</v>
      </c>
      <c r="T1062" s="103" t="n">
        <v>0</v>
      </c>
      <c r="U1062" s="103" t="s">
        <v>1727</v>
      </c>
      <c r="V1062" s="103" t="n">
        <v>2025</v>
      </c>
    </row>
    <row r="1063" customFormat="false" ht="14.25" hidden="false" customHeight="false" outlineLevel="0" collapsed="false">
      <c r="A1063" s="103" t="s">
        <v>1786</v>
      </c>
      <c r="B1063" s="103" t="s">
        <v>351</v>
      </c>
      <c r="C1063" s="104" t="n">
        <v>46011</v>
      </c>
      <c r="D1063" s="103" t="s">
        <v>110</v>
      </c>
      <c r="E1063" s="103" t="n">
        <v>58</v>
      </c>
      <c r="F1063" s="103" t="s">
        <v>171</v>
      </c>
      <c r="G1063" s="103" t="s">
        <v>90</v>
      </c>
      <c r="H1063" s="103" t="n">
        <v>2.8</v>
      </c>
      <c r="I1063" s="103" t="n">
        <v>1344</v>
      </c>
      <c r="J1063" s="103" t="n">
        <v>30</v>
      </c>
      <c r="K1063" s="103" t="n">
        <v>10</v>
      </c>
      <c r="L1063" s="103" t="s">
        <v>94</v>
      </c>
      <c r="M1063" s="103" t="s">
        <v>65</v>
      </c>
      <c r="N1063" s="103" t="s">
        <v>77</v>
      </c>
      <c r="O1063" s="103" t="n">
        <v>42</v>
      </c>
      <c r="P1063" s="103" t="n">
        <v>5.6</v>
      </c>
      <c r="Q1063" s="103" t="n">
        <v>5</v>
      </c>
      <c r="R1063" s="103" t="s">
        <v>139</v>
      </c>
      <c r="S1063" s="103" t="n">
        <v>1374</v>
      </c>
      <c r="T1063" s="103" t="n">
        <v>1364</v>
      </c>
      <c r="U1063" s="103" t="s">
        <v>1727</v>
      </c>
      <c r="V1063" s="103" t="n">
        <v>2025</v>
      </c>
    </row>
    <row r="1064" customFormat="false" ht="14.25" hidden="false" customHeight="false" outlineLevel="0" collapsed="false">
      <c r="A1064" s="103" t="s">
        <v>1787</v>
      </c>
      <c r="B1064" s="103" t="s">
        <v>352</v>
      </c>
      <c r="C1064" s="104" t="n">
        <v>46012</v>
      </c>
      <c r="D1064" s="103" t="s">
        <v>106</v>
      </c>
      <c r="E1064" s="103" t="n">
        <v>28</v>
      </c>
      <c r="F1064" s="103" t="s">
        <v>170</v>
      </c>
      <c r="G1064" s="103" t="s">
        <v>86</v>
      </c>
      <c r="H1064" s="103" t="n">
        <v>2.5</v>
      </c>
      <c r="I1064" s="103" t="n">
        <v>1007</v>
      </c>
      <c r="J1064" s="103" t="n">
        <v>60</v>
      </c>
      <c r="K1064" s="103" t="n">
        <v>0</v>
      </c>
      <c r="L1064" s="103" t="s">
        <v>97</v>
      </c>
      <c r="M1064" s="103" t="s">
        <v>67</v>
      </c>
      <c r="N1064" s="103" t="s">
        <v>77</v>
      </c>
      <c r="O1064" s="103" t="n">
        <v>64</v>
      </c>
      <c r="P1064" s="103" t="n">
        <v>3.6</v>
      </c>
      <c r="Q1064" s="103" t="n">
        <v>4</v>
      </c>
      <c r="R1064" s="103" t="s">
        <v>137</v>
      </c>
      <c r="S1064" s="103" t="n">
        <v>1067</v>
      </c>
      <c r="T1064" s="103" t="n">
        <v>1067</v>
      </c>
      <c r="U1064" s="103" t="s">
        <v>1727</v>
      </c>
      <c r="V1064" s="103" t="n">
        <v>2025</v>
      </c>
    </row>
    <row r="1065" customFormat="false" ht="14.25" hidden="false" customHeight="false" outlineLevel="0" collapsed="false">
      <c r="A1065" s="103" t="s">
        <v>1788</v>
      </c>
      <c r="B1065" s="103" t="s">
        <v>353</v>
      </c>
      <c r="C1065" s="104" t="n">
        <v>46012</v>
      </c>
      <c r="D1065" s="103" t="s">
        <v>100</v>
      </c>
      <c r="E1065" s="103" t="n">
        <v>56</v>
      </c>
      <c r="F1065" s="103" t="s">
        <v>170</v>
      </c>
      <c r="G1065" s="103" t="s">
        <v>90</v>
      </c>
      <c r="H1065" s="103" t="n">
        <v>3.8</v>
      </c>
      <c r="I1065" s="103" t="n">
        <v>459</v>
      </c>
      <c r="J1065" s="103" t="n">
        <v>0</v>
      </c>
      <c r="K1065" s="103" t="n">
        <v>150</v>
      </c>
      <c r="L1065" s="103" t="s">
        <v>93</v>
      </c>
      <c r="M1065" s="103" t="s">
        <v>65</v>
      </c>
      <c r="N1065" s="103" t="s">
        <v>77</v>
      </c>
      <c r="O1065" s="103" t="n">
        <v>40</v>
      </c>
      <c r="P1065" s="103" t="n">
        <v>5.9</v>
      </c>
      <c r="Q1065" s="103" t="n">
        <v>5</v>
      </c>
      <c r="R1065" s="103" t="s">
        <v>142</v>
      </c>
      <c r="S1065" s="103" t="n">
        <v>459</v>
      </c>
      <c r="T1065" s="103" t="n">
        <v>309</v>
      </c>
      <c r="U1065" s="103" t="s">
        <v>1727</v>
      </c>
      <c r="V1065" s="103" t="n">
        <v>2025</v>
      </c>
    </row>
    <row r="1066" customFormat="false" ht="14.25" hidden="false" customHeight="false" outlineLevel="0" collapsed="false">
      <c r="A1066" s="103" t="s">
        <v>1789</v>
      </c>
      <c r="B1066" s="103" t="s">
        <v>354</v>
      </c>
      <c r="C1066" s="104" t="n">
        <v>46012</v>
      </c>
      <c r="D1066" s="103" t="s">
        <v>103</v>
      </c>
      <c r="E1066" s="103" t="n">
        <v>41</v>
      </c>
      <c r="F1066" s="103" t="s">
        <v>170</v>
      </c>
      <c r="G1066" s="103" t="s">
        <v>87</v>
      </c>
      <c r="H1066" s="103" t="n">
        <v>4</v>
      </c>
      <c r="I1066" s="103" t="n">
        <v>305</v>
      </c>
      <c r="J1066" s="103" t="n">
        <v>60</v>
      </c>
      <c r="K1066" s="103" t="n">
        <v>200</v>
      </c>
      <c r="L1066" s="103" t="s">
        <v>93</v>
      </c>
      <c r="M1066" s="103" t="s">
        <v>65</v>
      </c>
      <c r="N1066" s="103" t="s">
        <v>77</v>
      </c>
      <c r="O1066" s="103" t="n">
        <v>22</v>
      </c>
      <c r="P1066" s="103" t="n">
        <v>4.4</v>
      </c>
      <c r="Q1066" s="103" t="n">
        <v>4</v>
      </c>
      <c r="R1066" s="103" t="s">
        <v>135</v>
      </c>
      <c r="S1066" s="103" t="n">
        <v>365</v>
      </c>
      <c r="T1066" s="103" t="n">
        <v>165</v>
      </c>
      <c r="U1066" s="103" t="s">
        <v>1727</v>
      </c>
      <c r="V1066" s="103" t="n">
        <v>2025</v>
      </c>
    </row>
    <row r="1067" customFormat="false" ht="14.25" hidden="false" customHeight="false" outlineLevel="0" collapsed="false">
      <c r="A1067" s="103" t="s">
        <v>1790</v>
      </c>
      <c r="B1067" s="103" t="s">
        <v>355</v>
      </c>
      <c r="C1067" s="104" t="n">
        <v>46013</v>
      </c>
      <c r="D1067" s="103" t="s">
        <v>109</v>
      </c>
      <c r="E1067" s="103" t="n">
        <v>36</v>
      </c>
      <c r="F1067" s="103" t="s">
        <v>171</v>
      </c>
      <c r="G1067" s="103" t="s">
        <v>86</v>
      </c>
      <c r="H1067" s="103" t="n">
        <v>3.9</v>
      </c>
      <c r="I1067" s="103" t="n">
        <v>764</v>
      </c>
      <c r="J1067" s="103" t="n">
        <v>30</v>
      </c>
      <c r="K1067" s="103" t="n">
        <v>100</v>
      </c>
      <c r="L1067" s="103" t="s">
        <v>97</v>
      </c>
      <c r="M1067" s="103" t="s">
        <v>66</v>
      </c>
      <c r="N1067" s="103" t="s">
        <v>77</v>
      </c>
      <c r="O1067" s="103" t="n">
        <v>48</v>
      </c>
      <c r="P1067" s="103" t="n">
        <v>1.8</v>
      </c>
      <c r="Q1067" s="103" t="n">
        <v>4</v>
      </c>
      <c r="R1067" s="103" t="s">
        <v>142</v>
      </c>
      <c r="S1067" s="103" t="n">
        <v>794</v>
      </c>
      <c r="T1067" s="103" t="n">
        <v>694</v>
      </c>
      <c r="U1067" s="103" t="s">
        <v>1727</v>
      </c>
      <c r="V1067" s="103" t="n">
        <v>2025</v>
      </c>
    </row>
    <row r="1068" customFormat="false" ht="14.25" hidden="false" customHeight="false" outlineLevel="0" collapsed="false">
      <c r="A1068" s="103" t="s">
        <v>1791</v>
      </c>
      <c r="B1068" s="103" t="s">
        <v>356</v>
      </c>
      <c r="C1068" s="104" t="n">
        <v>46013</v>
      </c>
      <c r="D1068" s="103" t="s">
        <v>100</v>
      </c>
      <c r="E1068" s="103" t="n">
        <v>21</v>
      </c>
      <c r="F1068" s="103" t="s">
        <v>170</v>
      </c>
      <c r="G1068" s="103" t="s">
        <v>87</v>
      </c>
      <c r="H1068" s="103" t="n">
        <v>2.6</v>
      </c>
      <c r="I1068" s="103" t="n">
        <v>1526</v>
      </c>
      <c r="J1068" s="103" t="n">
        <v>40</v>
      </c>
      <c r="K1068" s="103" t="n">
        <v>150</v>
      </c>
      <c r="L1068" s="103" t="s">
        <v>96</v>
      </c>
      <c r="M1068" s="103" t="s">
        <v>67</v>
      </c>
      <c r="N1068" s="103" t="s">
        <v>77</v>
      </c>
      <c r="O1068" s="103" t="n">
        <v>32</v>
      </c>
      <c r="P1068" s="103" t="n">
        <v>12.5</v>
      </c>
      <c r="Q1068" s="103" t="n">
        <v>5</v>
      </c>
      <c r="R1068" s="103" t="s">
        <v>139</v>
      </c>
      <c r="S1068" s="103" t="n">
        <v>1566</v>
      </c>
      <c r="T1068" s="103" t="n">
        <v>1416</v>
      </c>
      <c r="U1068" s="103" t="s">
        <v>1727</v>
      </c>
      <c r="V1068" s="103" t="n">
        <v>2025</v>
      </c>
    </row>
    <row r="1069" customFormat="false" ht="14.25" hidden="false" customHeight="false" outlineLevel="0" collapsed="false">
      <c r="A1069" s="103" t="s">
        <v>1792</v>
      </c>
      <c r="B1069" s="103" t="s">
        <v>357</v>
      </c>
      <c r="C1069" s="104" t="n">
        <v>46013</v>
      </c>
      <c r="D1069" s="103" t="s">
        <v>109</v>
      </c>
      <c r="E1069" s="103" t="n">
        <v>43</v>
      </c>
      <c r="F1069" s="103" t="s">
        <v>170</v>
      </c>
      <c r="G1069" s="103" t="s">
        <v>86</v>
      </c>
      <c r="H1069" s="103" t="n">
        <v>3.3</v>
      </c>
      <c r="I1069" s="103" t="n">
        <v>1574</v>
      </c>
      <c r="J1069" s="103" t="n">
        <v>20</v>
      </c>
      <c r="K1069" s="103" t="n">
        <v>30</v>
      </c>
      <c r="L1069" s="103" t="s">
        <v>94</v>
      </c>
      <c r="M1069" s="103" t="s">
        <v>66</v>
      </c>
      <c r="N1069" s="103" t="s">
        <v>77</v>
      </c>
      <c r="O1069" s="103" t="n">
        <v>45</v>
      </c>
      <c r="P1069" s="103" t="n">
        <v>12.9</v>
      </c>
      <c r="Q1069" s="103" t="n">
        <v>5</v>
      </c>
      <c r="R1069" s="103" t="s">
        <v>133</v>
      </c>
      <c r="S1069" s="103" t="n">
        <v>1594</v>
      </c>
      <c r="T1069" s="103" t="n">
        <v>1564</v>
      </c>
      <c r="U1069" s="103" t="s">
        <v>1727</v>
      </c>
      <c r="V1069" s="103" t="n">
        <v>2025</v>
      </c>
    </row>
    <row r="1070" customFormat="false" ht="14.25" hidden="false" customHeight="false" outlineLevel="0" collapsed="false">
      <c r="A1070" s="103" t="s">
        <v>1793</v>
      </c>
      <c r="B1070" s="103" t="s">
        <v>358</v>
      </c>
      <c r="C1070" s="104" t="n">
        <v>46014</v>
      </c>
      <c r="D1070" s="103" t="s">
        <v>111</v>
      </c>
      <c r="E1070" s="103" t="n">
        <v>55</v>
      </c>
      <c r="F1070" s="103" t="s">
        <v>171</v>
      </c>
      <c r="G1070" s="103" t="s">
        <v>86</v>
      </c>
      <c r="H1070" s="103" t="n">
        <v>3.7</v>
      </c>
      <c r="I1070" s="103" t="n">
        <v>1133</v>
      </c>
      <c r="J1070" s="103" t="n">
        <v>40</v>
      </c>
      <c r="K1070" s="103" t="n">
        <v>30</v>
      </c>
      <c r="L1070" s="103" t="s">
        <v>94</v>
      </c>
      <c r="M1070" s="103" t="s">
        <v>67</v>
      </c>
      <c r="N1070" s="103" t="s">
        <v>78</v>
      </c>
      <c r="O1070" s="103" t="n">
        <v>41</v>
      </c>
      <c r="P1070" s="103" t="n">
        <v>3.7</v>
      </c>
      <c r="Q1070" s="103" t="n">
        <v>5</v>
      </c>
      <c r="R1070" s="103" t="s">
        <v>137</v>
      </c>
      <c r="S1070" s="103" t="n">
        <v>1173</v>
      </c>
      <c r="T1070" s="103" t="n">
        <v>1143</v>
      </c>
      <c r="U1070" s="103" t="s">
        <v>1727</v>
      </c>
      <c r="V1070" s="103" t="n">
        <v>2025</v>
      </c>
    </row>
    <row r="1071" customFormat="false" ht="14.25" hidden="false" customHeight="false" outlineLevel="0" collapsed="false">
      <c r="A1071" s="103" t="s">
        <v>1794</v>
      </c>
      <c r="B1071" s="103" t="s">
        <v>359</v>
      </c>
      <c r="C1071" s="104" t="n">
        <v>46014</v>
      </c>
      <c r="D1071" s="103" t="s">
        <v>105</v>
      </c>
      <c r="E1071" s="103" t="n">
        <v>59</v>
      </c>
      <c r="F1071" s="103" t="s">
        <v>170</v>
      </c>
      <c r="G1071" s="103" t="s">
        <v>82</v>
      </c>
      <c r="H1071" s="103" t="n">
        <v>3</v>
      </c>
      <c r="I1071" s="103" t="n">
        <v>1342</v>
      </c>
      <c r="J1071" s="103" t="n">
        <v>60</v>
      </c>
      <c r="K1071" s="103" t="n">
        <v>10</v>
      </c>
      <c r="L1071" s="103" t="s">
        <v>96</v>
      </c>
      <c r="M1071" s="103" t="s">
        <v>65</v>
      </c>
      <c r="N1071" s="103" t="s">
        <v>77</v>
      </c>
      <c r="O1071" s="103" t="n">
        <v>30</v>
      </c>
      <c r="P1071" s="103" t="n">
        <v>1.4</v>
      </c>
      <c r="Q1071" s="103" t="n">
        <v>4</v>
      </c>
      <c r="R1071" s="103" t="s">
        <v>139</v>
      </c>
      <c r="S1071" s="103" t="n">
        <v>1402</v>
      </c>
      <c r="T1071" s="103" t="n">
        <v>1392</v>
      </c>
      <c r="U1071" s="103" t="s">
        <v>1727</v>
      </c>
      <c r="V1071" s="103" t="n">
        <v>2025</v>
      </c>
    </row>
    <row r="1072" customFormat="false" ht="14.25" hidden="false" customHeight="false" outlineLevel="0" collapsed="false">
      <c r="A1072" s="103" t="s">
        <v>1795</v>
      </c>
      <c r="B1072" s="103" t="s">
        <v>360</v>
      </c>
      <c r="C1072" s="104" t="n">
        <v>46014</v>
      </c>
      <c r="D1072" s="103" t="s">
        <v>107</v>
      </c>
      <c r="E1072" s="103" t="n">
        <v>49</v>
      </c>
      <c r="F1072" s="103" t="s">
        <v>171</v>
      </c>
      <c r="G1072" s="103" t="s">
        <v>81</v>
      </c>
      <c r="H1072" s="103" t="n">
        <v>4.7</v>
      </c>
      <c r="I1072" s="103" t="n">
        <v>313</v>
      </c>
      <c r="J1072" s="103" t="n">
        <v>60</v>
      </c>
      <c r="K1072" s="103" t="n">
        <v>150</v>
      </c>
      <c r="L1072" s="103" t="s">
        <v>94</v>
      </c>
      <c r="M1072" s="103" t="s">
        <v>65</v>
      </c>
      <c r="N1072" s="103" t="s">
        <v>77</v>
      </c>
      <c r="O1072" s="103" t="n">
        <v>24</v>
      </c>
      <c r="P1072" s="103" t="n">
        <v>11.2</v>
      </c>
      <c r="Q1072" s="103" t="n">
        <v>5</v>
      </c>
      <c r="R1072" s="103" t="s">
        <v>140</v>
      </c>
      <c r="S1072" s="103" t="n">
        <v>373</v>
      </c>
      <c r="T1072" s="103" t="n">
        <v>223</v>
      </c>
      <c r="U1072" s="103" t="s">
        <v>1727</v>
      </c>
      <c r="V1072" s="103" t="n">
        <v>2025</v>
      </c>
    </row>
    <row r="1073" customFormat="false" ht="14.25" hidden="false" customHeight="false" outlineLevel="0" collapsed="false">
      <c r="A1073" s="103" t="s">
        <v>1796</v>
      </c>
      <c r="B1073" s="103" t="s">
        <v>361</v>
      </c>
      <c r="C1073" s="104" t="n">
        <v>46015</v>
      </c>
      <c r="D1073" s="103" t="s">
        <v>108</v>
      </c>
      <c r="E1073" s="103" t="n">
        <v>56</v>
      </c>
      <c r="F1073" s="103" t="s">
        <v>171</v>
      </c>
      <c r="G1073" s="103" t="s">
        <v>88</v>
      </c>
      <c r="H1073" s="103" t="n">
        <v>2.7</v>
      </c>
      <c r="I1073" s="103" t="n">
        <v>1108</v>
      </c>
      <c r="J1073" s="103" t="n">
        <v>60</v>
      </c>
      <c r="K1073" s="103" t="n">
        <v>10</v>
      </c>
      <c r="L1073" s="103" t="s">
        <v>93</v>
      </c>
      <c r="M1073" s="103" t="s">
        <v>65</v>
      </c>
      <c r="N1073" s="103" t="s">
        <v>77</v>
      </c>
      <c r="O1073" s="103" t="n">
        <v>54</v>
      </c>
      <c r="P1073" s="103" t="n">
        <v>3.6</v>
      </c>
      <c r="Q1073" s="103" t="n">
        <v>3</v>
      </c>
      <c r="R1073" s="103" t="s">
        <v>131</v>
      </c>
      <c r="S1073" s="103" t="n">
        <v>1168</v>
      </c>
      <c r="T1073" s="103" t="n">
        <v>1158</v>
      </c>
      <c r="U1073" s="103" t="s">
        <v>1727</v>
      </c>
      <c r="V1073" s="103" t="n">
        <v>2025</v>
      </c>
    </row>
    <row r="1074" customFormat="false" ht="14.25" hidden="false" customHeight="false" outlineLevel="0" collapsed="false">
      <c r="A1074" s="103" t="s">
        <v>1797</v>
      </c>
      <c r="B1074" s="103" t="s">
        <v>362</v>
      </c>
      <c r="C1074" s="104" t="n">
        <v>46015</v>
      </c>
      <c r="D1074" s="103" t="s">
        <v>102</v>
      </c>
      <c r="E1074" s="103" t="n">
        <v>53</v>
      </c>
      <c r="F1074" s="103" t="s">
        <v>170</v>
      </c>
      <c r="G1074" s="103" t="s">
        <v>90</v>
      </c>
      <c r="H1074" s="103" t="n">
        <v>3.7</v>
      </c>
      <c r="I1074" s="103" t="n">
        <v>1241</v>
      </c>
      <c r="J1074" s="103" t="n">
        <v>0</v>
      </c>
      <c r="K1074" s="103" t="n">
        <v>200</v>
      </c>
      <c r="L1074" s="103" t="s">
        <v>96</v>
      </c>
      <c r="M1074" s="103" t="s">
        <v>65</v>
      </c>
      <c r="N1074" s="103" t="s">
        <v>77</v>
      </c>
      <c r="O1074" s="103" t="n">
        <v>26</v>
      </c>
      <c r="P1074" s="103" t="n">
        <v>6.2</v>
      </c>
      <c r="Q1074" s="103" t="n">
        <v>5</v>
      </c>
      <c r="R1074" s="103" t="s">
        <v>142</v>
      </c>
      <c r="S1074" s="103" t="n">
        <v>1241</v>
      </c>
      <c r="T1074" s="103" t="n">
        <v>1041</v>
      </c>
      <c r="U1074" s="103" t="s">
        <v>1727</v>
      </c>
      <c r="V1074" s="103" t="n">
        <v>2025</v>
      </c>
    </row>
    <row r="1075" customFormat="false" ht="14.25" hidden="false" customHeight="false" outlineLevel="0" collapsed="false">
      <c r="A1075" s="103" t="s">
        <v>1798</v>
      </c>
      <c r="B1075" s="103" t="s">
        <v>363</v>
      </c>
      <c r="C1075" s="104" t="n">
        <v>46015</v>
      </c>
      <c r="D1075" s="103" t="s">
        <v>100</v>
      </c>
      <c r="E1075" s="103" t="n">
        <v>57</v>
      </c>
      <c r="F1075" s="103" t="s">
        <v>171</v>
      </c>
      <c r="G1075" s="103" t="s">
        <v>85</v>
      </c>
      <c r="H1075" s="103" t="n">
        <v>4.2</v>
      </c>
      <c r="I1075" s="103" t="n">
        <v>457</v>
      </c>
      <c r="J1075" s="103" t="n">
        <v>50</v>
      </c>
      <c r="K1075" s="103" t="n">
        <v>30</v>
      </c>
      <c r="L1075" s="103" t="s">
        <v>94</v>
      </c>
      <c r="M1075" s="103" t="s">
        <v>66</v>
      </c>
      <c r="N1075" s="103" t="s">
        <v>78</v>
      </c>
      <c r="O1075" s="103" t="n">
        <v>36</v>
      </c>
      <c r="P1075" s="103" t="n">
        <v>1.4</v>
      </c>
      <c r="Q1075" s="103" t="n">
        <v>5</v>
      </c>
      <c r="R1075" s="103" t="s">
        <v>139</v>
      </c>
      <c r="S1075" s="103" t="n">
        <v>507</v>
      </c>
      <c r="T1075" s="103" t="n">
        <v>477</v>
      </c>
      <c r="U1075" s="103" t="s">
        <v>1727</v>
      </c>
      <c r="V1075" s="103" t="n">
        <v>2025</v>
      </c>
    </row>
    <row r="1076" customFormat="false" ht="14.25" hidden="false" customHeight="false" outlineLevel="0" collapsed="false">
      <c r="A1076" s="103" t="s">
        <v>1799</v>
      </c>
      <c r="B1076" s="103" t="s">
        <v>364</v>
      </c>
      <c r="C1076" s="104" t="n">
        <v>46016</v>
      </c>
      <c r="D1076" s="103" t="s">
        <v>103</v>
      </c>
      <c r="E1076" s="103" t="n">
        <v>54</v>
      </c>
      <c r="F1076" s="103" t="s">
        <v>171</v>
      </c>
      <c r="G1076" s="103" t="s">
        <v>84</v>
      </c>
      <c r="H1076" s="103" t="n">
        <v>3.2</v>
      </c>
      <c r="I1076" s="103" t="n">
        <v>1599</v>
      </c>
      <c r="J1076" s="103" t="n">
        <v>60</v>
      </c>
      <c r="K1076" s="103" t="n">
        <v>0</v>
      </c>
      <c r="L1076" s="103" t="s">
        <v>93</v>
      </c>
      <c r="M1076" s="103" t="s">
        <v>65</v>
      </c>
      <c r="N1076" s="103" t="s">
        <v>77</v>
      </c>
      <c r="O1076" s="103" t="n">
        <v>30</v>
      </c>
      <c r="P1076" s="103" t="n">
        <v>3.8</v>
      </c>
      <c r="Q1076" s="103" t="n">
        <v>4</v>
      </c>
      <c r="R1076" s="103" t="s">
        <v>135</v>
      </c>
      <c r="S1076" s="103" t="n">
        <v>1659</v>
      </c>
      <c r="T1076" s="103" t="n">
        <v>1659</v>
      </c>
      <c r="U1076" s="103" t="s">
        <v>1727</v>
      </c>
      <c r="V1076" s="103" t="n">
        <v>2025</v>
      </c>
    </row>
    <row r="1077" customFormat="false" ht="14.25" hidden="false" customHeight="false" outlineLevel="0" collapsed="false">
      <c r="A1077" s="103" t="s">
        <v>1800</v>
      </c>
      <c r="B1077" s="103" t="s">
        <v>365</v>
      </c>
      <c r="C1077" s="104" t="n">
        <v>46016</v>
      </c>
      <c r="D1077" s="103" t="s">
        <v>101</v>
      </c>
      <c r="E1077" s="103" t="n">
        <v>50</v>
      </c>
      <c r="F1077" s="103" t="s">
        <v>170</v>
      </c>
      <c r="G1077" s="103" t="s">
        <v>89</v>
      </c>
      <c r="H1077" s="103" t="n">
        <v>4.1</v>
      </c>
      <c r="I1077" s="103" t="n">
        <v>448</v>
      </c>
      <c r="J1077" s="103" t="n">
        <v>40</v>
      </c>
      <c r="K1077" s="103" t="n">
        <v>30</v>
      </c>
      <c r="L1077" s="103" t="s">
        <v>94</v>
      </c>
      <c r="M1077" s="103" t="s">
        <v>65</v>
      </c>
      <c r="N1077" s="103" t="s">
        <v>78</v>
      </c>
      <c r="O1077" s="103" t="n">
        <v>26</v>
      </c>
      <c r="P1077" s="103" t="n">
        <v>12</v>
      </c>
      <c r="Q1077" s="103" t="n">
        <v>5</v>
      </c>
      <c r="R1077" s="103" t="s">
        <v>135</v>
      </c>
      <c r="S1077" s="103" t="n">
        <v>488</v>
      </c>
      <c r="T1077" s="103" t="n">
        <v>458</v>
      </c>
      <c r="U1077" s="103" t="s">
        <v>1727</v>
      </c>
      <c r="V1077" s="103" t="n">
        <v>2025</v>
      </c>
    </row>
    <row r="1078" customFormat="false" ht="14.25" hidden="false" customHeight="false" outlineLevel="0" collapsed="false">
      <c r="A1078" s="103" t="s">
        <v>1801</v>
      </c>
      <c r="B1078" s="103" t="s">
        <v>366</v>
      </c>
      <c r="C1078" s="104" t="n">
        <v>46016</v>
      </c>
      <c r="D1078" s="103" t="s">
        <v>101</v>
      </c>
      <c r="E1078" s="103" t="n">
        <v>53</v>
      </c>
      <c r="F1078" s="103" t="s">
        <v>170</v>
      </c>
      <c r="G1078" s="103" t="s">
        <v>88</v>
      </c>
      <c r="H1078" s="103" t="n">
        <v>4.6</v>
      </c>
      <c r="I1078" s="103" t="n">
        <v>647</v>
      </c>
      <c r="J1078" s="103" t="n">
        <v>20</v>
      </c>
      <c r="K1078" s="103" t="n">
        <v>20</v>
      </c>
      <c r="L1078" s="103" t="s">
        <v>93</v>
      </c>
      <c r="M1078" s="103" t="s">
        <v>65</v>
      </c>
      <c r="N1078" s="103" t="s">
        <v>77</v>
      </c>
      <c r="O1078" s="103" t="n">
        <v>25</v>
      </c>
      <c r="P1078" s="103" t="n">
        <v>12.2</v>
      </c>
      <c r="Q1078" s="103" t="n">
        <v>4</v>
      </c>
      <c r="R1078" s="103" t="s">
        <v>137</v>
      </c>
      <c r="S1078" s="103" t="n">
        <v>667</v>
      </c>
      <c r="T1078" s="103" t="n">
        <v>647</v>
      </c>
      <c r="U1078" s="103" t="s">
        <v>1727</v>
      </c>
      <c r="V1078" s="103" t="n">
        <v>2025</v>
      </c>
    </row>
    <row r="1079" customFormat="false" ht="14.25" hidden="false" customHeight="false" outlineLevel="0" collapsed="false">
      <c r="A1079" s="103" t="s">
        <v>1802</v>
      </c>
      <c r="B1079" s="103" t="s">
        <v>367</v>
      </c>
      <c r="C1079" s="104" t="n">
        <v>46017</v>
      </c>
      <c r="D1079" s="103" t="s">
        <v>110</v>
      </c>
      <c r="E1079" s="103" t="n">
        <v>20</v>
      </c>
      <c r="F1079" s="103" t="s">
        <v>171</v>
      </c>
      <c r="G1079" s="103" t="s">
        <v>87</v>
      </c>
      <c r="H1079" s="103" t="n">
        <v>3</v>
      </c>
      <c r="I1079" s="103" t="n">
        <v>1163</v>
      </c>
      <c r="J1079" s="103" t="n">
        <v>60</v>
      </c>
      <c r="K1079" s="103" t="n">
        <v>75</v>
      </c>
      <c r="L1079" s="103" t="s">
        <v>96</v>
      </c>
      <c r="M1079" s="103" t="s">
        <v>66</v>
      </c>
      <c r="N1079" s="103" t="s">
        <v>77</v>
      </c>
      <c r="O1079" s="103" t="n">
        <v>34</v>
      </c>
      <c r="P1079" s="103" t="n">
        <v>3.5</v>
      </c>
      <c r="Q1079" s="103" t="n">
        <v>1</v>
      </c>
      <c r="R1079" s="103" t="s">
        <v>140</v>
      </c>
      <c r="S1079" s="103" t="n">
        <v>1223</v>
      </c>
      <c r="T1079" s="103" t="n">
        <v>1148</v>
      </c>
      <c r="U1079" s="103" t="s">
        <v>1727</v>
      </c>
      <c r="V1079" s="103" t="n">
        <v>2025</v>
      </c>
    </row>
    <row r="1080" customFormat="false" ht="14.25" hidden="false" customHeight="false" outlineLevel="0" collapsed="false">
      <c r="A1080" s="103" t="s">
        <v>1803</v>
      </c>
      <c r="B1080" s="103" t="s">
        <v>368</v>
      </c>
      <c r="C1080" s="104" t="n">
        <v>46017</v>
      </c>
      <c r="D1080" s="103" t="s">
        <v>103</v>
      </c>
      <c r="E1080" s="103" t="n">
        <v>26</v>
      </c>
      <c r="F1080" s="103" t="s">
        <v>171</v>
      </c>
      <c r="G1080" s="103" t="s">
        <v>82</v>
      </c>
      <c r="H1080" s="103" t="n">
        <v>4.8</v>
      </c>
      <c r="I1080" s="103" t="n">
        <v>1192</v>
      </c>
      <c r="J1080" s="103" t="n">
        <v>60</v>
      </c>
      <c r="K1080" s="103" t="n">
        <v>100</v>
      </c>
      <c r="L1080" s="103" t="s">
        <v>93</v>
      </c>
      <c r="M1080" s="103" t="s">
        <v>67</v>
      </c>
      <c r="N1080" s="103" t="s">
        <v>77</v>
      </c>
      <c r="O1080" s="103" t="n">
        <v>65</v>
      </c>
      <c r="P1080" s="103" t="n">
        <v>5.4</v>
      </c>
      <c r="Q1080" s="103" t="n">
        <v>5</v>
      </c>
      <c r="R1080" s="103" t="s">
        <v>137</v>
      </c>
      <c r="S1080" s="103" t="n">
        <v>1252</v>
      </c>
      <c r="T1080" s="103" t="n">
        <v>1152</v>
      </c>
      <c r="U1080" s="103" t="s">
        <v>1727</v>
      </c>
      <c r="V1080" s="103" t="n">
        <v>2025</v>
      </c>
    </row>
    <row r="1081" customFormat="false" ht="14.25" hidden="false" customHeight="false" outlineLevel="0" collapsed="false">
      <c r="A1081" s="103" t="s">
        <v>1804</v>
      </c>
      <c r="B1081" s="103" t="s">
        <v>369</v>
      </c>
      <c r="C1081" s="104" t="n">
        <v>46017</v>
      </c>
      <c r="D1081" s="103" t="s">
        <v>105</v>
      </c>
      <c r="E1081" s="103" t="n">
        <v>25</v>
      </c>
      <c r="F1081" s="103" t="s">
        <v>171</v>
      </c>
      <c r="G1081" s="103" t="s">
        <v>87</v>
      </c>
      <c r="H1081" s="103" t="n">
        <v>3.9</v>
      </c>
      <c r="I1081" s="103" t="n">
        <v>1295</v>
      </c>
      <c r="J1081" s="103" t="n">
        <v>60</v>
      </c>
      <c r="K1081" s="103" t="n">
        <v>150</v>
      </c>
      <c r="L1081" s="103" t="s">
        <v>96</v>
      </c>
      <c r="M1081" s="103" t="s">
        <v>65</v>
      </c>
      <c r="N1081" s="103" t="s">
        <v>77</v>
      </c>
      <c r="O1081" s="103" t="n">
        <v>15</v>
      </c>
      <c r="P1081" s="103" t="n">
        <v>2.4</v>
      </c>
      <c r="Q1081" s="103" t="n">
        <v>3</v>
      </c>
      <c r="R1081" s="103" t="s">
        <v>134</v>
      </c>
      <c r="S1081" s="103" t="n">
        <v>1355</v>
      </c>
      <c r="T1081" s="103" t="n">
        <v>1205</v>
      </c>
      <c r="U1081" s="103" t="s">
        <v>1727</v>
      </c>
      <c r="V1081" s="103" t="n">
        <v>2025</v>
      </c>
    </row>
    <row r="1082" customFormat="false" ht="14.25" hidden="false" customHeight="false" outlineLevel="0" collapsed="false">
      <c r="A1082" s="103" t="s">
        <v>1805</v>
      </c>
      <c r="B1082" s="103" t="s">
        <v>370</v>
      </c>
      <c r="C1082" s="104" t="n">
        <v>46018</v>
      </c>
      <c r="D1082" s="103" t="s">
        <v>111</v>
      </c>
      <c r="E1082" s="103" t="n">
        <v>50</v>
      </c>
      <c r="F1082" s="103" t="s">
        <v>170</v>
      </c>
      <c r="G1082" s="103" t="s">
        <v>81</v>
      </c>
      <c r="H1082" s="103" t="n">
        <v>3.2</v>
      </c>
      <c r="I1082" s="103" t="n">
        <v>308</v>
      </c>
      <c r="J1082" s="103" t="n">
        <v>0</v>
      </c>
      <c r="K1082" s="103" t="n">
        <v>10</v>
      </c>
      <c r="L1082" s="103" t="s">
        <v>94</v>
      </c>
      <c r="M1082" s="103" t="s">
        <v>65</v>
      </c>
      <c r="N1082" s="103" t="s">
        <v>77</v>
      </c>
      <c r="O1082" s="103" t="n">
        <v>41</v>
      </c>
      <c r="P1082" s="103" t="n">
        <v>1.6</v>
      </c>
      <c r="Q1082" s="103" t="n">
        <v>5</v>
      </c>
      <c r="R1082" s="103" t="s">
        <v>136</v>
      </c>
      <c r="S1082" s="103" t="n">
        <v>308</v>
      </c>
      <c r="T1082" s="103" t="n">
        <v>298</v>
      </c>
      <c r="U1082" s="103" t="s">
        <v>1727</v>
      </c>
      <c r="V1082" s="103" t="n">
        <v>2025</v>
      </c>
    </row>
    <row r="1083" customFormat="false" ht="14.25" hidden="false" customHeight="false" outlineLevel="0" collapsed="false">
      <c r="A1083" s="103" t="s">
        <v>1806</v>
      </c>
      <c r="B1083" s="103" t="s">
        <v>371</v>
      </c>
      <c r="C1083" s="104" t="n">
        <v>46018</v>
      </c>
      <c r="D1083" s="103" t="s">
        <v>109</v>
      </c>
      <c r="E1083" s="103" t="n">
        <v>23</v>
      </c>
      <c r="F1083" s="103" t="s">
        <v>171</v>
      </c>
      <c r="G1083" s="103" t="s">
        <v>89</v>
      </c>
      <c r="H1083" s="103" t="n">
        <v>3.6</v>
      </c>
      <c r="I1083" s="103" t="n">
        <v>1547</v>
      </c>
      <c r="J1083" s="103" t="n">
        <v>60</v>
      </c>
      <c r="K1083" s="103" t="n">
        <v>75</v>
      </c>
      <c r="L1083" s="103" t="s">
        <v>93</v>
      </c>
      <c r="M1083" s="103" t="s">
        <v>65</v>
      </c>
      <c r="N1083" s="103" t="s">
        <v>78</v>
      </c>
      <c r="O1083" s="103" t="n">
        <v>17</v>
      </c>
      <c r="P1083" s="103" t="n">
        <v>14.9</v>
      </c>
      <c r="Q1083" s="103" t="n">
        <v>2</v>
      </c>
      <c r="R1083" s="103" t="s">
        <v>136</v>
      </c>
      <c r="S1083" s="103" t="n">
        <v>1607</v>
      </c>
      <c r="T1083" s="103" t="n">
        <v>1532</v>
      </c>
      <c r="U1083" s="103" t="s">
        <v>1727</v>
      </c>
      <c r="V1083" s="103" t="n">
        <v>2025</v>
      </c>
    </row>
    <row r="1084" customFormat="false" ht="14.25" hidden="false" customHeight="false" outlineLevel="0" collapsed="false">
      <c r="A1084" s="103" t="s">
        <v>1807</v>
      </c>
      <c r="B1084" s="103" t="s">
        <v>372</v>
      </c>
      <c r="C1084" s="104" t="n">
        <v>46018</v>
      </c>
      <c r="D1084" s="103" t="s">
        <v>110</v>
      </c>
      <c r="E1084" s="103" t="n">
        <v>58</v>
      </c>
      <c r="F1084" s="103" t="s">
        <v>171</v>
      </c>
      <c r="G1084" s="103" t="s">
        <v>82</v>
      </c>
      <c r="H1084" s="103" t="n">
        <v>3.3</v>
      </c>
      <c r="I1084" s="103" t="n">
        <v>1015</v>
      </c>
      <c r="J1084" s="103" t="n">
        <v>40</v>
      </c>
      <c r="K1084" s="103" t="n">
        <v>75</v>
      </c>
      <c r="L1084" s="103" t="s">
        <v>93</v>
      </c>
      <c r="M1084" s="103" t="s">
        <v>65</v>
      </c>
      <c r="N1084" s="103" t="s">
        <v>77</v>
      </c>
      <c r="O1084" s="103" t="n">
        <v>26</v>
      </c>
      <c r="P1084" s="103" t="n">
        <v>10</v>
      </c>
      <c r="Q1084" s="103" t="n">
        <v>5</v>
      </c>
      <c r="R1084" s="103" t="s">
        <v>135</v>
      </c>
      <c r="S1084" s="103" t="n">
        <v>1055</v>
      </c>
      <c r="T1084" s="103" t="n">
        <v>980</v>
      </c>
      <c r="U1084" s="103" t="s">
        <v>1727</v>
      </c>
      <c r="V1084" s="103" t="n">
        <v>2025</v>
      </c>
    </row>
    <row r="1085" customFormat="false" ht="14.25" hidden="false" customHeight="false" outlineLevel="0" collapsed="false">
      <c r="A1085" s="103" t="s">
        <v>1808</v>
      </c>
      <c r="B1085" s="103" t="s">
        <v>373</v>
      </c>
      <c r="C1085" s="104" t="n">
        <v>46019</v>
      </c>
      <c r="D1085" s="103" t="s">
        <v>101</v>
      </c>
      <c r="E1085" s="103" t="n">
        <v>56</v>
      </c>
      <c r="F1085" s="103" t="s">
        <v>170</v>
      </c>
      <c r="G1085" s="103" t="s">
        <v>87</v>
      </c>
      <c r="H1085" s="103" t="n">
        <v>4.3</v>
      </c>
      <c r="I1085" s="103" t="n">
        <v>912</v>
      </c>
      <c r="J1085" s="103" t="n">
        <v>30</v>
      </c>
      <c r="K1085" s="103" t="n">
        <v>50</v>
      </c>
      <c r="L1085" s="103" t="s">
        <v>95</v>
      </c>
      <c r="M1085" s="103" t="s">
        <v>65</v>
      </c>
      <c r="N1085" s="103" t="s">
        <v>77</v>
      </c>
      <c r="O1085" s="103" t="n">
        <v>44</v>
      </c>
      <c r="P1085" s="103" t="n">
        <v>8.4</v>
      </c>
      <c r="Q1085" s="103" t="n">
        <v>4</v>
      </c>
      <c r="R1085" s="103" t="s">
        <v>136</v>
      </c>
      <c r="S1085" s="103" t="n">
        <v>942</v>
      </c>
      <c r="T1085" s="103" t="n">
        <v>892</v>
      </c>
      <c r="U1085" s="103" t="s">
        <v>1727</v>
      </c>
      <c r="V1085" s="103" t="n">
        <v>2025</v>
      </c>
    </row>
    <row r="1086" customFormat="false" ht="14.25" hidden="false" customHeight="false" outlineLevel="0" collapsed="false">
      <c r="A1086" s="103" t="s">
        <v>1809</v>
      </c>
      <c r="B1086" s="103" t="s">
        <v>374</v>
      </c>
      <c r="C1086" s="104" t="n">
        <v>46019</v>
      </c>
      <c r="D1086" s="103" t="s">
        <v>102</v>
      </c>
      <c r="E1086" s="103" t="n">
        <v>21</v>
      </c>
      <c r="F1086" s="103" t="s">
        <v>170</v>
      </c>
      <c r="G1086" s="103" t="s">
        <v>81</v>
      </c>
      <c r="H1086" s="103" t="n">
        <v>4.5</v>
      </c>
      <c r="I1086" s="103" t="n">
        <v>1768</v>
      </c>
      <c r="J1086" s="103" t="n">
        <v>50</v>
      </c>
      <c r="K1086" s="103" t="n">
        <v>100</v>
      </c>
      <c r="L1086" s="103" t="s">
        <v>97</v>
      </c>
      <c r="M1086" s="103" t="s">
        <v>67</v>
      </c>
      <c r="N1086" s="103" t="s">
        <v>78</v>
      </c>
      <c r="O1086" s="103" t="n">
        <v>23</v>
      </c>
      <c r="P1086" s="103" t="n">
        <v>11.6</v>
      </c>
      <c r="Q1086" s="103" t="n">
        <v>3</v>
      </c>
      <c r="R1086" s="103" t="s">
        <v>141</v>
      </c>
      <c r="S1086" s="103" t="n">
        <v>1818</v>
      </c>
      <c r="T1086" s="103" t="n">
        <v>1718</v>
      </c>
      <c r="U1086" s="103" t="s">
        <v>1727</v>
      </c>
      <c r="V1086" s="103" t="n">
        <v>2025</v>
      </c>
    </row>
    <row r="1087" customFormat="false" ht="14.25" hidden="false" customHeight="false" outlineLevel="0" collapsed="false">
      <c r="A1087" s="103" t="s">
        <v>1810</v>
      </c>
      <c r="B1087" s="103" t="s">
        <v>375</v>
      </c>
      <c r="C1087" s="104" t="n">
        <v>46019</v>
      </c>
      <c r="D1087" s="103" t="s">
        <v>102</v>
      </c>
      <c r="E1087" s="103" t="n">
        <v>30</v>
      </c>
      <c r="F1087" s="103" t="s">
        <v>171</v>
      </c>
      <c r="G1087" s="103" t="s">
        <v>84</v>
      </c>
      <c r="H1087" s="103" t="n">
        <v>4.6</v>
      </c>
      <c r="I1087" s="103" t="n">
        <v>1364</v>
      </c>
      <c r="J1087" s="103" t="n">
        <v>60</v>
      </c>
      <c r="K1087" s="103" t="n">
        <v>20</v>
      </c>
      <c r="L1087" s="103" t="s">
        <v>93</v>
      </c>
      <c r="M1087" s="103" t="s">
        <v>65</v>
      </c>
      <c r="N1087" s="103" t="s">
        <v>77</v>
      </c>
      <c r="O1087" s="103" t="n">
        <v>67</v>
      </c>
      <c r="P1087" s="103" t="n">
        <v>12.7</v>
      </c>
      <c r="Q1087" s="103" t="n">
        <v>3</v>
      </c>
      <c r="R1087" s="103" t="s">
        <v>133</v>
      </c>
      <c r="S1087" s="103" t="n">
        <v>1424</v>
      </c>
      <c r="T1087" s="103" t="n">
        <v>1404</v>
      </c>
      <c r="U1087" s="103" t="s">
        <v>1727</v>
      </c>
      <c r="V1087" s="103" t="n">
        <v>2025</v>
      </c>
    </row>
    <row r="1088" customFormat="false" ht="14.25" hidden="false" customHeight="false" outlineLevel="0" collapsed="false">
      <c r="A1088" s="103" t="s">
        <v>1811</v>
      </c>
      <c r="B1088" s="103" t="s">
        <v>376</v>
      </c>
      <c r="C1088" s="104" t="n">
        <v>46020</v>
      </c>
      <c r="D1088" s="103" t="s">
        <v>100</v>
      </c>
      <c r="E1088" s="103" t="n">
        <v>19</v>
      </c>
      <c r="F1088" s="103" t="s">
        <v>170</v>
      </c>
      <c r="G1088" s="103" t="s">
        <v>84</v>
      </c>
      <c r="H1088" s="103" t="n">
        <v>5</v>
      </c>
      <c r="I1088" s="103" t="n">
        <v>318</v>
      </c>
      <c r="J1088" s="103" t="n">
        <v>0</v>
      </c>
      <c r="K1088" s="103" t="n">
        <v>30</v>
      </c>
      <c r="L1088" s="103" t="s">
        <v>93</v>
      </c>
      <c r="M1088" s="103" t="s">
        <v>65</v>
      </c>
      <c r="N1088" s="103" t="s">
        <v>77</v>
      </c>
      <c r="O1088" s="103" t="n">
        <v>68</v>
      </c>
      <c r="P1088" s="103" t="n">
        <v>12.2</v>
      </c>
      <c r="Q1088" s="103" t="n">
        <v>5</v>
      </c>
      <c r="R1088" s="103" t="s">
        <v>137</v>
      </c>
      <c r="S1088" s="103" t="n">
        <v>318</v>
      </c>
      <c r="T1088" s="103" t="n">
        <v>288</v>
      </c>
      <c r="U1088" s="103" t="s">
        <v>1727</v>
      </c>
      <c r="V1088" s="103" t="n">
        <v>2025</v>
      </c>
    </row>
    <row r="1089" customFormat="false" ht="14.25" hidden="false" customHeight="false" outlineLevel="0" collapsed="false">
      <c r="A1089" s="103" t="s">
        <v>1812</v>
      </c>
      <c r="B1089" s="103" t="s">
        <v>377</v>
      </c>
      <c r="C1089" s="104" t="n">
        <v>46020</v>
      </c>
      <c r="D1089" s="103" t="s">
        <v>105</v>
      </c>
      <c r="E1089" s="103" t="n">
        <v>22</v>
      </c>
      <c r="F1089" s="103" t="s">
        <v>170</v>
      </c>
      <c r="G1089" s="103" t="s">
        <v>87</v>
      </c>
      <c r="H1089" s="103" t="n">
        <v>4.5</v>
      </c>
      <c r="I1089" s="103" t="n">
        <v>1391</v>
      </c>
      <c r="J1089" s="103" t="n">
        <v>40</v>
      </c>
      <c r="K1089" s="103" t="n">
        <v>200</v>
      </c>
      <c r="L1089" s="103" t="s">
        <v>94</v>
      </c>
      <c r="M1089" s="103" t="s">
        <v>67</v>
      </c>
      <c r="N1089" s="103" t="s">
        <v>78</v>
      </c>
      <c r="O1089" s="103" t="n">
        <v>51</v>
      </c>
      <c r="P1089" s="103" t="n">
        <v>0.7</v>
      </c>
      <c r="Q1089" s="103" t="n">
        <v>5</v>
      </c>
      <c r="R1089" s="103" t="s">
        <v>133</v>
      </c>
      <c r="S1089" s="103" t="n">
        <v>1431</v>
      </c>
      <c r="T1089" s="103" t="n">
        <v>1231</v>
      </c>
      <c r="U1089" s="103" t="s">
        <v>1727</v>
      </c>
      <c r="V1089" s="103" t="n">
        <v>2025</v>
      </c>
    </row>
    <row r="1090" customFormat="false" ht="14.25" hidden="false" customHeight="false" outlineLevel="0" collapsed="false">
      <c r="A1090" s="103" t="s">
        <v>1813</v>
      </c>
      <c r="B1090" s="103" t="s">
        <v>378</v>
      </c>
      <c r="C1090" s="104" t="n">
        <v>46020</v>
      </c>
      <c r="D1090" s="103" t="s">
        <v>107</v>
      </c>
      <c r="E1090" s="103" t="n">
        <v>44</v>
      </c>
      <c r="F1090" s="103" t="s">
        <v>171</v>
      </c>
      <c r="G1090" s="103" t="s">
        <v>88</v>
      </c>
      <c r="H1090" s="103" t="n">
        <v>4</v>
      </c>
      <c r="I1090" s="103" t="n">
        <v>280</v>
      </c>
      <c r="J1090" s="103" t="n">
        <v>60</v>
      </c>
      <c r="K1090" s="103" t="n">
        <v>30</v>
      </c>
      <c r="L1090" s="103" t="s">
        <v>95</v>
      </c>
      <c r="M1090" s="103" t="s">
        <v>67</v>
      </c>
      <c r="N1090" s="103" t="s">
        <v>77</v>
      </c>
      <c r="O1090" s="103" t="n">
        <v>15</v>
      </c>
      <c r="P1090" s="103" t="n">
        <v>3.2</v>
      </c>
      <c r="Q1090" s="103" t="n">
        <v>5</v>
      </c>
      <c r="R1090" s="103" t="s">
        <v>137</v>
      </c>
      <c r="S1090" s="103" t="n">
        <v>340</v>
      </c>
      <c r="T1090" s="103" t="n">
        <v>310</v>
      </c>
      <c r="U1090" s="103" t="s">
        <v>1727</v>
      </c>
      <c r="V1090" s="103" t="n">
        <v>2025</v>
      </c>
    </row>
    <row r="1091" customFormat="false" ht="14.25" hidden="false" customHeight="false" outlineLevel="0" collapsed="false">
      <c r="A1091" s="103" t="s">
        <v>1814</v>
      </c>
      <c r="B1091" s="103" t="s">
        <v>379</v>
      </c>
      <c r="C1091" s="104" t="n">
        <v>46021</v>
      </c>
      <c r="D1091" s="103" t="s">
        <v>101</v>
      </c>
      <c r="E1091" s="103" t="n">
        <v>49</v>
      </c>
      <c r="F1091" s="103" t="s">
        <v>171</v>
      </c>
      <c r="G1091" s="103" t="s">
        <v>89</v>
      </c>
      <c r="H1091" s="103" t="n">
        <v>3.3</v>
      </c>
      <c r="I1091" s="103" t="n">
        <v>166</v>
      </c>
      <c r="J1091" s="103" t="n">
        <v>0</v>
      </c>
      <c r="K1091" s="103" t="n">
        <v>20</v>
      </c>
      <c r="L1091" s="103" t="s">
        <v>93</v>
      </c>
      <c r="M1091" s="103" t="s">
        <v>65</v>
      </c>
      <c r="N1091" s="103" t="s">
        <v>77</v>
      </c>
      <c r="O1091" s="103" t="n">
        <v>56</v>
      </c>
      <c r="P1091" s="103" t="n">
        <v>10</v>
      </c>
      <c r="Q1091" s="103" t="n">
        <v>4</v>
      </c>
      <c r="R1091" s="103" t="s">
        <v>134</v>
      </c>
      <c r="S1091" s="103" t="n">
        <v>166</v>
      </c>
      <c r="T1091" s="103" t="n">
        <v>146</v>
      </c>
      <c r="U1091" s="103" t="s">
        <v>1727</v>
      </c>
      <c r="V1091" s="103" t="n">
        <v>2025</v>
      </c>
    </row>
    <row r="1092" customFormat="false" ht="14.25" hidden="false" customHeight="false" outlineLevel="0" collapsed="false">
      <c r="A1092" s="103" t="s">
        <v>1815</v>
      </c>
      <c r="B1092" s="103" t="s">
        <v>380</v>
      </c>
      <c r="C1092" s="104" t="n">
        <v>46021</v>
      </c>
      <c r="D1092" s="103" t="s">
        <v>105</v>
      </c>
      <c r="E1092" s="103" t="n">
        <v>38</v>
      </c>
      <c r="F1092" s="103" t="s">
        <v>170</v>
      </c>
      <c r="G1092" s="103" t="s">
        <v>83</v>
      </c>
      <c r="H1092" s="103" t="n">
        <v>3.9</v>
      </c>
      <c r="I1092" s="103" t="n">
        <v>798</v>
      </c>
      <c r="J1092" s="103" t="n">
        <v>30</v>
      </c>
      <c r="K1092" s="103" t="n">
        <v>10</v>
      </c>
      <c r="L1092" s="103" t="s">
        <v>95</v>
      </c>
      <c r="M1092" s="103" t="s">
        <v>65</v>
      </c>
      <c r="N1092" s="103" t="s">
        <v>78</v>
      </c>
      <c r="O1092" s="103" t="n">
        <v>63</v>
      </c>
      <c r="P1092" s="103" t="n">
        <v>5.9</v>
      </c>
      <c r="Q1092" s="103" t="n">
        <v>4</v>
      </c>
      <c r="R1092" s="103" t="s">
        <v>139</v>
      </c>
      <c r="S1092" s="103" t="n">
        <v>828</v>
      </c>
      <c r="T1092" s="103" t="n">
        <v>818</v>
      </c>
      <c r="U1092" s="103" t="s">
        <v>1727</v>
      </c>
      <c r="V1092" s="103" t="n">
        <v>2025</v>
      </c>
    </row>
    <row r="1093" customFormat="false" ht="14.25" hidden="false" customHeight="false" outlineLevel="0" collapsed="false">
      <c r="A1093" s="103" t="s">
        <v>1816</v>
      </c>
      <c r="B1093" s="103" t="s">
        <v>381</v>
      </c>
      <c r="C1093" s="104" t="n">
        <v>46021</v>
      </c>
      <c r="D1093" s="103" t="s">
        <v>111</v>
      </c>
      <c r="E1093" s="103" t="n">
        <v>25</v>
      </c>
      <c r="F1093" s="103" t="s">
        <v>171</v>
      </c>
      <c r="G1093" s="103" t="s">
        <v>88</v>
      </c>
      <c r="H1093" s="103" t="n">
        <v>2.6</v>
      </c>
      <c r="I1093" s="103" t="n">
        <v>1789</v>
      </c>
      <c r="J1093" s="103" t="n">
        <v>20</v>
      </c>
      <c r="K1093" s="103" t="n">
        <v>50</v>
      </c>
      <c r="L1093" s="103" t="s">
        <v>94</v>
      </c>
      <c r="M1093" s="103" t="s">
        <v>65</v>
      </c>
      <c r="N1093" s="103" t="s">
        <v>77</v>
      </c>
      <c r="O1093" s="103" t="n">
        <v>18</v>
      </c>
      <c r="P1093" s="103" t="n">
        <v>14.7</v>
      </c>
      <c r="Q1093" s="103" t="n">
        <v>3</v>
      </c>
      <c r="R1093" s="103" t="s">
        <v>141</v>
      </c>
      <c r="S1093" s="103" t="n">
        <v>1809</v>
      </c>
      <c r="T1093" s="103" t="n">
        <v>1759</v>
      </c>
      <c r="U1093" s="103" t="s">
        <v>1727</v>
      </c>
      <c r="V1093" s="103" t="n">
        <v>2025</v>
      </c>
    </row>
    <row r="1094" customFormat="false" ht="14.25" hidden="false" customHeight="false" outlineLevel="0" collapsed="false">
      <c r="A1094" s="103" t="s">
        <v>1817</v>
      </c>
      <c r="B1094" s="103" t="s">
        <v>382</v>
      </c>
      <c r="C1094" s="104" t="n">
        <v>46022</v>
      </c>
      <c r="D1094" s="103" t="s">
        <v>109</v>
      </c>
      <c r="E1094" s="103" t="n">
        <v>55</v>
      </c>
      <c r="F1094" s="103" t="s">
        <v>170</v>
      </c>
      <c r="G1094" s="103" t="s">
        <v>84</v>
      </c>
      <c r="H1094" s="103" t="n">
        <v>4.4</v>
      </c>
      <c r="I1094" s="103" t="n">
        <v>414</v>
      </c>
      <c r="J1094" s="103" t="n">
        <v>60</v>
      </c>
      <c r="K1094" s="103" t="n">
        <v>30</v>
      </c>
      <c r="L1094" s="103" t="s">
        <v>93</v>
      </c>
      <c r="M1094" s="103" t="s">
        <v>65</v>
      </c>
      <c r="N1094" s="103" t="s">
        <v>78</v>
      </c>
      <c r="O1094" s="103" t="n">
        <v>29</v>
      </c>
      <c r="P1094" s="103" t="n">
        <v>10.1</v>
      </c>
      <c r="Q1094" s="103" t="n">
        <v>5</v>
      </c>
      <c r="R1094" s="103" t="s">
        <v>131</v>
      </c>
      <c r="S1094" s="103" t="n">
        <v>474</v>
      </c>
      <c r="T1094" s="103" t="n">
        <v>444</v>
      </c>
      <c r="U1094" s="103" t="s">
        <v>1727</v>
      </c>
      <c r="V1094" s="103" t="n">
        <v>2025</v>
      </c>
    </row>
    <row r="1095" customFormat="false" ht="14.25" hidden="false" customHeight="false" outlineLevel="0" collapsed="false">
      <c r="A1095" s="103" t="s">
        <v>1818</v>
      </c>
      <c r="B1095" s="103" t="s">
        <v>383</v>
      </c>
      <c r="C1095" s="104" t="n">
        <v>46022</v>
      </c>
      <c r="D1095" s="103" t="s">
        <v>103</v>
      </c>
      <c r="E1095" s="103" t="n">
        <v>25</v>
      </c>
      <c r="F1095" s="103" t="s">
        <v>171</v>
      </c>
      <c r="G1095" s="103" t="s">
        <v>89</v>
      </c>
      <c r="H1095" s="103" t="n">
        <v>3.6</v>
      </c>
      <c r="I1095" s="103" t="n">
        <v>1250</v>
      </c>
      <c r="J1095" s="103" t="n">
        <v>40</v>
      </c>
      <c r="K1095" s="103" t="n">
        <v>150</v>
      </c>
      <c r="L1095" s="103" t="s">
        <v>94</v>
      </c>
      <c r="M1095" s="103" t="s">
        <v>67</v>
      </c>
      <c r="N1095" s="103" t="s">
        <v>77</v>
      </c>
      <c r="O1095" s="103" t="n">
        <v>65</v>
      </c>
      <c r="P1095" s="103" t="n">
        <v>14.4</v>
      </c>
      <c r="Q1095" s="103" t="n">
        <v>3</v>
      </c>
      <c r="R1095" s="103" t="s">
        <v>137</v>
      </c>
      <c r="S1095" s="103" t="n">
        <v>1290</v>
      </c>
      <c r="T1095" s="103" t="n">
        <v>1140</v>
      </c>
      <c r="U1095" s="103" t="s">
        <v>1727</v>
      </c>
      <c r="V1095" s="103" t="n">
        <v>2025</v>
      </c>
    </row>
    <row r="1096" customFormat="false" ht="14.25" hidden="false" customHeight="false" outlineLevel="0" collapsed="false">
      <c r="A1096" s="103" t="s">
        <v>1819</v>
      </c>
      <c r="B1096" s="103" t="s">
        <v>384</v>
      </c>
      <c r="C1096" s="104" t="n">
        <v>46022</v>
      </c>
      <c r="D1096" s="103" t="s">
        <v>101</v>
      </c>
      <c r="E1096" s="103" t="n">
        <v>20</v>
      </c>
      <c r="F1096" s="103" t="s">
        <v>171</v>
      </c>
      <c r="G1096" s="103" t="s">
        <v>81</v>
      </c>
      <c r="H1096" s="103" t="n">
        <v>2.6</v>
      </c>
      <c r="I1096" s="103" t="n">
        <v>411</v>
      </c>
      <c r="J1096" s="103" t="n">
        <v>0</v>
      </c>
      <c r="K1096" s="103" t="n">
        <v>100</v>
      </c>
      <c r="L1096" s="103" t="s">
        <v>93</v>
      </c>
      <c r="M1096" s="103" t="s">
        <v>66</v>
      </c>
      <c r="N1096" s="103" t="s">
        <v>77</v>
      </c>
      <c r="O1096" s="103" t="n">
        <v>41</v>
      </c>
      <c r="P1096" s="103" t="n">
        <v>3.4</v>
      </c>
      <c r="Q1096" s="103" t="n">
        <v>5</v>
      </c>
      <c r="R1096" s="103" t="s">
        <v>140</v>
      </c>
      <c r="S1096" s="103" t="n">
        <v>411</v>
      </c>
      <c r="T1096" s="103" t="n">
        <v>311</v>
      </c>
      <c r="U1096" s="103" t="s">
        <v>1727</v>
      </c>
      <c r="V1096" s="103" t="n">
        <v>2025</v>
      </c>
    </row>
    <row r="1097" customFormat="false" ht="14.25" hidden="false" customHeight="false" outlineLevel="0" collapsed="false">
      <c r="A1097" s="103" t="s">
        <v>1820</v>
      </c>
      <c r="B1097" s="103" t="s">
        <v>385</v>
      </c>
      <c r="C1097" s="104" t="n">
        <v>46023</v>
      </c>
      <c r="D1097" s="103" t="s">
        <v>102</v>
      </c>
      <c r="E1097" s="103" t="n">
        <v>20</v>
      </c>
      <c r="F1097" s="103" t="s">
        <v>171</v>
      </c>
      <c r="G1097" s="103" t="s">
        <v>82</v>
      </c>
      <c r="H1097" s="103" t="n">
        <v>2.7</v>
      </c>
      <c r="I1097" s="103" t="n">
        <v>1338</v>
      </c>
      <c r="J1097" s="103" t="n">
        <v>0</v>
      </c>
      <c r="K1097" s="103" t="n">
        <v>75</v>
      </c>
      <c r="L1097" s="103" t="s">
        <v>95</v>
      </c>
      <c r="M1097" s="103" t="s">
        <v>66</v>
      </c>
      <c r="N1097" s="103" t="s">
        <v>78</v>
      </c>
      <c r="O1097" s="103" t="n">
        <v>22</v>
      </c>
      <c r="P1097" s="103" t="n">
        <v>13</v>
      </c>
      <c r="Q1097" s="103" t="n">
        <v>5</v>
      </c>
      <c r="R1097" s="103" t="s">
        <v>135</v>
      </c>
      <c r="S1097" s="103" t="n">
        <v>1338</v>
      </c>
      <c r="T1097" s="103" t="n">
        <v>1263</v>
      </c>
      <c r="U1097" s="103" t="s">
        <v>714</v>
      </c>
      <c r="V1097" s="103" t="n">
        <v>2026</v>
      </c>
    </row>
    <row r="1098" customFormat="false" ht="14.25" hidden="false" customHeight="false" outlineLevel="0" collapsed="false">
      <c r="A1098" s="103" t="s">
        <v>1821</v>
      </c>
      <c r="B1098" s="103" t="s">
        <v>386</v>
      </c>
      <c r="C1098" s="104" t="n">
        <v>46023</v>
      </c>
      <c r="D1098" s="103" t="s">
        <v>103</v>
      </c>
      <c r="E1098" s="103" t="n">
        <v>39</v>
      </c>
      <c r="F1098" s="103" t="s">
        <v>171</v>
      </c>
      <c r="G1098" s="103" t="s">
        <v>86</v>
      </c>
      <c r="H1098" s="103" t="n">
        <v>3.5</v>
      </c>
      <c r="I1098" s="103" t="n">
        <v>969</v>
      </c>
      <c r="J1098" s="103" t="n">
        <v>60</v>
      </c>
      <c r="K1098" s="103" t="n">
        <v>10</v>
      </c>
      <c r="L1098" s="103" t="s">
        <v>95</v>
      </c>
      <c r="M1098" s="103" t="s">
        <v>65</v>
      </c>
      <c r="N1098" s="103" t="s">
        <v>78</v>
      </c>
      <c r="O1098" s="103" t="n">
        <v>37</v>
      </c>
      <c r="P1098" s="103" t="n">
        <v>5.2</v>
      </c>
      <c r="Q1098" s="103" t="n">
        <v>4</v>
      </c>
      <c r="R1098" s="103" t="s">
        <v>139</v>
      </c>
      <c r="S1098" s="103" t="n">
        <v>1029</v>
      </c>
      <c r="T1098" s="103" t="n">
        <v>1019</v>
      </c>
      <c r="U1098" s="103" t="s">
        <v>714</v>
      </c>
      <c r="V1098" s="103" t="n">
        <v>2026</v>
      </c>
    </row>
    <row r="1099" customFormat="false" ht="14.25" hidden="false" customHeight="false" outlineLevel="0" collapsed="false">
      <c r="A1099" s="103" t="s">
        <v>1822</v>
      </c>
      <c r="B1099" s="103" t="s">
        <v>387</v>
      </c>
      <c r="C1099" s="104" t="n">
        <v>46023</v>
      </c>
      <c r="D1099" s="103" t="s">
        <v>103</v>
      </c>
      <c r="E1099" s="103" t="n">
        <v>23</v>
      </c>
      <c r="F1099" s="103" t="s">
        <v>171</v>
      </c>
      <c r="G1099" s="103" t="s">
        <v>87</v>
      </c>
      <c r="H1099" s="103" t="n">
        <v>4</v>
      </c>
      <c r="I1099" s="103" t="n">
        <v>1262</v>
      </c>
      <c r="J1099" s="103" t="n">
        <v>0</v>
      </c>
      <c r="K1099" s="103" t="n">
        <v>20</v>
      </c>
      <c r="L1099" s="103" t="s">
        <v>94</v>
      </c>
      <c r="M1099" s="103" t="s">
        <v>65</v>
      </c>
      <c r="N1099" s="103" t="s">
        <v>77</v>
      </c>
      <c r="O1099" s="103" t="n">
        <v>29</v>
      </c>
      <c r="P1099" s="103" t="n">
        <v>14.8</v>
      </c>
      <c r="Q1099" s="103" t="n">
        <v>3</v>
      </c>
      <c r="R1099" s="103" t="s">
        <v>132</v>
      </c>
      <c r="S1099" s="103" t="n">
        <v>1262</v>
      </c>
      <c r="T1099" s="103" t="n">
        <v>1242</v>
      </c>
      <c r="U1099" s="103" t="s">
        <v>714</v>
      </c>
      <c r="V1099" s="103" t="n">
        <v>2026</v>
      </c>
    </row>
    <row r="1100" customFormat="false" ht="14.25" hidden="false" customHeight="false" outlineLevel="0" collapsed="false">
      <c r="A1100" s="103" t="s">
        <v>1823</v>
      </c>
      <c r="B1100" s="103" t="s">
        <v>388</v>
      </c>
      <c r="C1100" s="104" t="n">
        <v>46024</v>
      </c>
      <c r="D1100" s="103" t="s">
        <v>103</v>
      </c>
      <c r="E1100" s="103" t="n">
        <v>19</v>
      </c>
      <c r="F1100" s="103" t="s">
        <v>171</v>
      </c>
      <c r="G1100" s="103" t="s">
        <v>90</v>
      </c>
      <c r="H1100" s="103" t="n">
        <v>3.7</v>
      </c>
      <c r="I1100" s="103" t="n">
        <v>461</v>
      </c>
      <c r="J1100" s="103" t="n">
        <v>20</v>
      </c>
      <c r="K1100" s="103" t="n">
        <v>200</v>
      </c>
      <c r="L1100" s="103" t="s">
        <v>93</v>
      </c>
      <c r="M1100" s="103" t="s">
        <v>65</v>
      </c>
      <c r="N1100" s="103" t="s">
        <v>78</v>
      </c>
      <c r="O1100" s="103" t="n">
        <v>41</v>
      </c>
      <c r="P1100" s="103" t="n">
        <v>2.8</v>
      </c>
      <c r="Q1100" s="103" t="n">
        <v>5</v>
      </c>
      <c r="R1100" s="103" t="s">
        <v>132</v>
      </c>
      <c r="S1100" s="103" t="n">
        <v>481</v>
      </c>
      <c r="T1100" s="103" t="n">
        <v>281</v>
      </c>
      <c r="U1100" s="103" t="s">
        <v>714</v>
      </c>
      <c r="V1100" s="103" t="n">
        <v>2026</v>
      </c>
    </row>
    <row r="1101" customFormat="false" ht="14.25" hidden="false" customHeight="false" outlineLevel="0" collapsed="false">
      <c r="A1101" s="103" t="s">
        <v>1824</v>
      </c>
      <c r="B1101" s="103" t="s">
        <v>389</v>
      </c>
      <c r="C1101" s="104" t="n">
        <v>46024</v>
      </c>
      <c r="D1101" s="103" t="s">
        <v>102</v>
      </c>
      <c r="E1101" s="103" t="n">
        <v>40</v>
      </c>
      <c r="F1101" s="103" t="s">
        <v>170</v>
      </c>
      <c r="G1101" s="103" t="s">
        <v>89</v>
      </c>
      <c r="H1101" s="103" t="n">
        <v>4</v>
      </c>
      <c r="I1101" s="103" t="n">
        <v>1373</v>
      </c>
      <c r="J1101" s="103" t="n">
        <v>0</v>
      </c>
      <c r="K1101" s="103" t="n">
        <v>200</v>
      </c>
      <c r="L1101" s="103" t="s">
        <v>93</v>
      </c>
      <c r="M1101" s="103" t="s">
        <v>67</v>
      </c>
      <c r="N1101" s="103" t="s">
        <v>77</v>
      </c>
      <c r="O1101" s="103" t="n">
        <v>45</v>
      </c>
      <c r="P1101" s="103" t="n">
        <v>8</v>
      </c>
      <c r="Q1101" s="103" t="n">
        <v>3</v>
      </c>
      <c r="R1101" s="103" t="s">
        <v>131</v>
      </c>
      <c r="S1101" s="103" t="n">
        <v>1373</v>
      </c>
      <c r="T1101" s="103" t="n">
        <v>1173</v>
      </c>
      <c r="U1101" s="103" t="s">
        <v>714</v>
      </c>
      <c r="V1101" s="103" t="n">
        <v>2026</v>
      </c>
    </row>
    <row r="1102" customFormat="false" ht="14.25" hidden="false" customHeight="false" outlineLevel="0" collapsed="false">
      <c r="A1102" s="103" t="s">
        <v>1825</v>
      </c>
      <c r="B1102" s="103" t="s">
        <v>390</v>
      </c>
      <c r="C1102" s="104" t="n">
        <v>46024</v>
      </c>
      <c r="D1102" s="103" t="s">
        <v>111</v>
      </c>
      <c r="E1102" s="103" t="n">
        <v>19</v>
      </c>
      <c r="F1102" s="103" t="s">
        <v>172</v>
      </c>
      <c r="G1102" s="103" t="s">
        <v>85</v>
      </c>
      <c r="H1102" s="103" t="n">
        <v>3.7</v>
      </c>
      <c r="I1102" s="103" t="n">
        <v>1793</v>
      </c>
      <c r="J1102" s="103" t="n">
        <v>50</v>
      </c>
      <c r="K1102" s="103" t="n">
        <v>50</v>
      </c>
      <c r="L1102" s="103" t="s">
        <v>96</v>
      </c>
      <c r="M1102" s="103" t="s">
        <v>65</v>
      </c>
      <c r="N1102" s="103" t="s">
        <v>77</v>
      </c>
      <c r="O1102" s="103" t="n">
        <v>53</v>
      </c>
      <c r="P1102" s="103" t="n">
        <v>12</v>
      </c>
      <c r="Q1102" s="103" t="n">
        <v>3</v>
      </c>
      <c r="R1102" s="103" t="s">
        <v>140</v>
      </c>
      <c r="S1102" s="103" t="n">
        <v>1843</v>
      </c>
      <c r="T1102" s="103" t="n">
        <v>1793</v>
      </c>
      <c r="U1102" s="103" t="s">
        <v>714</v>
      </c>
      <c r="V1102" s="103" t="n">
        <v>2026</v>
      </c>
    </row>
    <row r="1103" customFormat="false" ht="14.25" hidden="false" customHeight="false" outlineLevel="0" collapsed="false">
      <c r="A1103" s="103" t="s">
        <v>1826</v>
      </c>
      <c r="B1103" s="103" t="s">
        <v>391</v>
      </c>
      <c r="C1103" s="104" t="n">
        <v>46025</v>
      </c>
      <c r="D1103" s="103" t="s">
        <v>104</v>
      </c>
      <c r="E1103" s="103" t="n">
        <v>55</v>
      </c>
      <c r="F1103" s="103" t="s">
        <v>170</v>
      </c>
      <c r="G1103" s="103" t="s">
        <v>81</v>
      </c>
      <c r="H1103" s="103" t="n">
        <v>4.2</v>
      </c>
      <c r="I1103" s="103" t="n">
        <v>1238</v>
      </c>
      <c r="J1103" s="103" t="n">
        <v>50</v>
      </c>
      <c r="K1103" s="103" t="n">
        <v>20</v>
      </c>
      <c r="L1103" s="103" t="s">
        <v>94</v>
      </c>
      <c r="M1103" s="103" t="s">
        <v>65</v>
      </c>
      <c r="N1103" s="103" t="s">
        <v>77</v>
      </c>
      <c r="O1103" s="103" t="n">
        <v>61</v>
      </c>
      <c r="P1103" s="103" t="n">
        <v>6.8</v>
      </c>
      <c r="Q1103" s="103" t="n">
        <v>3</v>
      </c>
      <c r="R1103" s="103" t="s">
        <v>136</v>
      </c>
      <c r="S1103" s="103" t="n">
        <v>1288</v>
      </c>
      <c r="T1103" s="103" t="n">
        <v>1268</v>
      </c>
      <c r="U1103" s="103" t="s">
        <v>714</v>
      </c>
      <c r="V1103" s="103" t="n">
        <v>2026</v>
      </c>
    </row>
    <row r="1104" customFormat="false" ht="14.25" hidden="false" customHeight="false" outlineLevel="0" collapsed="false">
      <c r="A1104" s="103" t="s">
        <v>1827</v>
      </c>
      <c r="B1104" s="103" t="s">
        <v>392</v>
      </c>
      <c r="C1104" s="104" t="n">
        <v>46025</v>
      </c>
      <c r="D1104" s="103" t="s">
        <v>106</v>
      </c>
      <c r="E1104" s="103" t="n">
        <v>34</v>
      </c>
      <c r="F1104" s="103" t="s">
        <v>170</v>
      </c>
      <c r="G1104" s="103" t="s">
        <v>83</v>
      </c>
      <c r="H1104" s="103" t="n">
        <v>3</v>
      </c>
      <c r="I1104" s="103" t="n">
        <v>949</v>
      </c>
      <c r="J1104" s="103" t="n">
        <v>0</v>
      </c>
      <c r="K1104" s="103" t="n">
        <v>10</v>
      </c>
      <c r="L1104" s="103" t="s">
        <v>94</v>
      </c>
      <c r="M1104" s="103" t="s">
        <v>65</v>
      </c>
      <c r="N1104" s="103" t="s">
        <v>77</v>
      </c>
      <c r="O1104" s="103" t="n">
        <v>22</v>
      </c>
      <c r="P1104" s="103" t="n">
        <v>7.3</v>
      </c>
      <c r="Q1104" s="103" t="n">
        <v>5</v>
      </c>
      <c r="R1104" s="103" t="s">
        <v>141</v>
      </c>
      <c r="S1104" s="103" t="n">
        <v>949</v>
      </c>
      <c r="T1104" s="103" t="n">
        <v>939</v>
      </c>
      <c r="U1104" s="103" t="s">
        <v>714</v>
      </c>
      <c r="V1104" s="103" t="n">
        <v>2026</v>
      </c>
    </row>
    <row r="1105" customFormat="false" ht="14.25" hidden="false" customHeight="false" outlineLevel="0" collapsed="false">
      <c r="A1105" s="103" t="s">
        <v>1828</v>
      </c>
      <c r="B1105" s="103" t="s">
        <v>393</v>
      </c>
      <c r="C1105" s="104" t="n">
        <v>46025</v>
      </c>
      <c r="D1105" s="103" t="s">
        <v>109</v>
      </c>
      <c r="E1105" s="103" t="n">
        <v>52</v>
      </c>
      <c r="F1105" s="103" t="s">
        <v>171</v>
      </c>
      <c r="G1105" s="103" t="s">
        <v>86</v>
      </c>
      <c r="H1105" s="103" t="n">
        <v>2.8</v>
      </c>
      <c r="I1105" s="103" t="n">
        <v>1671</v>
      </c>
      <c r="J1105" s="103" t="n">
        <v>60</v>
      </c>
      <c r="K1105" s="103" t="n">
        <v>150</v>
      </c>
      <c r="L1105" s="103" t="s">
        <v>94</v>
      </c>
      <c r="M1105" s="103" t="s">
        <v>67</v>
      </c>
      <c r="N1105" s="103" t="s">
        <v>77</v>
      </c>
      <c r="O1105" s="103" t="n">
        <v>44</v>
      </c>
      <c r="P1105" s="103" t="n">
        <v>14.8</v>
      </c>
      <c r="Q1105" s="103" t="n">
        <v>5</v>
      </c>
      <c r="R1105" s="103" t="s">
        <v>133</v>
      </c>
      <c r="S1105" s="103" t="n">
        <v>1731</v>
      </c>
      <c r="T1105" s="103" t="n">
        <v>1581</v>
      </c>
      <c r="U1105" s="103" t="s">
        <v>714</v>
      </c>
      <c r="V1105" s="103" t="n">
        <v>2026</v>
      </c>
    </row>
    <row r="1106" customFormat="false" ht="14.25" hidden="false" customHeight="false" outlineLevel="0" collapsed="false">
      <c r="A1106" s="103" t="s">
        <v>1829</v>
      </c>
      <c r="B1106" s="103" t="s">
        <v>394</v>
      </c>
      <c r="C1106" s="104" t="n">
        <v>46026</v>
      </c>
      <c r="D1106" s="103" t="s">
        <v>104</v>
      </c>
      <c r="E1106" s="103" t="n">
        <v>51</v>
      </c>
      <c r="F1106" s="103" t="s">
        <v>170</v>
      </c>
      <c r="G1106" s="103" t="s">
        <v>85</v>
      </c>
      <c r="H1106" s="103" t="n">
        <v>4</v>
      </c>
      <c r="I1106" s="103" t="n">
        <v>147</v>
      </c>
      <c r="J1106" s="103" t="n">
        <v>50</v>
      </c>
      <c r="K1106" s="103" t="n">
        <v>75</v>
      </c>
      <c r="L1106" s="103" t="s">
        <v>94</v>
      </c>
      <c r="M1106" s="103" t="s">
        <v>65</v>
      </c>
      <c r="N1106" s="103" t="s">
        <v>77</v>
      </c>
      <c r="O1106" s="103" t="n">
        <v>69</v>
      </c>
      <c r="P1106" s="103" t="n">
        <v>6.7</v>
      </c>
      <c r="Q1106" s="103" t="n">
        <v>4</v>
      </c>
      <c r="R1106" s="103" t="s">
        <v>142</v>
      </c>
      <c r="S1106" s="103" t="n">
        <v>197</v>
      </c>
      <c r="T1106" s="103" t="n">
        <v>122</v>
      </c>
      <c r="U1106" s="103" t="s">
        <v>714</v>
      </c>
      <c r="V1106" s="103" t="n">
        <v>2026</v>
      </c>
    </row>
    <row r="1107" customFormat="false" ht="14.25" hidden="false" customHeight="false" outlineLevel="0" collapsed="false">
      <c r="A1107" s="103" t="s">
        <v>1830</v>
      </c>
      <c r="B1107" s="103" t="s">
        <v>395</v>
      </c>
      <c r="C1107" s="104" t="n">
        <v>46026</v>
      </c>
      <c r="D1107" s="103" t="s">
        <v>109</v>
      </c>
      <c r="E1107" s="103" t="n">
        <v>40</v>
      </c>
      <c r="F1107" s="103" t="s">
        <v>171</v>
      </c>
      <c r="G1107" s="103" t="s">
        <v>83</v>
      </c>
      <c r="H1107" s="103" t="n">
        <v>3.7</v>
      </c>
      <c r="I1107" s="103" t="n">
        <v>1346</v>
      </c>
      <c r="J1107" s="103" t="n">
        <v>40</v>
      </c>
      <c r="K1107" s="103" t="n">
        <v>100</v>
      </c>
      <c r="L1107" s="103" t="s">
        <v>93</v>
      </c>
      <c r="M1107" s="103" t="s">
        <v>65</v>
      </c>
      <c r="N1107" s="103" t="s">
        <v>77</v>
      </c>
      <c r="O1107" s="103" t="n">
        <v>56</v>
      </c>
      <c r="P1107" s="103" t="n">
        <v>9.3</v>
      </c>
      <c r="Q1107" s="103" t="n">
        <v>2</v>
      </c>
      <c r="R1107" s="103" t="s">
        <v>138</v>
      </c>
      <c r="S1107" s="103" t="n">
        <v>1386</v>
      </c>
      <c r="T1107" s="103" t="n">
        <v>1286</v>
      </c>
      <c r="U1107" s="103" t="s">
        <v>714</v>
      </c>
      <c r="V1107" s="103" t="n">
        <v>2026</v>
      </c>
    </row>
    <row r="1108" customFormat="false" ht="14.25" hidden="false" customHeight="false" outlineLevel="0" collapsed="false">
      <c r="A1108" s="103" t="s">
        <v>1831</v>
      </c>
      <c r="B1108" s="103" t="s">
        <v>396</v>
      </c>
      <c r="C1108" s="104" t="n">
        <v>46026</v>
      </c>
      <c r="D1108" s="103" t="s">
        <v>110</v>
      </c>
      <c r="E1108" s="103" t="n">
        <v>47</v>
      </c>
      <c r="F1108" s="103" t="s">
        <v>170</v>
      </c>
      <c r="G1108" s="103" t="s">
        <v>90</v>
      </c>
      <c r="H1108" s="103" t="n">
        <v>2.6</v>
      </c>
      <c r="I1108" s="103" t="n">
        <v>1613</v>
      </c>
      <c r="J1108" s="103" t="n">
        <v>50</v>
      </c>
      <c r="K1108" s="103" t="n">
        <v>0</v>
      </c>
      <c r="L1108" s="103" t="s">
        <v>93</v>
      </c>
      <c r="M1108" s="103" t="s">
        <v>67</v>
      </c>
      <c r="N1108" s="103" t="s">
        <v>78</v>
      </c>
      <c r="O1108" s="103" t="n">
        <v>32</v>
      </c>
      <c r="P1108" s="103" t="n">
        <v>1.3</v>
      </c>
      <c r="Q1108" s="103" t="n">
        <v>4</v>
      </c>
      <c r="R1108" s="103" t="s">
        <v>138</v>
      </c>
      <c r="S1108" s="103" t="n">
        <v>1663</v>
      </c>
      <c r="T1108" s="103" t="n">
        <v>1663</v>
      </c>
      <c r="U1108" s="103" t="s">
        <v>714</v>
      </c>
      <c r="V1108" s="103" t="n">
        <v>2026</v>
      </c>
    </row>
    <row r="1109" customFormat="false" ht="14.25" hidden="false" customHeight="false" outlineLevel="0" collapsed="false">
      <c r="A1109" s="103" t="s">
        <v>1832</v>
      </c>
      <c r="B1109" s="103" t="s">
        <v>397</v>
      </c>
      <c r="C1109" s="104" t="n">
        <v>46027</v>
      </c>
      <c r="D1109" s="103" t="s">
        <v>105</v>
      </c>
      <c r="E1109" s="103" t="n">
        <v>25</v>
      </c>
      <c r="F1109" s="103" t="s">
        <v>172</v>
      </c>
      <c r="G1109" s="103" t="s">
        <v>84</v>
      </c>
      <c r="H1109" s="103" t="n">
        <v>3.5</v>
      </c>
      <c r="I1109" s="103" t="n">
        <v>224</v>
      </c>
      <c r="J1109" s="103" t="n">
        <v>0</v>
      </c>
      <c r="K1109" s="103" t="n">
        <v>0</v>
      </c>
      <c r="L1109" s="103" t="s">
        <v>93</v>
      </c>
      <c r="M1109" s="103" t="s">
        <v>67</v>
      </c>
      <c r="N1109" s="103" t="s">
        <v>77</v>
      </c>
      <c r="O1109" s="103" t="n">
        <v>18</v>
      </c>
      <c r="P1109" s="103" t="n">
        <v>12.7</v>
      </c>
      <c r="Q1109" s="103" t="n">
        <v>5</v>
      </c>
      <c r="R1109" s="103" t="s">
        <v>141</v>
      </c>
      <c r="S1109" s="103" t="n">
        <v>224</v>
      </c>
      <c r="T1109" s="103" t="n">
        <v>224</v>
      </c>
      <c r="U1109" s="103" t="s">
        <v>714</v>
      </c>
      <c r="V1109" s="103" t="n">
        <v>2026</v>
      </c>
    </row>
    <row r="1110" customFormat="false" ht="14.25" hidden="false" customHeight="false" outlineLevel="0" collapsed="false">
      <c r="A1110" s="103" t="s">
        <v>1833</v>
      </c>
      <c r="B1110" s="103" t="s">
        <v>398</v>
      </c>
      <c r="C1110" s="104" t="n">
        <v>46027</v>
      </c>
      <c r="D1110" s="103" t="s">
        <v>105</v>
      </c>
      <c r="E1110" s="103" t="n">
        <v>39</v>
      </c>
      <c r="F1110" s="103" t="s">
        <v>170</v>
      </c>
      <c r="G1110" s="103" t="s">
        <v>88</v>
      </c>
      <c r="H1110" s="103" t="n">
        <v>2.8</v>
      </c>
      <c r="I1110" s="103" t="n">
        <v>876</v>
      </c>
      <c r="J1110" s="103" t="n">
        <v>60</v>
      </c>
      <c r="K1110" s="103" t="n">
        <v>10</v>
      </c>
      <c r="L1110" s="103" t="s">
        <v>95</v>
      </c>
      <c r="M1110" s="103" t="s">
        <v>66</v>
      </c>
      <c r="N1110" s="103" t="s">
        <v>77</v>
      </c>
      <c r="O1110" s="103" t="n">
        <v>61</v>
      </c>
      <c r="P1110" s="103" t="n">
        <v>9.9</v>
      </c>
      <c r="Q1110" s="103" t="n">
        <v>3</v>
      </c>
      <c r="R1110" s="103" t="s">
        <v>142</v>
      </c>
      <c r="S1110" s="103" t="n">
        <v>936</v>
      </c>
      <c r="T1110" s="103" t="n">
        <v>926</v>
      </c>
      <c r="U1110" s="103" t="s">
        <v>714</v>
      </c>
      <c r="V1110" s="103" t="n">
        <v>2026</v>
      </c>
    </row>
    <row r="1111" customFormat="false" ht="14.25" hidden="false" customHeight="false" outlineLevel="0" collapsed="false">
      <c r="A1111" s="103" t="s">
        <v>1834</v>
      </c>
      <c r="B1111" s="103" t="s">
        <v>399</v>
      </c>
      <c r="C1111" s="104" t="n">
        <v>46027</v>
      </c>
      <c r="D1111" s="103" t="s">
        <v>108</v>
      </c>
      <c r="E1111" s="103" t="n">
        <v>53</v>
      </c>
      <c r="F1111" s="103" t="s">
        <v>172</v>
      </c>
      <c r="G1111" s="103" t="s">
        <v>87</v>
      </c>
      <c r="H1111" s="103" t="n">
        <v>3.8</v>
      </c>
      <c r="I1111" s="103" t="n">
        <v>464</v>
      </c>
      <c r="J1111" s="103" t="n">
        <v>30</v>
      </c>
      <c r="K1111" s="103" t="n">
        <v>20</v>
      </c>
      <c r="L1111" s="103" t="s">
        <v>93</v>
      </c>
      <c r="M1111" s="103" t="s">
        <v>65</v>
      </c>
      <c r="N1111" s="103" t="s">
        <v>77</v>
      </c>
      <c r="O1111" s="103" t="n">
        <v>57</v>
      </c>
      <c r="P1111" s="103" t="n">
        <v>6.4</v>
      </c>
      <c r="Q1111" s="103" t="n">
        <v>3</v>
      </c>
      <c r="R1111" s="103" t="s">
        <v>139</v>
      </c>
      <c r="S1111" s="103" t="n">
        <v>494</v>
      </c>
      <c r="T1111" s="103" t="n">
        <v>474</v>
      </c>
      <c r="U1111" s="103" t="s">
        <v>714</v>
      </c>
      <c r="V1111" s="103" t="n">
        <v>2026</v>
      </c>
    </row>
    <row r="1112" customFormat="false" ht="14.25" hidden="false" customHeight="false" outlineLevel="0" collapsed="false">
      <c r="A1112" s="103" t="s">
        <v>1835</v>
      </c>
      <c r="B1112" s="103" t="s">
        <v>400</v>
      </c>
      <c r="C1112" s="104" t="n">
        <v>46028</v>
      </c>
      <c r="D1112" s="103" t="s">
        <v>105</v>
      </c>
      <c r="E1112" s="103" t="n">
        <v>22</v>
      </c>
      <c r="F1112" s="103" t="s">
        <v>170</v>
      </c>
      <c r="G1112" s="103" t="s">
        <v>82</v>
      </c>
      <c r="H1112" s="103" t="n">
        <v>3.5</v>
      </c>
      <c r="I1112" s="103" t="n">
        <v>1072</v>
      </c>
      <c r="J1112" s="103" t="n">
        <v>60</v>
      </c>
      <c r="K1112" s="103" t="n">
        <v>0</v>
      </c>
      <c r="L1112" s="103" t="s">
        <v>93</v>
      </c>
      <c r="M1112" s="103" t="s">
        <v>67</v>
      </c>
      <c r="N1112" s="103" t="s">
        <v>78</v>
      </c>
      <c r="O1112" s="103" t="n">
        <v>36</v>
      </c>
      <c r="P1112" s="103" t="n">
        <v>0.7</v>
      </c>
      <c r="Q1112" s="103" t="n">
        <v>5</v>
      </c>
      <c r="R1112" s="103" t="s">
        <v>134</v>
      </c>
      <c r="S1112" s="103" t="n">
        <v>1132</v>
      </c>
      <c r="T1112" s="103" t="n">
        <v>1132</v>
      </c>
      <c r="U1112" s="103" t="s">
        <v>714</v>
      </c>
      <c r="V1112" s="103" t="n">
        <v>2026</v>
      </c>
    </row>
    <row r="1113" customFormat="false" ht="14.25" hidden="false" customHeight="false" outlineLevel="0" collapsed="false">
      <c r="A1113" s="103" t="s">
        <v>1836</v>
      </c>
      <c r="B1113" s="103" t="s">
        <v>401</v>
      </c>
      <c r="C1113" s="104" t="n">
        <v>46028</v>
      </c>
      <c r="D1113" s="103" t="s">
        <v>102</v>
      </c>
      <c r="E1113" s="103" t="n">
        <v>30</v>
      </c>
      <c r="F1113" s="103" t="s">
        <v>171</v>
      </c>
      <c r="G1113" s="103" t="s">
        <v>83</v>
      </c>
      <c r="H1113" s="103" t="n">
        <v>4</v>
      </c>
      <c r="I1113" s="103" t="n">
        <v>1211</v>
      </c>
      <c r="J1113" s="103" t="n">
        <v>60</v>
      </c>
      <c r="K1113" s="103" t="n">
        <v>50</v>
      </c>
      <c r="L1113" s="103" t="s">
        <v>95</v>
      </c>
      <c r="M1113" s="103" t="s">
        <v>65</v>
      </c>
      <c r="N1113" s="103" t="s">
        <v>77</v>
      </c>
      <c r="O1113" s="103" t="n">
        <v>17</v>
      </c>
      <c r="P1113" s="103" t="n">
        <v>9.1</v>
      </c>
      <c r="Q1113" s="103" t="n">
        <v>5</v>
      </c>
      <c r="R1113" s="103" t="s">
        <v>139</v>
      </c>
      <c r="S1113" s="103" t="n">
        <v>1271</v>
      </c>
      <c r="T1113" s="103" t="n">
        <v>1221</v>
      </c>
      <c r="U1113" s="103" t="s">
        <v>714</v>
      </c>
      <c r="V1113" s="103" t="n">
        <v>2026</v>
      </c>
    </row>
    <row r="1114" customFormat="false" ht="14.25" hidden="false" customHeight="false" outlineLevel="0" collapsed="false">
      <c r="A1114" s="103" t="s">
        <v>1837</v>
      </c>
      <c r="B1114" s="103" t="s">
        <v>402</v>
      </c>
      <c r="C1114" s="104" t="n">
        <v>46028</v>
      </c>
      <c r="D1114" s="103" t="s">
        <v>107</v>
      </c>
      <c r="E1114" s="103" t="n">
        <v>46</v>
      </c>
      <c r="F1114" s="103" t="s">
        <v>171</v>
      </c>
      <c r="G1114" s="103" t="s">
        <v>86</v>
      </c>
      <c r="H1114" s="103" t="n">
        <v>4.5</v>
      </c>
      <c r="I1114" s="103" t="n">
        <v>628</v>
      </c>
      <c r="J1114" s="103" t="n">
        <v>60</v>
      </c>
      <c r="K1114" s="103" t="n">
        <v>20</v>
      </c>
      <c r="L1114" s="103" t="s">
        <v>93</v>
      </c>
      <c r="M1114" s="103" t="s">
        <v>65</v>
      </c>
      <c r="N1114" s="103" t="s">
        <v>77</v>
      </c>
      <c r="O1114" s="103" t="n">
        <v>29</v>
      </c>
      <c r="P1114" s="103" t="n">
        <v>0.7</v>
      </c>
      <c r="Q1114" s="103" t="n">
        <v>5</v>
      </c>
      <c r="R1114" s="103" t="s">
        <v>132</v>
      </c>
      <c r="S1114" s="103" t="n">
        <v>688</v>
      </c>
      <c r="T1114" s="103" t="n">
        <v>668</v>
      </c>
      <c r="U1114" s="103" t="s">
        <v>714</v>
      </c>
      <c r="V1114" s="103" t="n">
        <v>2026</v>
      </c>
    </row>
    <row r="1115" customFormat="false" ht="14.25" hidden="false" customHeight="false" outlineLevel="0" collapsed="false">
      <c r="A1115" s="103" t="s">
        <v>1838</v>
      </c>
      <c r="B1115" s="103" t="s">
        <v>403</v>
      </c>
      <c r="C1115" s="104" t="n">
        <v>46029</v>
      </c>
      <c r="D1115" s="103" t="s">
        <v>100</v>
      </c>
      <c r="E1115" s="103" t="n">
        <v>48</v>
      </c>
      <c r="F1115" s="103" t="s">
        <v>170</v>
      </c>
      <c r="G1115" s="103" t="s">
        <v>89</v>
      </c>
      <c r="H1115" s="103" t="n">
        <v>3.2</v>
      </c>
      <c r="I1115" s="103" t="n">
        <v>893</v>
      </c>
      <c r="J1115" s="103" t="n">
        <v>40</v>
      </c>
      <c r="K1115" s="103" t="n">
        <v>0</v>
      </c>
      <c r="L1115" s="103" t="s">
        <v>95</v>
      </c>
      <c r="M1115" s="103" t="s">
        <v>65</v>
      </c>
      <c r="N1115" s="103" t="s">
        <v>77</v>
      </c>
      <c r="O1115" s="103" t="n">
        <v>49</v>
      </c>
      <c r="P1115" s="103" t="n">
        <v>0.5</v>
      </c>
      <c r="Q1115" s="103" t="n">
        <v>5</v>
      </c>
      <c r="R1115" s="103" t="s">
        <v>133</v>
      </c>
      <c r="S1115" s="103" t="n">
        <v>933</v>
      </c>
      <c r="T1115" s="103" t="n">
        <v>933</v>
      </c>
      <c r="U1115" s="103" t="s">
        <v>714</v>
      </c>
      <c r="V1115" s="103" t="n">
        <v>2026</v>
      </c>
    </row>
    <row r="1116" customFormat="false" ht="14.25" hidden="false" customHeight="false" outlineLevel="0" collapsed="false">
      <c r="A1116" s="103" t="s">
        <v>1839</v>
      </c>
      <c r="B1116" s="103" t="s">
        <v>404</v>
      </c>
      <c r="C1116" s="104" t="n">
        <v>46029</v>
      </c>
      <c r="D1116" s="103" t="s">
        <v>108</v>
      </c>
      <c r="E1116" s="103" t="n">
        <v>33</v>
      </c>
      <c r="F1116" s="103" t="s">
        <v>171</v>
      </c>
      <c r="G1116" s="103" t="s">
        <v>84</v>
      </c>
      <c r="H1116" s="103" t="n">
        <v>4.9</v>
      </c>
      <c r="I1116" s="103" t="n">
        <v>589</v>
      </c>
      <c r="J1116" s="103" t="n">
        <v>20</v>
      </c>
      <c r="K1116" s="103" t="n">
        <v>150</v>
      </c>
      <c r="L1116" s="103" t="s">
        <v>93</v>
      </c>
      <c r="M1116" s="103" t="s">
        <v>65</v>
      </c>
      <c r="N1116" s="103" t="s">
        <v>78</v>
      </c>
      <c r="O1116" s="103" t="n">
        <v>61</v>
      </c>
      <c r="P1116" s="103" t="n">
        <v>9.4</v>
      </c>
      <c r="Q1116" s="103" t="n">
        <v>3</v>
      </c>
      <c r="R1116" s="103" t="s">
        <v>132</v>
      </c>
      <c r="S1116" s="103" t="n">
        <v>609</v>
      </c>
      <c r="T1116" s="103" t="n">
        <v>459</v>
      </c>
      <c r="U1116" s="103" t="s">
        <v>714</v>
      </c>
      <c r="V1116" s="103" t="n">
        <v>2026</v>
      </c>
    </row>
    <row r="1117" customFormat="false" ht="14.25" hidden="false" customHeight="false" outlineLevel="0" collapsed="false">
      <c r="A1117" s="103" t="s">
        <v>1840</v>
      </c>
      <c r="B1117" s="103" t="s">
        <v>405</v>
      </c>
      <c r="C1117" s="104" t="n">
        <v>46029</v>
      </c>
      <c r="D1117" s="103" t="s">
        <v>100</v>
      </c>
      <c r="E1117" s="103" t="n">
        <v>59</v>
      </c>
      <c r="F1117" s="103" t="s">
        <v>170</v>
      </c>
      <c r="G1117" s="103" t="s">
        <v>89</v>
      </c>
      <c r="H1117" s="103" t="n">
        <v>3.8</v>
      </c>
      <c r="I1117" s="103" t="n">
        <v>741</v>
      </c>
      <c r="J1117" s="103" t="n">
        <v>0</v>
      </c>
      <c r="K1117" s="103" t="n">
        <v>75</v>
      </c>
      <c r="L1117" s="103" t="s">
        <v>93</v>
      </c>
      <c r="M1117" s="103" t="s">
        <v>67</v>
      </c>
      <c r="N1117" s="103" t="s">
        <v>77</v>
      </c>
      <c r="O1117" s="103" t="n">
        <v>52</v>
      </c>
      <c r="P1117" s="103" t="n">
        <v>3.2</v>
      </c>
      <c r="Q1117" s="103" t="n">
        <v>3</v>
      </c>
      <c r="R1117" s="103" t="s">
        <v>137</v>
      </c>
      <c r="S1117" s="103" t="n">
        <v>741</v>
      </c>
      <c r="T1117" s="103" t="n">
        <v>666</v>
      </c>
      <c r="U1117" s="103" t="s">
        <v>714</v>
      </c>
      <c r="V1117" s="103" t="n">
        <v>2026</v>
      </c>
    </row>
    <row r="1118" customFormat="false" ht="14.25" hidden="false" customHeight="false" outlineLevel="0" collapsed="false">
      <c r="A1118" s="103" t="s">
        <v>1841</v>
      </c>
      <c r="B1118" s="103" t="s">
        <v>406</v>
      </c>
      <c r="C1118" s="104" t="n">
        <v>46030</v>
      </c>
      <c r="D1118" s="103" t="s">
        <v>109</v>
      </c>
      <c r="E1118" s="103" t="n">
        <v>47</v>
      </c>
      <c r="F1118" s="103" t="s">
        <v>172</v>
      </c>
      <c r="G1118" s="103" t="s">
        <v>86</v>
      </c>
      <c r="H1118" s="103" t="n">
        <v>4</v>
      </c>
      <c r="I1118" s="103" t="n">
        <v>388</v>
      </c>
      <c r="J1118" s="103" t="n">
        <v>20</v>
      </c>
      <c r="K1118" s="103" t="n">
        <v>200</v>
      </c>
      <c r="L1118" s="103" t="s">
        <v>93</v>
      </c>
      <c r="M1118" s="103" t="s">
        <v>67</v>
      </c>
      <c r="N1118" s="103" t="s">
        <v>77</v>
      </c>
      <c r="O1118" s="103" t="n">
        <v>47</v>
      </c>
      <c r="P1118" s="103" t="n">
        <v>3.3</v>
      </c>
      <c r="Q1118" s="103" t="n">
        <v>4</v>
      </c>
      <c r="R1118" s="103" t="s">
        <v>132</v>
      </c>
      <c r="S1118" s="103" t="n">
        <v>408</v>
      </c>
      <c r="T1118" s="103" t="n">
        <v>208</v>
      </c>
      <c r="U1118" s="103" t="s">
        <v>714</v>
      </c>
      <c r="V1118" s="103" t="n">
        <v>2026</v>
      </c>
    </row>
    <row r="1119" customFormat="false" ht="14.25" hidden="false" customHeight="false" outlineLevel="0" collapsed="false">
      <c r="A1119" s="103" t="s">
        <v>1842</v>
      </c>
      <c r="B1119" s="103" t="s">
        <v>407</v>
      </c>
      <c r="C1119" s="104" t="n">
        <v>46030</v>
      </c>
      <c r="D1119" s="103" t="s">
        <v>100</v>
      </c>
      <c r="E1119" s="103" t="n">
        <v>33</v>
      </c>
      <c r="F1119" s="103" t="s">
        <v>171</v>
      </c>
      <c r="G1119" s="103" t="s">
        <v>89</v>
      </c>
      <c r="H1119" s="103" t="n">
        <v>4.2</v>
      </c>
      <c r="I1119" s="103" t="n">
        <v>1608</v>
      </c>
      <c r="J1119" s="103" t="n">
        <v>30</v>
      </c>
      <c r="K1119" s="103" t="n">
        <v>20</v>
      </c>
      <c r="L1119" s="103" t="s">
        <v>93</v>
      </c>
      <c r="M1119" s="103" t="s">
        <v>65</v>
      </c>
      <c r="N1119" s="103" t="s">
        <v>77</v>
      </c>
      <c r="O1119" s="103" t="n">
        <v>28</v>
      </c>
      <c r="P1119" s="103" t="n">
        <v>10</v>
      </c>
      <c r="Q1119" s="103" t="n">
        <v>4</v>
      </c>
      <c r="R1119" s="103" t="s">
        <v>138</v>
      </c>
      <c r="S1119" s="103" t="n">
        <v>1638</v>
      </c>
      <c r="T1119" s="103" t="n">
        <v>1618</v>
      </c>
      <c r="U1119" s="103" t="s">
        <v>714</v>
      </c>
      <c r="V1119" s="103" t="n">
        <v>2026</v>
      </c>
    </row>
    <row r="1120" customFormat="false" ht="14.25" hidden="false" customHeight="false" outlineLevel="0" collapsed="false">
      <c r="A1120" s="103" t="s">
        <v>1843</v>
      </c>
      <c r="B1120" s="103" t="s">
        <v>408</v>
      </c>
      <c r="C1120" s="104" t="n">
        <v>46030</v>
      </c>
      <c r="D1120" s="103" t="s">
        <v>100</v>
      </c>
      <c r="E1120" s="103" t="n">
        <v>29</v>
      </c>
      <c r="F1120" s="103" t="s">
        <v>170</v>
      </c>
      <c r="G1120" s="103" t="s">
        <v>83</v>
      </c>
      <c r="H1120" s="103" t="n">
        <v>4.2</v>
      </c>
      <c r="I1120" s="103" t="n">
        <v>137</v>
      </c>
      <c r="J1120" s="103" t="n">
        <v>20</v>
      </c>
      <c r="K1120" s="103" t="n">
        <v>200</v>
      </c>
      <c r="L1120" s="103" t="s">
        <v>96</v>
      </c>
      <c r="M1120" s="103" t="s">
        <v>66</v>
      </c>
      <c r="N1120" s="103" t="s">
        <v>78</v>
      </c>
      <c r="O1120" s="103" t="n">
        <v>62</v>
      </c>
      <c r="P1120" s="103" t="n">
        <v>1.3</v>
      </c>
      <c r="Q1120" s="103" t="n">
        <v>5</v>
      </c>
      <c r="R1120" s="103" t="s">
        <v>138</v>
      </c>
      <c r="S1120" s="103" t="n">
        <v>157</v>
      </c>
      <c r="T1120" s="103" t="n">
        <v>0</v>
      </c>
      <c r="U1120" s="103" t="s">
        <v>714</v>
      </c>
      <c r="V1120" s="103" t="n">
        <v>2026</v>
      </c>
    </row>
    <row r="1121" customFormat="false" ht="14.25" hidden="false" customHeight="false" outlineLevel="0" collapsed="false">
      <c r="A1121" s="103" t="s">
        <v>1844</v>
      </c>
      <c r="B1121" s="103" t="s">
        <v>409</v>
      </c>
      <c r="C1121" s="104" t="n">
        <v>46031</v>
      </c>
      <c r="D1121" s="103" t="s">
        <v>108</v>
      </c>
      <c r="E1121" s="103" t="n">
        <v>34</v>
      </c>
      <c r="F1121" s="103" t="s">
        <v>170</v>
      </c>
      <c r="G1121" s="103" t="s">
        <v>81</v>
      </c>
      <c r="H1121" s="103" t="n">
        <v>3.8</v>
      </c>
      <c r="I1121" s="103" t="n">
        <v>1602</v>
      </c>
      <c r="J1121" s="103" t="n">
        <v>0</v>
      </c>
      <c r="K1121" s="103" t="n">
        <v>200</v>
      </c>
      <c r="L1121" s="103" t="s">
        <v>94</v>
      </c>
      <c r="M1121" s="103" t="s">
        <v>66</v>
      </c>
      <c r="N1121" s="103" t="s">
        <v>78</v>
      </c>
      <c r="O1121" s="103" t="n">
        <v>15</v>
      </c>
      <c r="P1121" s="103" t="n">
        <v>5</v>
      </c>
      <c r="Q1121" s="103" t="n">
        <v>5</v>
      </c>
      <c r="R1121" s="103" t="s">
        <v>133</v>
      </c>
      <c r="S1121" s="103" t="n">
        <v>1602</v>
      </c>
      <c r="T1121" s="103" t="n">
        <v>1402</v>
      </c>
      <c r="U1121" s="103" t="s">
        <v>714</v>
      </c>
      <c r="V1121" s="103" t="n">
        <v>2026</v>
      </c>
    </row>
    <row r="1122" customFormat="false" ht="14.25" hidden="false" customHeight="false" outlineLevel="0" collapsed="false">
      <c r="A1122" s="103" t="s">
        <v>1845</v>
      </c>
      <c r="B1122" s="103" t="s">
        <v>410</v>
      </c>
      <c r="C1122" s="104" t="n">
        <v>46031</v>
      </c>
      <c r="D1122" s="103" t="s">
        <v>110</v>
      </c>
      <c r="E1122" s="103" t="n">
        <v>33</v>
      </c>
      <c r="F1122" s="103" t="s">
        <v>170</v>
      </c>
      <c r="G1122" s="103" t="s">
        <v>89</v>
      </c>
      <c r="H1122" s="103" t="n">
        <v>3.6</v>
      </c>
      <c r="I1122" s="103" t="n">
        <v>1080</v>
      </c>
      <c r="J1122" s="103" t="n">
        <v>0</v>
      </c>
      <c r="K1122" s="103" t="n">
        <v>0</v>
      </c>
      <c r="L1122" s="103" t="s">
        <v>93</v>
      </c>
      <c r="M1122" s="103" t="s">
        <v>66</v>
      </c>
      <c r="N1122" s="103" t="s">
        <v>78</v>
      </c>
      <c r="O1122" s="103" t="n">
        <v>67</v>
      </c>
      <c r="P1122" s="103" t="n">
        <v>2.7</v>
      </c>
      <c r="Q1122" s="103" t="n">
        <v>5</v>
      </c>
      <c r="R1122" s="103" t="s">
        <v>132</v>
      </c>
      <c r="S1122" s="103" t="n">
        <v>1080</v>
      </c>
      <c r="T1122" s="103" t="n">
        <v>1080</v>
      </c>
      <c r="U1122" s="103" t="s">
        <v>714</v>
      </c>
      <c r="V1122" s="103" t="n">
        <v>2026</v>
      </c>
    </row>
    <row r="1123" customFormat="false" ht="14.25" hidden="false" customHeight="false" outlineLevel="0" collapsed="false">
      <c r="A1123" s="103" t="s">
        <v>1846</v>
      </c>
      <c r="B1123" s="103" t="s">
        <v>411</v>
      </c>
      <c r="C1123" s="104" t="n">
        <v>46031</v>
      </c>
      <c r="D1123" s="103" t="s">
        <v>103</v>
      </c>
      <c r="E1123" s="103" t="n">
        <v>29</v>
      </c>
      <c r="F1123" s="103" t="s">
        <v>170</v>
      </c>
      <c r="G1123" s="103" t="s">
        <v>88</v>
      </c>
      <c r="H1123" s="103" t="n">
        <v>2.6</v>
      </c>
      <c r="I1123" s="103" t="n">
        <v>677</v>
      </c>
      <c r="J1123" s="103" t="n">
        <v>30</v>
      </c>
      <c r="K1123" s="103" t="n">
        <v>20</v>
      </c>
      <c r="L1123" s="103" t="s">
        <v>93</v>
      </c>
      <c r="M1123" s="103" t="s">
        <v>65</v>
      </c>
      <c r="N1123" s="103" t="s">
        <v>77</v>
      </c>
      <c r="O1123" s="103" t="n">
        <v>63</v>
      </c>
      <c r="P1123" s="103" t="n">
        <v>8.9</v>
      </c>
      <c r="Q1123" s="103" t="n">
        <v>3</v>
      </c>
      <c r="R1123" s="103" t="s">
        <v>141</v>
      </c>
      <c r="S1123" s="103" t="n">
        <v>707</v>
      </c>
      <c r="T1123" s="103" t="n">
        <v>687</v>
      </c>
      <c r="U1123" s="103" t="s">
        <v>714</v>
      </c>
      <c r="V1123" s="103" t="n">
        <v>2026</v>
      </c>
    </row>
    <row r="1124" customFormat="false" ht="14.25" hidden="false" customHeight="false" outlineLevel="0" collapsed="false">
      <c r="A1124" s="103" t="s">
        <v>1847</v>
      </c>
      <c r="B1124" s="103" t="s">
        <v>412</v>
      </c>
      <c r="C1124" s="104" t="n">
        <v>46032</v>
      </c>
      <c r="D1124" s="103" t="s">
        <v>105</v>
      </c>
      <c r="E1124" s="103" t="n">
        <v>25</v>
      </c>
      <c r="F1124" s="103" t="s">
        <v>170</v>
      </c>
      <c r="G1124" s="103" t="s">
        <v>90</v>
      </c>
      <c r="H1124" s="103" t="n">
        <v>2.6</v>
      </c>
      <c r="I1124" s="103" t="n">
        <v>1335</v>
      </c>
      <c r="J1124" s="103" t="n">
        <v>0</v>
      </c>
      <c r="K1124" s="103" t="n">
        <v>75</v>
      </c>
      <c r="L1124" s="103" t="s">
        <v>94</v>
      </c>
      <c r="M1124" s="103" t="s">
        <v>66</v>
      </c>
      <c r="N1124" s="103" t="s">
        <v>78</v>
      </c>
      <c r="O1124" s="103" t="n">
        <v>40</v>
      </c>
      <c r="P1124" s="103" t="n">
        <v>10.1</v>
      </c>
      <c r="Q1124" s="103" t="n">
        <v>5</v>
      </c>
      <c r="R1124" s="103" t="s">
        <v>141</v>
      </c>
      <c r="S1124" s="103" t="n">
        <v>1335</v>
      </c>
      <c r="T1124" s="103" t="n">
        <v>1260</v>
      </c>
      <c r="U1124" s="103" t="s">
        <v>714</v>
      </c>
      <c r="V1124" s="103" t="n">
        <v>2026</v>
      </c>
    </row>
    <row r="1125" customFormat="false" ht="14.25" hidden="false" customHeight="false" outlineLevel="0" collapsed="false">
      <c r="A1125" s="103" t="s">
        <v>1848</v>
      </c>
      <c r="B1125" s="103" t="s">
        <v>413</v>
      </c>
      <c r="C1125" s="104" t="n">
        <v>46032</v>
      </c>
      <c r="D1125" s="103" t="s">
        <v>105</v>
      </c>
      <c r="E1125" s="103" t="n">
        <v>37</v>
      </c>
      <c r="F1125" s="103" t="s">
        <v>172</v>
      </c>
      <c r="G1125" s="103" t="s">
        <v>82</v>
      </c>
      <c r="H1125" s="103" t="n">
        <v>3.4</v>
      </c>
      <c r="I1125" s="103" t="n">
        <v>973</v>
      </c>
      <c r="J1125" s="103" t="n">
        <v>30</v>
      </c>
      <c r="K1125" s="103" t="n">
        <v>150</v>
      </c>
      <c r="L1125" s="103" t="s">
        <v>93</v>
      </c>
      <c r="M1125" s="103" t="s">
        <v>65</v>
      </c>
      <c r="N1125" s="103" t="s">
        <v>77</v>
      </c>
      <c r="O1125" s="103" t="n">
        <v>22</v>
      </c>
      <c r="P1125" s="103" t="n">
        <v>11</v>
      </c>
      <c r="Q1125" s="103" t="n">
        <v>5</v>
      </c>
      <c r="R1125" s="103" t="s">
        <v>142</v>
      </c>
      <c r="S1125" s="103" t="n">
        <v>1003</v>
      </c>
      <c r="T1125" s="103" t="n">
        <v>853</v>
      </c>
      <c r="U1125" s="103" t="s">
        <v>714</v>
      </c>
      <c r="V1125" s="103" t="n">
        <v>2026</v>
      </c>
    </row>
    <row r="1126" customFormat="false" ht="14.25" hidden="false" customHeight="false" outlineLevel="0" collapsed="false">
      <c r="A1126" s="103" t="s">
        <v>1849</v>
      </c>
      <c r="B1126" s="103" t="s">
        <v>414</v>
      </c>
      <c r="C1126" s="104" t="n">
        <v>46032</v>
      </c>
      <c r="D1126" s="103" t="s">
        <v>102</v>
      </c>
      <c r="E1126" s="103" t="n">
        <v>20</v>
      </c>
      <c r="F1126" s="103" t="s">
        <v>170</v>
      </c>
      <c r="G1126" s="103" t="s">
        <v>83</v>
      </c>
      <c r="H1126" s="103" t="n">
        <v>3.3</v>
      </c>
      <c r="I1126" s="103" t="n">
        <v>959</v>
      </c>
      <c r="J1126" s="103" t="n">
        <v>30</v>
      </c>
      <c r="K1126" s="103" t="n">
        <v>30</v>
      </c>
      <c r="L1126" s="103" t="s">
        <v>93</v>
      </c>
      <c r="M1126" s="103" t="s">
        <v>65</v>
      </c>
      <c r="N1126" s="103" t="s">
        <v>77</v>
      </c>
      <c r="O1126" s="103" t="n">
        <v>64</v>
      </c>
      <c r="P1126" s="103" t="n">
        <v>4.2</v>
      </c>
      <c r="Q1126" s="103" t="n">
        <v>3</v>
      </c>
      <c r="R1126" s="103" t="s">
        <v>131</v>
      </c>
      <c r="S1126" s="103" t="n">
        <v>989</v>
      </c>
      <c r="T1126" s="103" t="n">
        <v>959</v>
      </c>
      <c r="U1126" s="103" t="s">
        <v>714</v>
      </c>
      <c r="V1126" s="103" t="n">
        <v>2026</v>
      </c>
    </row>
    <row r="1127" customFormat="false" ht="14.25" hidden="false" customHeight="false" outlineLevel="0" collapsed="false">
      <c r="A1127" s="103" t="s">
        <v>1850</v>
      </c>
      <c r="B1127" s="103" t="s">
        <v>415</v>
      </c>
      <c r="C1127" s="104" t="n">
        <v>46033</v>
      </c>
      <c r="D1127" s="103" t="s">
        <v>108</v>
      </c>
      <c r="E1127" s="103" t="n">
        <v>33</v>
      </c>
      <c r="F1127" s="103" t="s">
        <v>171</v>
      </c>
      <c r="G1127" s="103" t="s">
        <v>85</v>
      </c>
      <c r="H1127" s="103" t="n">
        <v>3.5</v>
      </c>
      <c r="I1127" s="103" t="n">
        <v>305</v>
      </c>
      <c r="J1127" s="103" t="n">
        <v>0</v>
      </c>
      <c r="K1127" s="103" t="n">
        <v>50</v>
      </c>
      <c r="L1127" s="103" t="s">
        <v>94</v>
      </c>
      <c r="M1127" s="103" t="s">
        <v>65</v>
      </c>
      <c r="N1127" s="103" t="s">
        <v>77</v>
      </c>
      <c r="O1127" s="103" t="n">
        <v>30</v>
      </c>
      <c r="P1127" s="103" t="n">
        <v>1.8</v>
      </c>
      <c r="Q1127" s="103" t="n">
        <v>5</v>
      </c>
      <c r="R1127" s="103" t="s">
        <v>134</v>
      </c>
      <c r="S1127" s="103" t="n">
        <v>305</v>
      </c>
      <c r="T1127" s="103" t="n">
        <v>255</v>
      </c>
      <c r="U1127" s="103" t="s">
        <v>714</v>
      </c>
      <c r="V1127" s="103" t="n">
        <v>2026</v>
      </c>
    </row>
    <row r="1128" customFormat="false" ht="14.25" hidden="false" customHeight="false" outlineLevel="0" collapsed="false">
      <c r="A1128" s="103" t="s">
        <v>1851</v>
      </c>
      <c r="B1128" s="103" t="s">
        <v>416</v>
      </c>
      <c r="C1128" s="104" t="n">
        <v>46033</v>
      </c>
      <c r="D1128" s="103" t="s">
        <v>102</v>
      </c>
      <c r="E1128" s="103" t="n">
        <v>47</v>
      </c>
      <c r="F1128" s="103" t="s">
        <v>171</v>
      </c>
      <c r="G1128" s="103" t="s">
        <v>86</v>
      </c>
      <c r="H1128" s="103" t="n">
        <v>2.8</v>
      </c>
      <c r="I1128" s="103" t="n">
        <v>774</v>
      </c>
      <c r="J1128" s="103" t="n">
        <v>50</v>
      </c>
      <c r="K1128" s="103" t="n">
        <v>200</v>
      </c>
      <c r="L1128" s="103" t="s">
        <v>96</v>
      </c>
      <c r="M1128" s="103" t="s">
        <v>65</v>
      </c>
      <c r="N1128" s="103" t="s">
        <v>77</v>
      </c>
      <c r="O1128" s="103" t="n">
        <v>52</v>
      </c>
      <c r="P1128" s="103" t="n">
        <v>1.6</v>
      </c>
      <c r="Q1128" s="103" t="n">
        <v>4</v>
      </c>
      <c r="R1128" s="103" t="s">
        <v>133</v>
      </c>
      <c r="S1128" s="103" t="n">
        <v>824</v>
      </c>
      <c r="T1128" s="103" t="n">
        <v>624</v>
      </c>
      <c r="U1128" s="103" t="s">
        <v>714</v>
      </c>
      <c r="V1128" s="103" t="n">
        <v>2026</v>
      </c>
    </row>
    <row r="1129" customFormat="false" ht="14.25" hidden="false" customHeight="false" outlineLevel="0" collapsed="false">
      <c r="A1129" s="103" t="s">
        <v>1852</v>
      </c>
      <c r="B1129" s="103" t="s">
        <v>417</v>
      </c>
      <c r="C1129" s="104" t="n">
        <v>46033</v>
      </c>
      <c r="D1129" s="103" t="s">
        <v>107</v>
      </c>
      <c r="E1129" s="103" t="n">
        <v>40</v>
      </c>
      <c r="F1129" s="103" t="s">
        <v>170</v>
      </c>
      <c r="G1129" s="103" t="s">
        <v>84</v>
      </c>
      <c r="H1129" s="103" t="n">
        <v>4.3</v>
      </c>
      <c r="I1129" s="103" t="n">
        <v>525</v>
      </c>
      <c r="J1129" s="103" t="n">
        <v>30</v>
      </c>
      <c r="K1129" s="103" t="n">
        <v>75</v>
      </c>
      <c r="L1129" s="103" t="s">
        <v>93</v>
      </c>
      <c r="M1129" s="103" t="s">
        <v>65</v>
      </c>
      <c r="N1129" s="103" t="s">
        <v>77</v>
      </c>
      <c r="O1129" s="103" t="n">
        <v>24</v>
      </c>
      <c r="P1129" s="103" t="n">
        <v>6.7</v>
      </c>
      <c r="Q1129" s="103" t="n">
        <v>2</v>
      </c>
      <c r="R1129" s="103" t="s">
        <v>132</v>
      </c>
      <c r="S1129" s="103" t="n">
        <v>555</v>
      </c>
      <c r="T1129" s="103" t="n">
        <v>480</v>
      </c>
      <c r="U1129" s="103" t="s">
        <v>714</v>
      </c>
      <c r="V1129" s="103" t="n">
        <v>2026</v>
      </c>
    </row>
    <row r="1130" customFormat="false" ht="14.25" hidden="false" customHeight="false" outlineLevel="0" collapsed="false">
      <c r="A1130" s="103" t="s">
        <v>1853</v>
      </c>
      <c r="B1130" s="103" t="s">
        <v>418</v>
      </c>
      <c r="C1130" s="104" t="n">
        <v>46034</v>
      </c>
      <c r="D1130" s="103" t="s">
        <v>107</v>
      </c>
      <c r="E1130" s="103" t="n">
        <v>45</v>
      </c>
      <c r="F1130" s="103" t="s">
        <v>171</v>
      </c>
      <c r="G1130" s="103" t="s">
        <v>83</v>
      </c>
      <c r="H1130" s="103" t="n">
        <v>4.6</v>
      </c>
      <c r="I1130" s="103" t="n">
        <v>146</v>
      </c>
      <c r="J1130" s="103" t="n">
        <v>0</v>
      </c>
      <c r="K1130" s="103" t="n">
        <v>100</v>
      </c>
      <c r="L1130" s="103" t="s">
        <v>95</v>
      </c>
      <c r="M1130" s="103" t="s">
        <v>65</v>
      </c>
      <c r="N1130" s="103" t="s">
        <v>78</v>
      </c>
      <c r="O1130" s="103" t="n">
        <v>56</v>
      </c>
      <c r="P1130" s="103" t="n">
        <v>14.2</v>
      </c>
      <c r="Q1130" s="103" t="n">
        <v>5</v>
      </c>
      <c r="R1130" s="103" t="s">
        <v>133</v>
      </c>
      <c r="S1130" s="103" t="n">
        <v>146</v>
      </c>
      <c r="T1130" s="103" t="n">
        <v>46</v>
      </c>
      <c r="U1130" s="103" t="s">
        <v>714</v>
      </c>
      <c r="V1130" s="103" t="n">
        <v>2026</v>
      </c>
    </row>
    <row r="1131" customFormat="false" ht="14.25" hidden="false" customHeight="false" outlineLevel="0" collapsed="false">
      <c r="A1131" s="103" t="s">
        <v>1854</v>
      </c>
      <c r="B1131" s="103" t="s">
        <v>419</v>
      </c>
      <c r="C1131" s="104" t="n">
        <v>46034</v>
      </c>
      <c r="D1131" s="103" t="s">
        <v>102</v>
      </c>
      <c r="E1131" s="103" t="n">
        <v>57</v>
      </c>
      <c r="F1131" s="103" t="s">
        <v>170</v>
      </c>
      <c r="G1131" s="103" t="s">
        <v>81</v>
      </c>
      <c r="H1131" s="103" t="n">
        <v>4.8</v>
      </c>
      <c r="I1131" s="103" t="n">
        <v>725</v>
      </c>
      <c r="J1131" s="103" t="n">
        <v>50</v>
      </c>
      <c r="K1131" s="103" t="n">
        <v>100</v>
      </c>
      <c r="L1131" s="103" t="s">
        <v>96</v>
      </c>
      <c r="M1131" s="103" t="s">
        <v>65</v>
      </c>
      <c r="N1131" s="103" t="s">
        <v>77</v>
      </c>
      <c r="O1131" s="103" t="n">
        <v>51</v>
      </c>
      <c r="P1131" s="103" t="n">
        <v>3.7</v>
      </c>
      <c r="Q1131" s="103" t="n">
        <v>5</v>
      </c>
      <c r="R1131" s="103" t="s">
        <v>139</v>
      </c>
      <c r="S1131" s="103" t="n">
        <v>775</v>
      </c>
      <c r="T1131" s="103" t="n">
        <v>675</v>
      </c>
      <c r="U1131" s="103" t="s">
        <v>714</v>
      </c>
      <c r="V1131" s="103" t="n">
        <v>2026</v>
      </c>
    </row>
    <row r="1132" customFormat="false" ht="14.25" hidden="false" customHeight="false" outlineLevel="0" collapsed="false">
      <c r="A1132" s="103" t="s">
        <v>1855</v>
      </c>
      <c r="B1132" s="103" t="s">
        <v>420</v>
      </c>
      <c r="C1132" s="104" t="n">
        <v>46034</v>
      </c>
      <c r="D1132" s="103" t="s">
        <v>108</v>
      </c>
      <c r="E1132" s="103" t="n">
        <v>22</v>
      </c>
      <c r="F1132" s="103" t="s">
        <v>170</v>
      </c>
      <c r="G1132" s="103" t="s">
        <v>84</v>
      </c>
      <c r="H1132" s="103" t="n">
        <v>3.7</v>
      </c>
      <c r="I1132" s="103" t="n">
        <v>271</v>
      </c>
      <c r="J1132" s="103" t="n">
        <v>30</v>
      </c>
      <c r="K1132" s="103" t="n">
        <v>30</v>
      </c>
      <c r="L1132" s="103" t="s">
        <v>93</v>
      </c>
      <c r="M1132" s="103" t="s">
        <v>65</v>
      </c>
      <c r="N1132" s="103" t="s">
        <v>77</v>
      </c>
      <c r="O1132" s="103" t="n">
        <v>40</v>
      </c>
      <c r="P1132" s="103" t="n">
        <v>4.2</v>
      </c>
      <c r="Q1132" s="103" t="n">
        <v>2</v>
      </c>
      <c r="R1132" s="103" t="s">
        <v>136</v>
      </c>
      <c r="S1132" s="103" t="n">
        <v>301</v>
      </c>
      <c r="T1132" s="103" t="n">
        <v>271</v>
      </c>
      <c r="U1132" s="103" t="s">
        <v>714</v>
      </c>
      <c r="V1132" s="103" t="n">
        <v>2026</v>
      </c>
    </row>
    <row r="1133" customFormat="false" ht="14.25" hidden="false" customHeight="false" outlineLevel="0" collapsed="false">
      <c r="A1133" s="103" t="s">
        <v>1856</v>
      </c>
      <c r="B1133" s="103" t="s">
        <v>421</v>
      </c>
      <c r="C1133" s="104" t="n">
        <v>46035</v>
      </c>
      <c r="D1133" s="103" t="s">
        <v>102</v>
      </c>
      <c r="E1133" s="103" t="n">
        <v>37</v>
      </c>
      <c r="F1133" s="103" t="s">
        <v>171</v>
      </c>
      <c r="G1133" s="103" t="s">
        <v>88</v>
      </c>
      <c r="H1133" s="103" t="n">
        <v>4.3</v>
      </c>
      <c r="I1133" s="103" t="n">
        <v>551</v>
      </c>
      <c r="J1133" s="103" t="n">
        <v>50</v>
      </c>
      <c r="K1133" s="103" t="n">
        <v>30</v>
      </c>
      <c r="L1133" s="103" t="s">
        <v>96</v>
      </c>
      <c r="M1133" s="103" t="s">
        <v>65</v>
      </c>
      <c r="N1133" s="103" t="s">
        <v>77</v>
      </c>
      <c r="O1133" s="103" t="n">
        <v>42</v>
      </c>
      <c r="P1133" s="103" t="n">
        <v>2</v>
      </c>
      <c r="Q1133" s="103" t="n">
        <v>4</v>
      </c>
      <c r="R1133" s="103" t="s">
        <v>142</v>
      </c>
      <c r="S1133" s="103" t="n">
        <v>601</v>
      </c>
      <c r="T1133" s="103" t="n">
        <v>571</v>
      </c>
      <c r="U1133" s="103" t="s">
        <v>714</v>
      </c>
      <c r="V1133" s="103" t="n">
        <v>2026</v>
      </c>
    </row>
    <row r="1134" customFormat="false" ht="14.25" hidden="false" customHeight="false" outlineLevel="0" collapsed="false">
      <c r="A1134" s="103" t="s">
        <v>1857</v>
      </c>
      <c r="B1134" s="103" t="s">
        <v>422</v>
      </c>
      <c r="C1134" s="104" t="n">
        <v>46035</v>
      </c>
      <c r="D1134" s="103" t="s">
        <v>105</v>
      </c>
      <c r="E1134" s="103" t="n">
        <v>57</v>
      </c>
      <c r="F1134" s="103" t="s">
        <v>170</v>
      </c>
      <c r="G1134" s="103" t="s">
        <v>86</v>
      </c>
      <c r="H1134" s="103" t="n">
        <v>4.6</v>
      </c>
      <c r="I1134" s="103" t="n">
        <v>275</v>
      </c>
      <c r="J1134" s="103" t="n">
        <v>40</v>
      </c>
      <c r="K1134" s="103" t="n">
        <v>30</v>
      </c>
      <c r="L1134" s="103" t="s">
        <v>95</v>
      </c>
      <c r="M1134" s="103" t="s">
        <v>65</v>
      </c>
      <c r="N1134" s="103" t="s">
        <v>78</v>
      </c>
      <c r="O1134" s="103" t="n">
        <v>26</v>
      </c>
      <c r="P1134" s="103" t="n">
        <v>9.3</v>
      </c>
      <c r="Q1134" s="103" t="n">
        <v>5</v>
      </c>
      <c r="R1134" s="103" t="s">
        <v>140</v>
      </c>
      <c r="S1134" s="103" t="n">
        <v>315</v>
      </c>
      <c r="T1134" s="103" t="n">
        <v>285</v>
      </c>
      <c r="U1134" s="103" t="s">
        <v>714</v>
      </c>
      <c r="V1134" s="103" t="n">
        <v>2026</v>
      </c>
    </row>
    <row r="1135" customFormat="false" ht="14.25" hidden="false" customHeight="false" outlineLevel="0" collapsed="false">
      <c r="A1135" s="103" t="s">
        <v>1858</v>
      </c>
      <c r="B1135" s="103" t="s">
        <v>423</v>
      </c>
      <c r="C1135" s="104" t="n">
        <v>46035</v>
      </c>
      <c r="D1135" s="103" t="s">
        <v>104</v>
      </c>
      <c r="E1135" s="103" t="n">
        <v>18</v>
      </c>
      <c r="F1135" s="103" t="s">
        <v>170</v>
      </c>
      <c r="G1135" s="103" t="s">
        <v>84</v>
      </c>
      <c r="H1135" s="103" t="n">
        <v>3.5</v>
      </c>
      <c r="I1135" s="103" t="n">
        <v>290</v>
      </c>
      <c r="J1135" s="103" t="n">
        <v>60</v>
      </c>
      <c r="K1135" s="103" t="n">
        <v>50</v>
      </c>
      <c r="L1135" s="103" t="s">
        <v>93</v>
      </c>
      <c r="M1135" s="103" t="s">
        <v>66</v>
      </c>
      <c r="N1135" s="103" t="s">
        <v>78</v>
      </c>
      <c r="O1135" s="103" t="n">
        <v>34</v>
      </c>
      <c r="P1135" s="103" t="n">
        <v>10.4</v>
      </c>
      <c r="Q1135" s="103" t="n">
        <v>5</v>
      </c>
      <c r="R1135" s="103" t="s">
        <v>139</v>
      </c>
      <c r="S1135" s="103" t="n">
        <v>350</v>
      </c>
      <c r="T1135" s="103" t="n">
        <v>300</v>
      </c>
      <c r="U1135" s="103" t="s">
        <v>714</v>
      </c>
      <c r="V1135" s="103" t="n">
        <v>2026</v>
      </c>
    </row>
    <row r="1136" customFormat="false" ht="14.25" hidden="false" customHeight="false" outlineLevel="0" collapsed="false">
      <c r="A1136" s="103" t="s">
        <v>1859</v>
      </c>
      <c r="B1136" s="103" t="s">
        <v>424</v>
      </c>
      <c r="C1136" s="104" t="n">
        <v>46036</v>
      </c>
      <c r="D1136" s="103" t="s">
        <v>106</v>
      </c>
      <c r="E1136" s="103" t="n">
        <v>47</v>
      </c>
      <c r="F1136" s="103" t="s">
        <v>170</v>
      </c>
      <c r="G1136" s="103" t="s">
        <v>89</v>
      </c>
      <c r="H1136" s="103" t="n">
        <v>3.3</v>
      </c>
      <c r="I1136" s="103" t="n">
        <v>454</v>
      </c>
      <c r="J1136" s="103" t="n">
        <v>40</v>
      </c>
      <c r="K1136" s="103" t="n">
        <v>50</v>
      </c>
      <c r="L1136" s="103" t="s">
        <v>97</v>
      </c>
      <c r="M1136" s="103" t="s">
        <v>66</v>
      </c>
      <c r="N1136" s="103" t="s">
        <v>78</v>
      </c>
      <c r="O1136" s="103" t="n">
        <v>63</v>
      </c>
      <c r="P1136" s="103" t="n">
        <v>9.8</v>
      </c>
      <c r="Q1136" s="103" t="n">
        <v>5</v>
      </c>
      <c r="R1136" s="103" t="s">
        <v>142</v>
      </c>
      <c r="S1136" s="103" t="n">
        <v>494</v>
      </c>
      <c r="T1136" s="103" t="n">
        <v>444</v>
      </c>
      <c r="U1136" s="103" t="s">
        <v>714</v>
      </c>
      <c r="V1136" s="103" t="n">
        <v>2026</v>
      </c>
    </row>
    <row r="1137" customFormat="false" ht="14.25" hidden="false" customHeight="false" outlineLevel="0" collapsed="false">
      <c r="A1137" s="103" t="s">
        <v>1860</v>
      </c>
      <c r="B1137" s="103" t="s">
        <v>425</v>
      </c>
      <c r="C1137" s="104" t="n">
        <v>46036</v>
      </c>
      <c r="D1137" s="103" t="s">
        <v>100</v>
      </c>
      <c r="E1137" s="103" t="n">
        <v>38</v>
      </c>
      <c r="F1137" s="103" t="s">
        <v>171</v>
      </c>
      <c r="G1137" s="103" t="s">
        <v>83</v>
      </c>
      <c r="H1137" s="103" t="n">
        <v>4.8</v>
      </c>
      <c r="I1137" s="103" t="n">
        <v>1800</v>
      </c>
      <c r="J1137" s="103" t="n">
        <v>50</v>
      </c>
      <c r="K1137" s="103" t="n">
        <v>150</v>
      </c>
      <c r="L1137" s="103" t="s">
        <v>93</v>
      </c>
      <c r="M1137" s="103" t="s">
        <v>66</v>
      </c>
      <c r="N1137" s="103" t="s">
        <v>78</v>
      </c>
      <c r="O1137" s="103" t="n">
        <v>28</v>
      </c>
      <c r="P1137" s="103" t="n">
        <v>13</v>
      </c>
      <c r="Q1137" s="103" t="n">
        <v>3</v>
      </c>
      <c r="R1137" s="103" t="s">
        <v>139</v>
      </c>
      <c r="S1137" s="103" t="n">
        <v>1850</v>
      </c>
      <c r="T1137" s="103" t="n">
        <v>1700</v>
      </c>
      <c r="U1137" s="103" t="s">
        <v>714</v>
      </c>
      <c r="V1137" s="103" t="n">
        <v>2026</v>
      </c>
    </row>
    <row r="1138" customFormat="false" ht="14.25" hidden="false" customHeight="false" outlineLevel="0" collapsed="false">
      <c r="A1138" s="103" t="s">
        <v>1861</v>
      </c>
      <c r="B1138" s="103" t="s">
        <v>426</v>
      </c>
      <c r="C1138" s="104" t="n">
        <v>46036</v>
      </c>
      <c r="D1138" s="103" t="s">
        <v>106</v>
      </c>
      <c r="E1138" s="103" t="n">
        <v>37</v>
      </c>
      <c r="F1138" s="103" t="s">
        <v>171</v>
      </c>
      <c r="G1138" s="103" t="s">
        <v>90</v>
      </c>
      <c r="H1138" s="103" t="n">
        <v>3.8</v>
      </c>
      <c r="I1138" s="103" t="n">
        <v>124</v>
      </c>
      <c r="J1138" s="103" t="n">
        <v>30</v>
      </c>
      <c r="K1138" s="103" t="n">
        <v>200</v>
      </c>
      <c r="L1138" s="103" t="s">
        <v>93</v>
      </c>
      <c r="M1138" s="103" t="s">
        <v>66</v>
      </c>
      <c r="N1138" s="103" t="s">
        <v>77</v>
      </c>
      <c r="O1138" s="103" t="n">
        <v>60</v>
      </c>
      <c r="P1138" s="103" t="n">
        <v>7.6</v>
      </c>
      <c r="Q1138" s="103" t="n">
        <v>2</v>
      </c>
      <c r="R1138" s="103" t="s">
        <v>132</v>
      </c>
      <c r="S1138" s="103" t="n">
        <v>154</v>
      </c>
      <c r="T1138" s="103" t="n">
        <v>0</v>
      </c>
      <c r="U1138" s="103" t="s">
        <v>714</v>
      </c>
      <c r="V1138" s="103" t="n">
        <v>2026</v>
      </c>
    </row>
    <row r="1139" customFormat="false" ht="14.25" hidden="false" customHeight="false" outlineLevel="0" collapsed="false">
      <c r="A1139" s="103" t="s">
        <v>1862</v>
      </c>
      <c r="B1139" s="103" t="s">
        <v>427</v>
      </c>
      <c r="C1139" s="104" t="n">
        <v>46037</v>
      </c>
      <c r="D1139" s="103" t="s">
        <v>108</v>
      </c>
      <c r="E1139" s="103" t="n">
        <v>23</v>
      </c>
      <c r="F1139" s="103" t="s">
        <v>171</v>
      </c>
      <c r="G1139" s="103" t="s">
        <v>86</v>
      </c>
      <c r="H1139" s="103" t="n">
        <v>3.7</v>
      </c>
      <c r="I1139" s="103" t="n">
        <v>1193</v>
      </c>
      <c r="J1139" s="103" t="n">
        <v>0</v>
      </c>
      <c r="K1139" s="103" t="n">
        <v>10</v>
      </c>
      <c r="L1139" s="103" t="s">
        <v>95</v>
      </c>
      <c r="M1139" s="103" t="s">
        <v>66</v>
      </c>
      <c r="N1139" s="103" t="s">
        <v>78</v>
      </c>
      <c r="O1139" s="103" t="n">
        <v>49</v>
      </c>
      <c r="P1139" s="103" t="n">
        <v>2.4</v>
      </c>
      <c r="Q1139" s="103" t="n">
        <v>4</v>
      </c>
      <c r="R1139" s="103" t="s">
        <v>136</v>
      </c>
      <c r="S1139" s="103" t="n">
        <v>1193</v>
      </c>
      <c r="T1139" s="103" t="n">
        <v>1183</v>
      </c>
      <c r="U1139" s="103" t="s">
        <v>714</v>
      </c>
      <c r="V1139" s="103" t="n">
        <v>2026</v>
      </c>
    </row>
    <row r="1140" customFormat="false" ht="14.25" hidden="false" customHeight="false" outlineLevel="0" collapsed="false">
      <c r="A1140" s="103" t="s">
        <v>1863</v>
      </c>
      <c r="B1140" s="103" t="s">
        <v>428</v>
      </c>
      <c r="C1140" s="104" t="n">
        <v>46037</v>
      </c>
      <c r="D1140" s="103" t="s">
        <v>111</v>
      </c>
      <c r="E1140" s="103" t="n">
        <v>39</v>
      </c>
      <c r="F1140" s="103" t="s">
        <v>170</v>
      </c>
      <c r="G1140" s="103" t="s">
        <v>87</v>
      </c>
      <c r="H1140" s="103" t="n">
        <v>2.9</v>
      </c>
      <c r="I1140" s="103" t="n">
        <v>357</v>
      </c>
      <c r="J1140" s="103" t="n">
        <v>20</v>
      </c>
      <c r="K1140" s="103" t="n">
        <v>100</v>
      </c>
      <c r="L1140" s="103" t="s">
        <v>94</v>
      </c>
      <c r="M1140" s="103" t="s">
        <v>65</v>
      </c>
      <c r="N1140" s="103" t="s">
        <v>77</v>
      </c>
      <c r="O1140" s="103" t="n">
        <v>43</v>
      </c>
      <c r="P1140" s="103" t="n">
        <v>4.7</v>
      </c>
      <c r="Q1140" s="103" t="n">
        <v>3</v>
      </c>
      <c r="R1140" s="103" t="s">
        <v>135</v>
      </c>
      <c r="S1140" s="103" t="n">
        <v>377</v>
      </c>
      <c r="T1140" s="103" t="n">
        <v>277</v>
      </c>
      <c r="U1140" s="103" t="s">
        <v>714</v>
      </c>
      <c r="V1140" s="103" t="n">
        <v>2026</v>
      </c>
    </row>
    <row r="1141" customFormat="false" ht="14.25" hidden="false" customHeight="false" outlineLevel="0" collapsed="false">
      <c r="A1141" s="103" t="s">
        <v>1864</v>
      </c>
      <c r="B1141" s="103" t="s">
        <v>429</v>
      </c>
      <c r="C1141" s="104" t="n">
        <v>46037</v>
      </c>
      <c r="D1141" s="103" t="s">
        <v>106</v>
      </c>
      <c r="E1141" s="103" t="n">
        <v>35</v>
      </c>
      <c r="F1141" s="103" t="s">
        <v>171</v>
      </c>
      <c r="G1141" s="103" t="s">
        <v>88</v>
      </c>
      <c r="H1141" s="103" t="n">
        <v>2.8</v>
      </c>
      <c r="I1141" s="103" t="n">
        <v>1667</v>
      </c>
      <c r="J1141" s="103" t="n">
        <v>0</v>
      </c>
      <c r="K1141" s="103" t="n">
        <v>0</v>
      </c>
      <c r="L1141" s="103" t="s">
        <v>93</v>
      </c>
      <c r="M1141" s="103" t="s">
        <v>65</v>
      </c>
      <c r="N1141" s="103" t="s">
        <v>77</v>
      </c>
      <c r="O1141" s="103" t="n">
        <v>26</v>
      </c>
      <c r="P1141" s="103" t="n">
        <v>10.1</v>
      </c>
      <c r="Q1141" s="103" t="n">
        <v>3</v>
      </c>
      <c r="R1141" s="103" t="s">
        <v>141</v>
      </c>
      <c r="S1141" s="103" t="n">
        <v>1667</v>
      </c>
      <c r="T1141" s="103" t="n">
        <v>1667</v>
      </c>
      <c r="U1141" s="103" t="s">
        <v>714</v>
      </c>
      <c r="V1141" s="103" t="n">
        <v>2026</v>
      </c>
    </row>
    <row r="1142" customFormat="false" ht="14.25" hidden="false" customHeight="false" outlineLevel="0" collapsed="false">
      <c r="A1142" s="103" t="s">
        <v>1865</v>
      </c>
      <c r="B1142" s="103" t="s">
        <v>430</v>
      </c>
      <c r="C1142" s="104" t="n">
        <v>46038</v>
      </c>
      <c r="D1142" s="103" t="s">
        <v>107</v>
      </c>
      <c r="E1142" s="103" t="n">
        <v>25</v>
      </c>
      <c r="F1142" s="103" t="s">
        <v>170</v>
      </c>
      <c r="G1142" s="103" t="s">
        <v>82</v>
      </c>
      <c r="H1142" s="103" t="n">
        <v>4.6</v>
      </c>
      <c r="I1142" s="103" t="n">
        <v>277</v>
      </c>
      <c r="J1142" s="103" t="n">
        <v>20</v>
      </c>
      <c r="K1142" s="103" t="n">
        <v>0</v>
      </c>
      <c r="L1142" s="103" t="s">
        <v>93</v>
      </c>
      <c r="M1142" s="103" t="s">
        <v>65</v>
      </c>
      <c r="N1142" s="103" t="s">
        <v>78</v>
      </c>
      <c r="O1142" s="103" t="n">
        <v>66</v>
      </c>
      <c r="P1142" s="103" t="n">
        <v>9.4</v>
      </c>
      <c r="Q1142" s="103" t="n">
        <v>3</v>
      </c>
      <c r="R1142" s="103" t="s">
        <v>141</v>
      </c>
      <c r="S1142" s="103" t="n">
        <v>297</v>
      </c>
      <c r="T1142" s="103" t="n">
        <v>297</v>
      </c>
      <c r="U1142" s="103" t="s">
        <v>714</v>
      </c>
      <c r="V1142" s="103" t="n">
        <v>2026</v>
      </c>
    </row>
    <row r="1143" customFormat="false" ht="14.25" hidden="false" customHeight="false" outlineLevel="0" collapsed="false">
      <c r="A1143" s="103" t="s">
        <v>1866</v>
      </c>
      <c r="B1143" s="103" t="s">
        <v>431</v>
      </c>
      <c r="C1143" s="104" t="n">
        <v>46038</v>
      </c>
      <c r="D1143" s="103" t="s">
        <v>109</v>
      </c>
      <c r="E1143" s="103" t="n">
        <v>56</v>
      </c>
      <c r="F1143" s="103" t="s">
        <v>171</v>
      </c>
      <c r="G1143" s="103" t="s">
        <v>86</v>
      </c>
      <c r="H1143" s="103" t="n">
        <v>4</v>
      </c>
      <c r="I1143" s="103" t="n">
        <v>1725</v>
      </c>
      <c r="J1143" s="103" t="n">
        <v>20</v>
      </c>
      <c r="K1143" s="103" t="n">
        <v>30</v>
      </c>
      <c r="L1143" s="103" t="s">
        <v>95</v>
      </c>
      <c r="M1143" s="103" t="s">
        <v>65</v>
      </c>
      <c r="N1143" s="103" t="s">
        <v>77</v>
      </c>
      <c r="O1143" s="103" t="n">
        <v>32</v>
      </c>
      <c r="P1143" s="103" t="n">
        <v>8.2</v>
      </c>
      <c r="Q1143" s="103" t="n">
        <v>5</v>
      </c>
      <c r="R1143" s="103" t="s">
        <v>139</v>
      </c>
      <c r="S1143" s="103" t="n">
        <v>1745</v>
      </c>
      <c r="T1143" s="103" t="n">
        <v>1715</v>
      </c>
      <c r="U1143" s="103" t="s">
        <v>714</v>
      </c>
      <c r="V1143" s="103" t="n">
        <v>2026</v>
      </c>
    </row>
    <row r="1144" customFormat="false" ht="14.25" hidden="false" customHeight="false" outlineLevel="0" collapsed="false">
      <c r="A1144" s="103" t="s">
        <v>1867</v>
      </c>
      <c r="B1144" s="103" t="s">
        <v>432</v>
      </c>
      <c r="C1144" s="104" t="n">
        <v>46038</v>
      </c>
      <c r="D1144" s="103" t="s">
        <v>100</v>
      </c>
      <c r="E1144" s="103" t="n">
        <v>49</v>
      </c>
      <c r="F1144" s="103" t="s">
        <v>171</v>
      </c>
      <c r="G1144" s="103" t="s">
        <v>81</v>
      </c>
      <c r="H1144" s="103" t="n">
        <v>3.3</v>
      </c>
      <c r="I1144" s="103" t="n">
        <v>1146</v>
      </c>
      <c r="J1144" s="103" t="n">
        <v>30</v>
      </c>
      <c r="K1144" s="103" t="n">
        <v>100</v>
      </c>
      <c r="L1144" s="103" t="s">
        <v>95</v>
      </c>
      <c r="M1144" s="103" t="s">
        <v>66</v>
      </c>
      <c r="N1144" s="103" t="s">
        <v>78</v>
      </c>
      <c r="O1144" s="103" t="n">
        <v>58</v>
      </c>
      <c r="P1144" s="103" t="n">
        <v>10.4</v>
      </c>
      <c r="Q1144" s="103" t="n">
        <v>4</v>
      </c>
      <c r="R1144" s="103" t="s">
        <v>135</v>
      </c>
      <c r="S1144" s="103" t="n">
        <v>1176</v>
      </c>
      <c r="T1144" s="103" t="n">
        <v>1076</v>
      </c>
      <c r="U1144" s="103" t="s">
        <v>714</v>
      </c>
      <c r="V1144" s="103" t="n">
        <v>2026</v>
      </c>
    </row>
    <row r="1145" customFormat="false" ht="14.25" hidden="false" customHeight="false" outlineLevel="0" collapsed="false">
      <c r="A1145" s="103" t="s">
        <v>1868</v>
      </c>
      <c r="B1145" s="103" t="s">
        <v>433</v>
      </c>
      <c r="C1145" s="104" t="n">
        <v>46039</v>
      </c>
      <c r="D1145" s="103" t="s">
        <v>103</v>
      </c>
      <c r="E1145" s="103" t="n">
        <v>50</v>
      </c>
      <c r="F1145" s="103" t="s">
        <v>170</v>
      </c>
      <c r="G1145" s="103" t="s">
        <v>83</v>
      </c>
      <c r="H1145" s="103" t="n">
        <v>3</v>
      </c>
      <c r="I1145" s="103" t="n">
        <v>122</v>
      </c>
      <c r="J1145" s="103" t="n">
        <v>50</v>
      </c>
      <c r="K1145" s="103" t="n">
        <v>10</v>
      </c>
      <c r="L1145" s="103" t="s">
        <v>94</v>
      </c>
      <c r="M1145" s="103" t="s">
        <v>65</v>
      </c>
      <c r="N1145" s="103" t="s">
        <v>77</v>
      </c>
      <c r="O1145" s="103" t="n">
        <v>16</v>
      </c>
      <c r="P1145" s="103" t="n">
        <v>9.7</v>
      </c>
      <c r="Q1145" s="103" t="n">
        <v>5</v>
      </c>
      <c r="R1145" s="103" t="s">
        <v>134</v>
      </c>
      <c r="S1145" s="103" t="n">
        <v>172</v>
      </c>
      <c r="T1145" s="103" t="n">
        <v>162</v>
      </c>
      <c r="U1145" s="103" t="s">
        <v>714</v>
      </c>
      <c r="V1145" s="103" t="n">
        <v>2026</v>
      </c>
    </row>
    <row r="1146" customFormat="false" ht="14.25" hidden="false" customHeight="false" outlineLevel="0" collapsed="false">
      <c r="A1146" s="103" t="s">
        <v>1869</v>
      </c>
      <c r="B1146" s="103" t="s">
        <v>434</v>
      </c>
      <c r="C1146" s="104" t="n">
        <v>46039</v>
      </c>
      <c r="D1146" s="103" t="s">
        <v>111</v>
      </c>
      <c r="E1146" s="103" t="n">
        <v>33</v>
      </c>
      <c r="F1146" s="103" t="s">
        <v>170</v>
      </c>
      <c r="G1146" s="103" t="s">
        <v>89</v>
      </c>
      <c r="H1146" s="103" t="n">
        <v>3.9</v>
      </c>
      <c r="I1146" s="103" t="n">
        <v>1622</v>
      </c>
      <c r="J1146" s="103" t="n">
        <v>0</v>
      </c>
      <c r="K1146" s="103" t="n">
        <v>10</v>
      </c>
      <c r="L1146" s="103" t="s">
        <v>97</v>
      </c>
      <c r="M1146" s="103" t="s">
        <v>65</v>
      </c>
      <c r="N1146" s="103" t="s">
        <v>77</v>
      </c>
      <c r="O1146" s="103" t="n">
        <v>16</v>
      </c>
      <c r="P1146" s="103" t="n">
        <v>13.3</v>
      </c>
      <c r="Q1146" s="103" t="n">
        <v>3</v>
      </c>
      <c r="R1146" s="103" t="s">
        <v>141</v>
      </c>
      <c r="S1146" s="103" t="n">
        <v>1622</v>
      </c>
      <c r="T1146" s="103" t="n">
        <v>1612</v>
      </c>
      <c r="U1146" s="103" t="s">
        <v>714</v>
      </c>
      <c r="V1146" s="103" t="n">
        <v>2026</v>
      </c>
    </row>
    <row r="1147" customFormat="false" ht="14.25" hidden="false" customHeight="false" outlineLevel="0" collapsed="false">
      <c r="A1147" s="103" t="s">
        <v>1870</v>
      </c>
      <c r="B1147" s="103" t="s">
        <v>435</v>
      </c>
      <c r="C1147" s="104" t="n">
        <v>46039</v>
      </c>
      <c r="D1147" s="103" t="s">
        <v>108</v>
      </c>
      <c r="E1147" s="103" t="n">
        <v>29</v>
      </c>
      <c r="F1147" s="103" t="s">
        <v>171</v>
      </c>
      <c r="G1147" s="103" t="s">
        <v>82</v>
      </c>
      <c r="H1147" s="103" t="n">
        <v>4</v>
      </c>
      <c r="I1147" s="103" t="n">
        <v>996</v>
      </c>
      <c r="J1147" s="103" t="n">
        <v>50</v>
      </c>
      <c r="K1147" s="103" t="n">
        <v>0</v>
      </c>
      <c r="L1147" s="103" t="s">
        <v>93</v>
      </c>
      <c r="M1147" s="103" t="s">
        <v>65</v>
      </c>
      <c r="N1147" s="103" t="s">
        <v>77</v>
      </c>
      <c r="O1147" s="103" t="n">
        <v>31</v>
      </c>
      <c r="P1147" s="103" t="n">
        <v>9</v>
      </c>
      <c r="Q1147" s="103" t="n">
        <v>4</v>
      </c>
      <c r="R1147" s="103" t="s">
        <v>137</v>
      </c>
      <c r="S1147" s="103" t="n">
        <v>1046</v>
      </c>
      <c r="T1147" s="103" t="n">
        <v>1046</v>
      </c>
      <c r="U1147" s="103" t="s">
        <v>714</v>
      </c>
      <c r="V1147" s="103" t="n">
        <v>2026</v>
      </c>
    </row>
    <row r="1148" customFormat="false" ht="14.25" hidden="false" customHeight="false" outlineLevel="0" collapsed="false">
      <c r="A1148" s="103" t="s">
        <v>1871</v>
      </c>
      <c r="B1148" s="103" t="s">
        <v>436</v>
      </c>
      <c r="C1148" s="104" t="n">
        <v>46040</v>
      </c>
      <c r="D1148" s="103" t="s">
        <v>100</v>
      </c>
      <c r="E1148" s="103" t="n">
        <v>55</v>
      </c>
      <c r="F1148" s="103" t="s">
        <v>171</v>
      </c>
      <c r="G1148" s="103" t="s">
        <v>82</v>
      </c>
      <c r="H1148" s="103" t="n">
        <v>3</v>
      </c>
      <c r="I1148" s="103" t="n">
        <v>561</v>
      </c>
      <c r="J1148" s="103" t="n">
        <v>40</v>
      </c>
      <c r="K1148" s="103" t="n">
        <v>10</v>
      </c>
      <c r="L1148" s="103" t="s">
        <v>93</v>
      </c>
      <c r="M1148" s="103" t="s">
        <v>65</v>
      </c>
      <c r="N1148" s="103" t="s">
        <v>77</v>
      </c>
      <c r="O1148" s="103" t="n">
        <v>24</v>
      </c>
      <c r="P1148" s="103" t="n">
        <v>11.8</v>
      </c>
      <c r="Q1148" s="103" t="n">
        <v>1</v>
      </c>
      <c r="R1148" s="103" t="s">
        <v>139</v>
      </c>
      <c r="S1148" s="103" t="n">
        <v>601</v>
      </c>
      <c r="T1148" s="103" t="n">
        <v>591</v>
      </c>
      <c r="U1148" s="103" t="s">
        <v>714</v>
      </c>
      <c r="V1148" s="103" t="n">
        <v>2026</v>
      </c>
    </row>
    <row r="1149" customFormat="false" ht="14.25" hidden="false" customHeight="false" outlineLevel="0" collapsed="false">
      <c r="A1149" s="103" t="s">
        <v>1872</v>
      </c>
      <c r="B1149" s="103" t="s">
        <v>437</v>
      </c>
      <c r="C1149" s="104" t="n">
        <v>46040</v>
      </c>
      <c r="D1149" s="103" t="s">
        <v>106</v>
      </c>
      <c r="E1149" s="103" t="n">
        <v>51</v>
      </c>
      <c r="F1149" s="103" t="s">
        <v>171</v>
      </c>
      <c r="G1149" s="103" t="s">
        <v>88</v>
      </c>
      <c r="H1149" s="103" t="n">
        <v>4.6</v>
      </c>
      <c r="I1149" s="103" t="n">
        <v>1409</v>
      </c>
      <c r="J1149" s="103" t="n">
        <v>30</v>
      </c>
      <c r="K1149" s="103" t="n">
        <v>100</v>
      </c>
      <c r="L1149" s="103" t="s">
        <v>95</v>
      </c>
      <c r="M1149" s="103" t="s">
        <v>65</v>
      </c>
      <c r="N1149" s="103" t="s">
        <v>77</v>
      </c>
      <c r="O1149" s="103" t="n">
        <v>32</v>
      </c>
      <c r="P1149" s="103" t="n">
        <v>4.1</v>
      </c>
      <c r="Q1149" s="103" t="n">
        <v>4</v>
      </c>
      <c r="R1149" s="103" t="s">
        <v>140</v>
      </c>
      <c r="S1149" s="103" t="n">
        <v>1439</v>
      </c>
      <c r="T1149" s="103" t="n">
        <v>1339</v>
      </c>
      <c r="U1149" s="103" t="s">
        <v>714</v>
      </c>
      <c r="V1149" s="103" t="n">
        <v>2026</v>
      </c>
    </row>
    <row r="1150" customFormat="false" ht="14.25" hidden="false" customHeight="false" outlineLevel="0" collapsed="false">
      <c r="A1150" s="103" t="s">
        <v>1873</v>
      </c>
      <c r="B1150" s="103" t="s">
        <v>438</v>
      </c>
      <c r="C1150" s="104" t="n">
        <v>46040</v>
      </c>
      <c r="D1150" s="103" t="s">
        <v>107</v>
      </c>
      <c r="E1150" s="103" t="n">
        <v>31</v>
      </c>
      <c r="F1150" s="103" t="s">
        <v>170</v>
      </c>
      <c r="G1150" s="103" t="s">
        <v>84</v>
      </c>
      <c r="H1150" s="103" t="n">
        <v>2.7</v>
      </c>
      <c r="I1150" s="103" t="n">
        <v>1677</v>
      </c>
      <c r="J1150" s="103" t="n">
        <v>30</v>
      </c>
      <c r="K1150" s="103" t="n">
        <v>200</v>
      </c>
      <c r="L1150" s="103" t="s">
        <v>95</v>
      </c>
      <c r="M1150" s="103" t="s">
        <v>65</v>
      </c>
      <c r="N1150" s="103" t="s">
        <v>77</v>
      </c>
      <c r="O1150" s="103" t="n">
        <v>36</v>
      </c>
      <c r="P1150" s="103" t="n">
        <v>10.3</v>
      </c>
      <c r="Q1150" s="103" t="n">
        <v>2</v>
      </c>
      <c r="R1150" s="103" t="s">
        <v>136</v>
      </c>
      <c r="S1150" s="103" t="n">
        <v>1707</v>
      </c>
      <c r="T1150" s="103" t="n">
        <v>1507</v>
      </c>
      <c r="U1150" s="103" t="s">
        <v>714</v>
      </c>
      <c r="V1150" s="103" t="n">
        <v>2026</v>
      </c>
    </row>
    <row r="1151" customFormat="false" ht="14.25" hidden="false" customHeight="false" outlineLevel="0" collapsed="false">
      <c r="A1151" s="103" t="s">
        <v>1874</v>
      </c>
      <c r="B1151" s="103" t="s">
        <v>439</v>
      </c>
      <c r="C1151" s="104" t="n">
        <v>46041</v>
      </c>
      <c r="D1151" s="103" t="s">
        <v>110</v>
      </c>
      <c r="E1151" s="103" t="n">
        <v>53</v>
      </c>
      <c r="F1151" s="103" t="s">
        <v>170</v>
      </c>
      <c r="G1151" s="103" t="s">
        <v>81</v>
      </c>
      <c r="H1151" s="103" t="n">
        <v>3.4</v>
      </c>
      <c r="I1151" s="103" t="n">
        <v>933</v>
      </c>
      <c r="J1151" s="103" t="n">
        <v>40</v>
      </c>
      <c r="K1151" s="103" t="n">
        <v>75</v>
      </c>
      <c r="L1151" s="103" t="s">
        <v>93</v>
      </c>
      <c r="M1151" s="103" t="s">
        <v>66</v>
      </c>
      <c r="N1151" s="103" t="s">
        <v>78</v>
      </c>
      <c r="O1151" s="103" t="n">
        <v>33</v>
      </c>
      <c r="P1151" s="103" t="n">
        <v>13.6</v>
      </c>
      <c r="Q1151" s="103" t="n">
        <v>5</v>
      </c>
      <c r="R1151" s="103" t="s">
        <v>131</v>
      </c>
      <c r="S1151" s="103" t="n">
        <v>973</v>
      </c>
      <c r="T1151" s="103" t="n">
        <v>898</v>
      </c>
      <c r="U1151" s="103" t="s">
        <v>714</v>
      </c>
      <c r="V1151" s="103" t="n">
        <v>2026</v>
      </c>
    </row>
    <row r="1152" customFormat="false" ht="14.25" hidden="false" customHeight="false" outlineLevel="0" collapsed="false">
      <c r="A1152" s="103" t="s">
        <v>1875</v>
      </c>
      <c r="B1152" s="103" t="s">
        <v>440</v>
      </c>
      <c r="C1152" s="104" t="n">
        <v>46041</v>
      </c>
      <c r="D1152" s="103" t="s">
        <v>104</v>
      </c>
      <c r="E1152" s="103" t="n">
        <v>50</v>
      </c>
      <c r="F1152" s="103" t="s">
        <v>171</v>
      </c>
      <c r="G1152" s="103" t="s">
        <v>84</v>
      </c>
      <c r="H1152" s="103" t="n">
        <v>4.2</v>
      </c>
      <c r="I1152" s="103" t="n">
        <v>650</v>
      </c>
      <c r="J1152" s="103" t="n">
        <v>0</v>
      </c>
      <c r="K1152" s="103" t="n">
        <v>10</v>
      </c>
      <c r="L1152" s="103" t="s">
        <v>93</v>
      </c>
      <c r="M1152" s="103" t="s">
        <v>65</v>
      </c>
      <c r="N1152" s="103" t="s">
        <v>77</v>
      </c>
      <c r="O1152" s="103" t="n">
        <v>67</v>
      </c>
      <c r="P1152" s="103" t="n">
        <v>6.1</v>
      </c>
      <c r="Q1152" s="103" t="n">
        <v>5</v>
      </c>
      <c r="R1152" s="103" t="s">
        <v>138</v>
      </c>
      <c r="S1152" s="103" t="n">
        <v>650</v>
      </c>
      <c r="T1152" s="103" t="n">
        <v>640</v>
      </c>
      <c r="U1152" s="103" t="s">
        <v>714</v>
      </c>
      <c r="V1152" s="103" t="n">
        <v>2026</v>
      </c>
    </row>
    <row r="1153" customFormat="false" ht="14.25" hidden="false" customHeight="false" outlineLevel="0" collapsed="false">
      <c r="A1153" s="103" t="s">
        <v>1876</v>
      </c>
      <c r="B1153" s="103" t="s">
        <v>441</v>
      </c>
      <c r="C1153" s="104" t="n">
        <v>46041</v>
      </c>
      <c r="D1153" s="103" t="s">
        <v>103</v>
      </c>
      <c r="E1153" s="103" t="n">
        <v>40</v>
      </c>
      <c r="F1153" s="103" t="s">
        <v>171</v>
      </c>
      <c r="G1153" s="103" t="s">
        <v>89</v>
      </c>
      <c r="H1153" s="103" t="n">
        <v>3.2</v>
      </c>
      <c r="I1153" s="103" t="n">
        <v>1445</v>
      </c>
      <c r="J1153" s="103" t="n">
        <v>60</v>
      </c>
      <c r="K1153" s="103" t="n">
        <v>200</v>
      </c>
      <c r="L1153" s="103" t="s">
        <v>96</v>
      </c>
      <c r="M1153" s="103" t="s">
        <v>65</v>
      </c>
      <c r="N1153" s="103" t="s">
        <v>77</v>
      </c>
      <c r="O1153" s="103" t="n">
        <v>15</v>
      </c>
      <c r="P1153" s="103" t="n">
        <v>11.8</v>
      </c>
      <c r="Q1153" s="103" t="n">
        <v>4</v>
      </c>
      <c r="R1153" s="103" t="s">
        <v>133</v>
      </c>
      <c r="S1153" s="103" t="n">
        <v>1505</v>
      </c>
      <c r="T1153" s="103" t="n">
        <v>1305</v>
      </c>
      <c r="U1153" s="103" t="s">
        <v>714</v>
      </c>
      <c r="V1153" s="103" t="n">
        <v>2026</v>
      </c>
    </row>
    <row r="1154" customFormat="false" ht="14.25" hidden="false" customHeight="false" outlineLevel="0" collapsed="false">
      <c r="A1154" s="103" t="s">
        <v>1877</v>
      </c>
      <c r="B1154" s="103" t="s">
        <v>442</v>
      </c>
      <c r="C1154" s="104" t="n">
        <v>46042</v>
      </c>
      <c r="D1154" s="103" t="s">
        <v>111</v>
      </c>
      <c r="E1154" s="103" t="n">
        <v>19</v>
      </c>
      <c r="F1154" s="103" t="s">
        <v>171</v>
      </c>
      <c r="G1154" s="103" t="s">
        <v>82</v>
      </c>
      <c r="H1154" s="103" t="n">
        <v>4.6</v>
      </c>
      <c r="I1154" s="103" t="n">
        <v>1265</v>
      </c>
      <c r="J1154" s="103" t="n">
        <v>40</v>
      </c>
      <c r="K1154" s="103" t="n">
        <v>100</v>
      </c>
      <c r="L1154" s="103" t="s">
        <v>97</v>
      </c>
      <c r="M1154" s="103" t="s">
        <v>65</v>
      </c>
      <c r="N1154" s="103" t="s">
        <v>77</v>
      </c>
      <c r="O1154" s="103" t="n">
        <v>38</v>
      </c>
      <c r="P1154" s="103" t="n">
        <v>11</v>
      </c>
      <c r="Q1154" s="103" t="n">
        <v>2</v>
      </c>
      <c r="R1154" s="103" t="s">
        <v>139</v>
      </c>
      <c r="S1154" s="103" t="n">
        <v>1305</v>
      </c>
      <c r="T1154" s="103" t="n">
        <v>1205</v>
      </c>
      <c r="U1154" s="103" t="s">
        <v>714</v>
      </c>
      <c r="V1154" s="103" t="n">
        <v>2026</v>
      </c>
    </row>
    <row r="1155" customFormat="false" ht="14.25" hidden="false" customHeight="false" outlineLevel="0" collapsed="false">
      <c r="A1155" s="103" t="s">
        <v>1878</v>
      </c>
      <c r="B1155" s="103" t="s">
        <v>443</v>
      </c>
      <c r="C1155" s="104" t="n">
        <v>46042</v>
      </c>
      <c r="D1155" s="103" t="s">
        <v>104</v>
      </c>
      <c r="E1155" s="103" t="n">
        <v>58</v>
      </c>
      <c r="F1155" s="103" t="s">
        <v>170</v>
      </c>
      <c r="G1155" s="103" t="s">
        <v>81</v>
      </c>
      <c r="H1155" s="103" t="n">
        <v>4.3</v>
      </c>
      <c r="I1155" s="103" t="n">
        <v>1613</v>
      </c>
      <c r="J1155" s="103" t="n">
        <v>0</v>
      </c>
      <c r="K1155" s="103" t="n">
        <v>0</v>
      </c>
      <c r="L1155" s="103" t="s">
        <v>95</v>
      </c>
      <c r="M1155" s="103" t="s">
        <v>65</v>
      </c>
      <c r="N1155" s="103" t="s">
        <v>77</v>
      </c>
      <c r="O1155" s="103" t="n">
        <v>50</v>
      </c>
      <c r="P1155" s="103" t="n">
        <v>1.4</v>
      </c>
      <c r="Q1155" s="103" t="n">
        <v>5</v>
      </c>
      <c r="R1155" s="103" t="s">
        <v>141</v>
      </c>
      <c r="S1155" s="103" t="n">
        <v>1613</v>
      </c>
      <c r="T1155" s="103" t="n">
        <v>1613</v>
      </c>
      <c r="U1155" s="103" t="s">
        <v>714</v>
      </c>
      <c r="V1155" s="103" t="n">
        <v>2026</v>
      </c>
    </row>
    <row r="1156" customFormat="false" ht="14.25" hidden="false" customHeight="false" outlineLevel="0" collapsed="false">
      <c r="A1156" s="103" t="s">
        <v>1879</v>
      </c>
      <c r="B1156" s="103" t="s">
        <v>444</v>
      </c>
      <c r="C1156" s="104" t="n">
        <v>46042</v>
      </c>
      <c r="D1156" s="103" t="s">
        <v>100</v>
      </c>
      <c r="E1156" s="103" t="n">
        <v>38</v>
      </c>
      <c r="F1156" s="103" t="s">
        <v>172</v>
      </c>
      <c r="G1156" s="103" t="s">
        <v>81</v>
      </c>
      <c r="H1156" s="103" t="n">
        <v>4.5</v>
      </c>
      <c r="I1156" s="103" t="n">
        <v>1283</v>
      </c>
      <c r="J1156" s="103" t="n">
        <v>20</v>
      </c>
      <c r="K1156" s="103" t="n">
        <v>200</v>
      </c>
      <c r="L1156" s="103" t="s">
        <v>93</v>
      </c>
      <c r="M1156" s="103" t="s">
        <v>65</v>
      </c>
      <c r="N1156" s="103" t="s">
        <v>77</v>
      </c>
      <c r="O1156" s="103" t="n">
        <v>39</v>
      </c>
      <c r="P1156" s="103" t="n">
        <v>8.9</v>
      </c>
      <c r="Q1156" s="103" t="n">
        <v>5</v>
      </c>
      <c r="R1156" s="103" t="s">
        <v>133</v>
      </c>
      <c r="S1156" s="103" t="n">
        <v>1303</v>
      </c>
      <c r="T1156" s="103" t="n">
        <v>1103</v>
      </c>
      <c r="U1156" s="103" t="s">
        <v>714</v>
      </c>
      <c r="V1156" s="103" t="n">
        <v>2026</v>
      </c>
    </row>
    <row r="1157" customFormat="false" ht="14.25" hidden="false" customHeight="false" outlineLevel="0" collapsed="false">
      <c r="A1157" s="103" t="s">
        <v>1880</v>
      </c>
      <c r="B1157" s="103" t="s">
        <v>445</v>
      </c>
      <c r="C1157" s="104" t="n">
        <v>46043</v>
      </c>
      <c r="D1157" s="103" t="s">
        <v>107</v>
      </c>
      <c r="E1157" s="103" t="n">
        <v>19</v>
      </c>
      <c r="F1157" s="103" t="s">
        <v>171</v>
      </c>
      <c r="G1157" s="103" t="s">
        <v>85</v>
      </c>
      <c r="H1157" s="103" t="n">
        <v>2.8</v>
      </c>
      <c r="I1157" s="103" t="n">
        <v>529</v>
      </c>
      <c r="J1157" s="103" t="n">
        <v>30</v>
      </c>
      <c r="K1157" s="103" t="n">
        <v>10</v>
      </c>
      <c r="L1157" s="103" t="s">
        <v>97</v>
      </c>
      <c r="M1157" s="103" t="s">
        <v>65</v>
      </c>
      <c r="N1157" s="103" t="s">
        <v>77</v>
      </c>
      <c r="O1157" s="103" t="n">
        <v>50</v>
      </c>
      <c r="P1157" s="103" t="n">
        <v>2.4</v>
      </c>
      <c r="Q1157" s="103" t="n">
        <v>3</v>
      </c>
      <c r="R1157" s="103" t="s">
        <v>140</v>
      </c>
      <c r="S1157" s="103" t="n">
        <v>559</v>
      </c>
      <c r="T1157" s="103" t="n">
        <v>549</v>
      </c>
      <c r="U1157" s="103" t="s">
        <v>714</v>
      </c>
      <c r="V1157" s="103" t="n">
        <v>2026</v>
      </c>
    </row>
    <row r="1158" customFormat="false" ht="14.25" hidden="false" customHeight="false" outlineLevel="0" collapsed="false">
      <c r="A1158" s="103" t="s">
        <v>1881</v>
      </c>
      <c r="B1158" s="103" t="s">
        <v>446</v>
      </c>
      <c r="C1158" s="104" t="n">
        <v>46043</v>
      </c>
      <c r="D1158" s="103" t="s">
        <v>107</v>
      </c>
      <c r="E1158" s="103" t="n">
        <v>44</v>
      </c>
      <c r="F1158" s="103" t="s">
        <v>170</v>
      </c>
      <c r="G1158" s="103" t="s">
        <v>83</v>
      </c>
      <c r="H1158" s="103" t="n">
        <v>2.9</v>
      </c>
      <c r="I1158" s="103" t="n">
        <v>1685</v>
      </c>
      <c r="J1158" s="103" t="n">
        <v>0</v>
      </c>
      <c r="K1158" s="103" t="n">
        <v>30</v>
      </c>
      <c r="L1158" s="103" t="s">
        <v>96</v>
      </c>
      <c r="M1158" s="103" t="s">
        <v>65</v>
      </c>
      <c r="N1158" s="103" t="s">
        <v>77</v>
      </c>
      <c r="O1158" s="103" t="n">
        <v>45</v>
      </c>
      <c r="P1158" s="103" t="n">
        <v>14.5</v>
      </c>
      <c r="Q1158" s="103" t="n">
        <v>5</v>
      </c>
      <c r="R1158" s="103" t="s">
        <v>135</v>
      </c>
      <c r="S1158" s="103" t="n">
        <v>1685</v>
      </c>
      <c r="T1158" s="103" t="n">
        <v>1655</v>
      </c>
      <c r="U1158" s="103" t="s">
        <v>714</v>
      </c>
      <c r="V1158" s="103" t="n">
        <v>2026</v>
      </c>
    </row>
    <row r="1159" customFormat="false" ht="14.25" hidden="false" customHeight="false" outlineLevel="0" collapsed="false">
      <c r="A1159" s="103" t="s">
        <v>1882</v>
      </c>
      <c r="B1159" s="103" t="s">
        <v>447</v>
      </c>
      <c r="C1159" s="104" t="n">
        <v>46043</v>
      </c>
      <c r="D1159" s="103" t="s">
        <v>106</v>
      </c>
      <c r="E1159" s="103" t="n">
        <v>26</v>
      </c>
      <c r="F1159" s="103" t="s">
        <v>171</v>
      </c>
      <c r="G1159" s="103" t="s">
        <v>82</v>
      </c>
      <c r="H1159" s="103" t="n">
        <v>3.2</v>
      </c>
      <c r="I1159" s="103" t="n">
        <v>296</v>
      </c>
      <c r="J1159" s="103" t="n">
        <v>50</v>
      </c>
      <c r="K1159" s="103" t="n">
        <v>200</v>
      </c>
      <c r="L1159" s="103" t="s">
        <v>94</v>
      </c>
      <c r="M1159" s="103" t="s">
        <v>65</v>
      </c>
      <c r="N1159" s="103" t="s">
        <v>77</v>
      </c>
      <c r="O1159" s="103" t="n">
        <v>45</v>
      </c>
      <c r="P1159" s="103" t="n">
        <v>12.3</v>
      </c>
      <c r="Q1159" s="103" t="n">
        <v>5</v>
      </c>
      <c r="R1159" s="103" t="s">
        <v>132</v>
      </c>
      <c r="S1159" s="103" t="n">
        <v>346</v>
      </c>
      <c r="T1159" s="103" t="n">
        <v>146</v>
      </c>
      <c r="U1159" s="103" t="s">
        <v>714</v>
      </c>
      <c r="V1159" s="103" t="n">
        <v>2026</v>
      </c>
    </row>
    <row r="1160" customFormat="false" ht="14.25" hidden="false" customHeight="false" outlineLevel="0" collapsed="false">
      <c r="A1160" s="103" t="s">
        <v>1883</v>
      </c>
      <c r="B1160" s="103" t="s">
        <v>448</v>
      </c>
      <c r="C1160" s="104" t="n">
        <v>46044</v>
      </c>
      <c r="D1160" s="103" t="s">
        <v>105</v>
      </c>
      <c r="E1160" s="103" t="n">
        <v>18</v>
      </c>
      <c r="F1160" s="103" t="s">
        <v>171</v>
      </c>
      <c r="G1160" s="103" t="s">
        <v>82</v>
      </c>
      <c r="H1160" s="103" t="n">
        <v>3.8</v>
      </c>
      <c r="I1160" s="103" t="n">
        <v>570</v>
      </c>
      <c r="J1160" s="103" t="n">
        <v>50</v>
      </c>
      <c r="K1160" s="103" t="n">
        <v>30</v>
      </c>
      <c r="L1160" s="103" t="s">
        <v>96</v>
      </c>
      <c r="M1160" s="103" t="s">
        <v>65</v>
      </c>
      <c r="N1160" s="103" t="s">
        <v>78</v>
      </c>
      <c r="O1160" s="103" t="n">
        <v>16</v>
      </c>
      <c r="P1160" s="103" t="n">
        <v>2.1</v>
      </c>
      <c r="Q1160" s="103" t="n">
        <v>5</v>
      </c>
      <c r="R1160" s="103" t="s">
        <v>138</v>
      </c>
      <c r="S1160" s="103" t="n">
        <v>620</v>
      </c>
      <c r="T1160" s="103" t="n">
        <v>590</v>
      </c>
      <c r="U1160" s="103" t="s">
        <v>714</v>
      </c>
      <c r="V1160" s="103" t="n">
        <v>2026</v>
      </c>
    </row>
    <row r="1161" customFormat="false" ht="14.25" hidden="false" customHeight="false" outlineLevel="0" collapsed="false">
      <c r="A1161" s="103" t="s">
        <v>1884</v>
      </c>
      <c r="B1161" s="103" t="s">
        <v>449</v>
      </c>
      <c r="C1161" s="104" t="n">
        <v>46044</v>
      </c>
      <c r="D1161" s="103" t="s">
        <v>106</v>
      </c>
      <c r="E1161" s="103" t="n">
        <v>28</v>
      </c>
      <c r="F1161" s="103" t="s">
        <v>170</v>
      </c>
      <c r="G1161" s="103" t="s">
        <v>81</v>
      </c>
      <c r="H1161" s="103" t="n">
        <v>4.4</v>
      </c>
      <c r="I1161" s="103" t="n">
        <v>994</v>
      </c>
      <c r="J1161" s="103" t="n">
        <v>30</v>
      </c>
      <c r="K1161" s="103" t="n">
        <v>20</v>
      </c>
      <c r="L1161" s="103" t="s">
        <v>96</v>
      </c>
      <c r="M1161" s="103" t="s">
        <v>65</v>
      </c>
      <c r="N1161" s="103" t="s">
        <v>78</v>
      </c>
      <c r="O1161" s="103" t="n">
        <v>33</v>
      </c>
      <c r="P1161" s="103" t="n">
        <v>2.3</v>
      </c>
      <c r="Q1161" s="103" t="n">
        <v>5</v>
      </c>
      <c r="R1161" s="103" t="s">
        <v>134</v>
      </c>
      <c r="S1161" s="103" t="n">
        <v>1024</v>
      </c>
      <c r="T1161" s="103" t="n">
        <v>1004</v>
      </c>
      <c r="U1161" s="103" t="s">
        <v>714</v>
      </c>
      <c r="V1161" s="103" t="n">
        <v>2026</v>
      </c>
    </row>
    <row r="1162" customFormat="false" ht="14.25" hidden="false" customHeight="false" outlineLevel="0" collapsed="false">
      <c r="A1162" s="103" t="s">
        <v>1885</v>
      </c>
      <c r="B1162" s="103" t="s">
        <v>450</v>
      </c>
      <c r="C1162" s="104" t="n">
        <v>46044</v>
      </c>
      <c r="D1162" s="103" t="s">
        <v>105</v>
      </c>
      <c r="E1162" s="103" t="n">
        <v>20</v>
      </c>
      <c r="F1162" s="103" t="s">
        <v>170</v>
      </c>
      <c r="G1162" s="103" t="s">
        <v>84</v>
      </c>
      <c r="H1162" s="103" t="n">
        <v>4.6</v>
      </c>
      <c r="I1162" s="103" t="n">
        <v>1070</v>
      </c>
      <c r="J1162" s="103" t="n">
        <v>40</v>
      </c>
      <c r="K1162" s="103" t="n">
        <v>0</v>
      </c>
      <c r="L1162" s="103" t="s">
        <v>97</v>
      </c>
      <c r="M1162" s="103" t="s">
        <v>65</v>
      </c>
      <c r="N1162" s="103" t="s">
        <v>77</v>
      </c>
      <c r="O1162" s="103" t="n">
        <v>67</v>
      </c>
      <c r="P1162" s="103" t="n">
        <v>9.1</v>
      </c>
      <c r="Q1162" s="103" t="n">
        <v>5</v>
      </c>
      <c r="R1162" s="103" t="s">
        <v>142</v>
      </c>
      <c r="S1162" s="103" t="n">
        <v>1110</v>
      </c>
      <c r="T1162" s="103" t="n">
        <v>1110</v>
      </c>
      <c r="U1162" s="103" t="s">
        <v>714</v>
      </c>
      <c r="V1162" s="103" t="n">
        <v>2026</v>
      </c>
    </row>
    <row r="1163" customFormat="false" ht="14.25" hidden="false" customHeight="false" outlineLevel="0" collapsed="false">
      <c r="A1163" s="103" t="s">
        <v>1886</v>
      </c>
      <c r="B1163" s="103" t="s">
        <v>451</v>
      </c>
      <c r="C1163" s="104" t="n">
        <v>46045</v>
      </c>
      <c r="D1163" s="103" t="s">
        <v>105</v>
      </c>
      <c r="E1163" s="103" t="n">
        <v>40</v>
      </c>
      <c r="F1163" s="103" t="s">
        <v>170</v>
      </c>
      <c r="G1163" s="103" t="s">
        <v>82</v>
      </c>
      <c r="H1163" s="103" t="n">
        <v>4.3</v>
      </c>
      <c r="I1163" s="103" t="n">
        <v>146</v>
      </c>
      <c r="J1163" s="103" t="n">
        <v>60</v>
      </c>
      <c r="K1163" s="103" t="n">
        <v>100</v>
      </c>
      <c r="L1163" s="103" t="s">
        <v>96</v>
      </c>
      <c r="M1163" s="103" t="s">
        <v>67</v>
      </c>
      <c r="N1163" s="103" t="s">
        <v>77</v>
      </c>
      <c r="O1163" s="103" t="n">
        <v>26</v>
      </c>
      <c r="P1163" s="103" t="n">
        <v>5.5</v>
      </c>
      <c r="Q1163" s="103" t="n">
        <v>5</v>
      </c>
      <c r="R1163" s="103" t="s">
        <v>135</v>
      </c>
      <c r="S1163" s="103" t="n">
        <v>206</v>
      </c>
      <c r="T1163" s="103" t="n">
        <v>106</v>
      </c>
      <c r="U1163" s="103" t="s">
        <v>714</v>
      </c>
      <c r="V1163" s="103" t="n">
        <v>2026</v>
      </c>
    </row>
    <row r="1164" customFormat="false" ht="14.25" hidden="false" customHeight="false" outlineLevel="0" collapsed="false">
      <c r="A1164" s="103" t="s">
        <v>1887</v>
      </c>
      <c r="B1164" s="103" t="s">
        <v>452</v>
      </c>
      <c r="C1164" s="104" t="n">
        <v>46045</v>
      </c>
      <c r="D1164" s="103" t="s">
        <v>103</v>
      </c>
      <c r="E1164" s="103" t="n">
        <v>43</v>
      </c>
      <c r="F1164" s="103" t="s">
        <v>170</v>
      </c>
      <c r="G1164" s="103" t="s">
        <v>81</v>
      </c>
      <c r="H1164" s="103" t="n">
        <v>4.8</v>
      </c>
      <c r="I1164" s="103" t="n">
        <v>1431</v>
      </c>
      <c r="J1164" s="103" t="n">
        <v>40</v>
      </c>
      <c r="K1164" s="103" t="n">
        <v>75</v>
      </c>
      <c r="L1164" s="103" t="s">
        <v>95</v>
      </c>
      <c r="M1164" s="103" t="s">
        <v>65</v>
      </c>
      <c r="N1164" s="103" t="s">
        <v>77</v>
      </c>
      <c r="O1164" s="103" t="n">
        <v>24</v>
      </c>
      <c r="P1164" s="103" t="n">
        <v>1</v>
      </c>
      <c r="Q1164" s="103" t="n">
        <v>4</v>
      </c>
      <c r="R1164" s="103" t="s">
        <v>131</v>
      </c>
      <c r="S1164" s="103" t="n">
        <v>1471</v>
      </c>
      <c r="T1164" s="103" t="n">
        <v>1396</v>
      </c>
      <c r="U1164" s="103" t="s">
        <v>714</v>
      </c>
      <c r="V1164" s="103" t="n">
        <v>2026</v>
      </c>
    </row>
    <row r="1165" customFormat="false" ht="14.25" hidden="false" customHeight="false" outlineLevel="0" collapsed="false">
      <c r="A1165" s="103" t="s">
        <v>1888</v>
      </c>
      <c r="B1165" s="103" t="s">
        <v>453</v>
      </c>
      <c r="C1165" s="104" t="n">
        <v>46045</v>
      </c>
      <c r="D1165" s="103" t="s">
        <v>106</v>
      </c>
      <c r="E1165" s="103" t="n">
        <v>21</v>
      </c>
      <c r="F1165" s="103" t="s">
        <v>171</v>
      </c>
      <c r="G1165" s="103" t="s">
        <v>82</v>
      </c>
      <c r="H1165" s="103" t="n">
        <v>4.3</v>
      </c>
      <c r="I1165" s="103" t="n">
        <v>728</v>
      </c>
      <c r="J1165" s="103" t="n">
        <v>0</v>
      </c>
      <c r="K1165" s="103" t="n">
        <v>30</v>
      </c>
      <c r="L1165" s="103" t="s">
        <v>94</v>
      </c>
      <c r="M1165" s="103" t="s">
        <v>66</v>
      </c>
      <c r="N1165" s="103" t="s">
        <v>77</v>
      </c>
      <c r="O1165" s="103" t="n">
        <v>45</v>
      </c>
      <c r="P1165" s="103" t="n">
        <v>8.4</v>
      </c>
      <c r="Q1165" s="103" t="n">
        <v>5</v>
      </c>
      <c r="R1165" s="103" t="s">
        <v>132</v>
      </c>
      <c r="S1165" s="103" t="n">
        <v>728</v>
      </c>
      <c r="T1165" s="103" t="n">
        <v>698</v>
      </c>
      <c r="U1165" s="103" t="s">
        <v>714</v>
      </c>
      <c r="V1165" s="103" t="n">
        <v>2026</v>
      </c>
    </row>
    <row r="1166" customFormat="false" ht="14.25" hidden="false" customHeight="false" outlineLevel="0" collapsed="false">
      <c r="A1166" s="103" t="s">
        <v>1889</v>
      </c>
      <c r="B1166" s="103" t="s">
        <v>454</v>
      </c>
      <c r="C1166" s="104" t="n">
        <v>46046</v>
      </c>
      <c r="D1166" s="103" t="s">
        <v>101</v>
      </c>
      <c r="E1166" s="103" t="n">
        <v>35</v>
      </c>
      <c r="F1166" s="103" t="s">
        <v>170</v>
      </c>
      <c r="G1166" s="103" t="s">
        <v>81</v>
      </c>
      <c r="H1166" s="103" t="n">
        <v>3.3</v>
      </c>
      <c r="I1166" s="103" t="n">
        <v>803</v>
      </c>
      <c r="J1166" s="103" t="n">
        <v>40</v>
      </c>
      <c r="K1166" s="103" t="n">
        <v>75</v>
      </c>
      <c r="L1166" s="103" t="s">
        <v>94</v>
      </c>
      <c r="M1166" s="103" t="s">
        <v>66</v>
      </c>
      <c r="N1166" s="103" t="s">
        <v>77</v>
      </c>
      <c r="O1166" s="103" t="n">
        <v>59</v>
      </c>
      <c r="P1166" s="103" t="n">
        <v>6.1</v>
      </c>
      <c r="Q1166" s="103" t="n">
        <v>5</v>
      </c>
      <c r="R1166" s="103" t="s">
        <v>140</v>
      </c>
      <c r="S1166" s="103" t="n">
        <v>843</v>
      </c>
      <c r="T1166" s="103" t="n">
        <v>768</v>
      </c>
      <c r="U1166" s="103" t="s">
        <v>714</v>
      </c>
      <c r="V1166" s="103" t="n">
        <v>2026</v>
      </c>
    </row>
    <row r="1167" customFormat="false" ht="14.25" hidden="false" customHeight="false" outlineLevel="0" collapsed="false">
      <c r="A1167" s="103" t="s">
        <v>1890</v>
      </c>
      <c r="B1167" s="103" t="s">
        <v>455</v>
      </c>
      <c r="C1167" s="104" t="n">
        <v>46046</v>
      </c>
      <c r="D1167" s="103" t="s">
        <v>110</v>
      </c>
      <c r="E1167" s="103" t="n">
        <v>23</v>
      </c>
      <c r="F1167" s="103" t="s">
        <v>171</v>
      </c>
      <c r="G1167" s="103" t="s">
        <v>85</v>
      </c>
      <c r="H1167" s="103" t="n">
        <v>3.2</v>
      </c>
      <c r="I1167" s="103" t="n">
        <v>1480</v>
      </c>
      <c r="J1167" s="103" t="n">
        <v>30</v>
      </c>
      <c r="K1167" s="103" t="n">
        <v>75</v>
      </c>
      <c r="L1167" s="103" t="s">
        <v>95</v>
      </c>
      <c r="M1167" s="103" t="s">
        <v>65</v>
      </c>
      <c r="N1167" s="103" t="s">
        <v>77</v>
      </c>
      <c r="O1167" s="103" t="n">
        <v>36</v>
      </c>
      <c r="P1167" s="103" t="n">
        <v>2</v>
      </c>
      <c r="Q1167" s="103" t="n">
        <v>5</v>
      </c>
      <c r="R1167" s="103" t="s">
        <v>141</v>
      </c>
      <c r="S1167" s="103" t="n">
        <v>1510</v>
      </c>
      <c r="T1167" s="103" t="n">
        <v>1435</v>
      </c>
      <c r="U1167" s="103" t="s">
        <v>714</v>
      </c>
      <c r="V1167" s="103" t="n">
        <v>2026</v>
      </c>
    </row>
    <row r="1168" customFormat="false" ht="14.25" hidden="false" customHeight="false" outlineLevel="0" collapsed="false">
      <c r="A1168" s="103" t="s">
        <v>1891</v>
      </c>
      <c r="B1168" s="103" t="s">
        <v>456</v>
      </c>
      <c r="C1168" s="104" t="n">
        <v>46046</v>
      </c>
      <c r="D1168" s="103" t="s">
        <v>111</v>
      </c>
      <c r="E1168" s="103" t="n">
        <v>52</v>
      </c>
      <c r="F1168" s="103" t="s">
        <v>170</v>
      </c>
      <c r="G1168" s="103" t="s">
        <v>83</v>
      </c>
      <c r="H1168" s="103" t="n">
        <v>4.2</v>
      </c>
      <c r="I1168" s="103" t="n">
        <v>757</v>
      </c>
      <c r="J1168" s="103" t="n">
        <v>0</v>
      </c>
      <c r="K1168" s="103" t="n">
        <v>30</v>
      </c>
      <c r="L1168" s="103" t="s">
        <v>95</v>
      </c>
      <c r="M1168" s="103" t="s">
        <v>66</v>
      </c>
      <c r="N1168" s="103" t="s">
        <v>77</v>
      </c>
      <c r="O1168" s="103" t="n">
        <v>37</v>
      </c>
      <c r="P1168" s="103" t="n">
        <v>12.1</v>
      </c>
      <c r="Q1168" s="103" t="n">
        <v>5</v>
      </c>
      <c r="R1168" s="103" t="s">
        <v>135</v>
      </c>
      <c r="S1168" s="103" t="n">
        <v>757</v>
      </c>
      <c r="T1168" s="103" t="n">
        <v>727</v>
      </c>
      <c r="U1168" s="103" t="s">
        <v>714</v>
      </c>
      <c r="V1168" s="103" t="n">
        <v>2026</v>
      </c>
    </row>
    <row r="1169" customFormat="false" ht="14.25" hidden="false" customHeight="false" outlineLevel="0" collapsed="false">
      <c r="A1169" s="103" t="s">
        <v>1892</v>
      </c>
      <c r="B1169" s="103" t="s">
        <v>457</v>
      </c>
      <c r="C1169" s="104" t="n">
        <v>46047</v>
      </c>
      <c r="D1169" s="103" t="s">
        <v>102</v>
      </c>
      <c r="E1169" s="103" t="n">
        <v>39</v>
      </c>
      <c r="F1169" s="103" t="s">
        <v>171</v>
      </c>
      <c r="G1169" s="103" t="s">
        <v>81</v>
      </c>
      <c r="H1169" s="103" t="n">
        <v>3</v>
      </c>
      <c r="I1169" s="103" t="n">
        <v>199</v>
      </c>
      <c r="J1169" s="103" t="n">
        <v>20</v>
      </c>
      <c r="K1169" s="103" t="n">
        <v>75</v>
      </c>
      <c r="L1169" s="103" t="s">
        <v>97</v>
      </c>
      <c r="M1169" s="103" t="s">
        <v>65</v>
      </c>
      <c r="N1169" s="103" t="s">
        <v>77</v>
      </c>
      <c r="O1169" s="103" t="n">
        <v>66</v>
      </c>
      <c r="P1169" s="103" t="n">
        <v>13.8</v>
      </c>
      <c r="Q1169" s="103" t="n">
        <v>1</v>
      </c>
      <c r="R1169" s="103" t="s">
        <v>137</v>
      </c>
      <c r="S1169" s="103" t="n">
        <v>219</v>
      </c>
      <c r="T1169" s="103" t="n">
        <v>144</v>
      </c>
      <c r="U1169" s="103" t="s">
        <v>714</v>
      </c>
      <c r="V1169" s="103" t="n">
        <v>2026</v>
      </c>
    </row>
    <row r="1170" customFormat="false" ht="14.25" hidden="false" customHeight="false" outlineLevel="0" collapsed="false">
      <c r="A1170" s="103" t="s">
        <v>1893</v>
      </c>
      <c r="B1170" s="103" t="s">
        <v>458</v>
      </c>
      <c r="C1170" s="104" t="n">
        <v>46047</v>
      </c>
      <c r="D1170" s="103" t="s">
        <v>102</v>
      </c>
      <c r="E1170" s="103" t="n">
        <v>60</v>
      </c>
      <c r="F1170" s="103" t="s">
        <v>170</v>
      </c>
      <c r="G1170" s="103" t="s">
        <v>82</v>
      </c>
      <c r="H1170" s="103" t="n">
        <v>2.7</v>
      </c>
      <c r="I1170" s="103" t="n">
        <v>416</v>
      </c>
      <c r="J1170" s="103" t="n">
        <v>40</v>
      </c>
      <c r="K1170" s="103" t="n">
        <v>150</v>
      </c>
      <c r="L1170" s="103" t="s">
        <v>94</v>
      </c>
      <c r="M1170" s="103" t="s">
        <v>65</v>
      </c>
      <c r="N1170" s="103" t="s">
        <v>77</v>
      </c>
      <c r="O1170" s="103" t="n">
        <v>37</v>
      </c>
      <c r="P1170" s="103" t="n">
        <v>11.5</v>
      </c>
      <c r="Q1170" s="103" t="n">
        <v>4</v>
      </c>
      <c r="R1170" s="103" t="s">
        <v>136</v>
      </c>
      <c r="S1170" s="103" t="n">
        <v>456</v>
      </c>
      <c r="T1170" s="103" t="n">
        <v>306</v>
      </c>
      <c r="U1170" s="103" t="s">
        <v>714</v>
      </c>
      <c r="V1170" s="103" t="n">
        <v>2026</v>
      </c>
    </row>
    <row r="1171" customFormat="false" ht="14.25" hidden="false" customHeight="false" outlineLevel="0" collapsed="false">
      <c r="A1171" s="103" t="s">
        <v>1894</v>
      </c>
      <c r="B1171" s="103" t="s">
        <v>459</v>
      </c>
      <c r="C1171" s="104" t="n">
        <v>46047</v>
      </c>
      <c r="D1171" s="103" t="s">
        <v>106</v>
      </c>
      <c r="E1171" s="103" t="n">
        <v>32</v>
      </c>
      <c r="F1171" s="103" t="s">
        <v>171</v>
      </c>
      <c r="G1171" s="103" t="s">
        <v>89</v>
      </c>
      <c r="H1171" s="103" t="n">
        <v>3.8</v>
      </c>
      <c r="I1171" s="103" t="n">
        <v>1726</v>
      </c>
      <c r="J1171" s="103" t="n">
        <v>40</v>
      </c>
      <c r="K1171" s="103" t="n">
        <v>20</v>
      </c>
      <c r="L1171" s="103" t="s">
        <v>94</v>
      </c>
      <c r="M1171" s="103" t="s">
        <v>65</v>
      </c>
      <c r="N1171" s="103" t="s">
        <v>77</v>
      </c>
      <c r="O1171" s="103" t="n">
        <v>29</v>
      </c>
      <c r="P1171" s="103" t="n">
        <v>12.4</v>
      </c>
      <c r="Q1171" s="103" t="n">
        <v>4</v>
      </c>
      <c r="R1171" s="103" t="s">
        <v>132</v>
      </c>
      <c r="S1171" s="103" t="n">
        <v>1766</v>
      </c>
      <c r="T1171" s="103" t="n">
        <v>1746</v>
      </c>
      <c r="U1171" s="103" t="s">
        <v>714</v>
      </c>
      <c r="V1171" s="103" t="n">
        <v>2026</v>
      </c>
    </row>
    <row r="1172" customFormat="false" ht="14.25" hidden="false" customHeight="false" outlineLevel="0" collapsed="false">
      <c r="A1172" s="103" t="s">
        <v>1895</v>
      </c>
      <c r="B1172" s="103" t="s">
        <v>460</v>
      </c>
      <c r="C1172" s="104" t="n">
        <v>46048</v>
      </c>
      <c r="D1172" s="103" t="s">
        <v>106</v>
      </c>
      <c r="E1172" s="103" t="n">
        <v>39</v>
      </c>
      <c r="F1172" s="103" t="s">
        <v>171</v>
      </c>
      <c r="G1172" s="103" t="s">
        <v>83</v>
      </c>
      <c r="H1172" s="103" t="n">
        <v>4.6</v>
      </c>
      <c r="I1172" s="103" t="n">
        <v>238</v>
      </c>
      <c r="J1172" s="103" t="n">
        <v>60</v>
      </c>
      <c r="K1172" s="103" t="n">
        <v>30</v>
      </c>
      <c r="L1172" s="103" t="s">
        <v>94</v>
      </c>
      <c r="M1172" s="103" t="s">
        <v>65</v>
      </c>
      <c r="N1172" s="103" t="s">
        <v>78</v>
      </c>
      <c r="O1172" s="103" t="n">
        <v>40</v>
      </c>
      <c r="P1172" s="103" t="n">
        <v>3.6</v>
      </c>
      <c r="Q1172" s="103" t="n">
        <v>4</v>
      </c>
      <c r="R1172" s="103" t="s">
        <v>132</v>
      </c>
      <c r="S1172" s="103" t="n">
        <v>298</v>
      </c>
      <c r="T1172" s="103" t="n">
        <v>268</v>
      </c>
      <c r="U1172" s="103" t="s">
        <v>714</v>
      </c>
      <c r="V1172" s="103" t="n">
        <v>2026</v>
      </c>
    </row>
    <row r="1173" customFormat="false" ht="14.25" hidden="false" customHeight="false" outlineLevel="0" collapsed="false">
      <c r="A1173" s="103" t="s">
        <v>1896</v>
      </c>
      <c r="B1173" s="103" t="s">
        <v>461</v>
      </c>
      <c r="C1173" s="104" t="n">
        <v>46048</v>
      </c>
      <c r="D1173" s="103" t="s">
        <v>104</v>
      </c>
      <c r="E1173" s="103" t="n">
        <v>54</v>
      </c>
      <c r="F1173" s="103" t="s">
        <v>170</v>
      </c>
      <c r="G1173" s="103" t="s">
        <v>85</v>
      </c>
      <c r="H1173" s="103" t="n">
        <v>2.8</v>
      </c>
      <c r="I1173" s="103" t="n">
        <v>716</v>
      </c>
      <c r="J1173" s="103" t="n">
        <v>0</v>
      </c>
      <c r="K1173" s="103" t="n">
        <v>0</v>
      </c>
      <c r="L1173" s="103" t="s">
        <v>95</v>
      </c>
      <c r="M1173" s="103" t="s">
        <v>65</v>
      </c>
      <c r="N1173" s="103" t="s">
        <v>77</v>
      </c>
      <c r="O1173" s="103" t="n">
        <v>17</v>
      </c>
      <c r="P1173" s="103" t="n">
        <v>4.3</v>
      </c>
      <c r="Q1173" s="103" t="n">
        <v>3</v>
      </c>
      <c r="R1173" s="103" t="s">
        <v>131</v>
      </c>
      <c r="S1173" s="103" t="n">
        <v>716</v>
      </c>
      <c r="T1173" s="103" t="n">
        <v>716</v>
      </c>
      <c r="U1173" s="103" t="s">
        <v>714</v>
      </c>
      <c r="V1173" s="103" t="n">
        <v>2026</v>
      </c>
    </row>
    <row r="1174" customFormat="false" ht="14.25" hidden="false" customHeight="false" outlineLevel="0" collapsed="false">
      <c r="A1174" s="103" t="s">
        <v>1897</v>
      </c>
      <c r="B1174" s="103" t="s">
        <v>462</v>
      </c>
      <c r="C1174" s="104" t="n">
        <v>46048</v>
      </c>
      <c r="D1174" s="103" t="s">
        <v>111</v>
      </c>
      <c r="E1174" s="103" t="n">
        <v>59</v>
      </c>
      <c r="F1174" s="103" t="s">
        <v>171</v>
      </c>
      <c r="G1174" s="103" t="s">
        <v>81</v>
      </c>
      <c r="H1174" s="103" t="n">
        <v>4.5</v>
      </c>
      <c r="I1174" s="103" t="n">
        <v>965</v>
      </c>
      <c r="J1174" s="103" t="n">
        <v>50</v>
      </c>
      <c r="K1174" s="103" t="n">
        <v>30</v>
      </c>
      <c r="L1174" s="103" t="s">
        <v>95</v>
      </c>
      <c r="M1174" s="103" t="s">
        <v>65</v>
      </c>
      <c r="N1174" s="103" t="s">
        <v>77</v>
      </c>
      <c r="O1174" s="103" t="n">
        <v>37</v>
      </c>
      <c r="P1174" s="103" t="n">
        <v>3.5</v>
      </c>
      <c r="Q1174" s="103" t="n">
        <v>5</v>
      </c>
      <c r="R1174" s="103" t="s">
        <v>136</v>
      </c>
      <c r="S1174" s="103" t="n">
        <v>1015</v>
      </c>
      <c r="T1174" s="103" t="n">
        <v>985</v>
      </c>
      <c r="U1174" s="103" t="s">
        <v>714</v>
      </c>
      <c r="V1174" s="103" t="n">
        <v>2026</v>
      </c>
    </row>
    <row r="1175" customFormat="false" ht="14.25" hidden="false" customHeight="false" outlineLevel="0" collapsed="false">
      <c r="A1175" s="103" t="s">
        <v>1898</v>
      </c>
      <c r="B1175" s="103" t="s">
        <v>463</v>
      </c>
      <c r="C1175" s="104" t="n">
        <v>46049</v>
      </c>
      <c r="D1175" s="103" t="s">
        <v>111</v>
      </c>
      <c r="E1175" s="103" t="n">
        <v>29</v>
      </c>
      <c r="F1175" s="103" t="s">
        <v>170</v>
      </c>
      <c r="G1175" s="103" t="s">
        <v>89</v>
      </c>
      <c r="H1175" s="103" t="n">
        <v>4.5</v>
      </c>
      <c r="I1175" s="103" t="n">
        <v>949</v>
      </c>
      <c r="J1175" s="103" t="n">
        <v>40</v>
      </c>
      <c r="K1175" s="103" t="n">
        <v>200</v>
      </c>
      <c r="L1175" s="103" t="s">
        <v>93</v>
      </c>
      <c r="M1175" s="103" t="s">
        <v>66</v>
      </c>
      <c r="N1175" s="103" t="s">
        <v>77</v>
      </c>
      <c r="O1175" s="103" t="n">
        <v>34</v>
      </c>
      <c r="P1175" s="103" t="n">
        <v>11.6</v>
      </c>
      <c r="Q1175" s="103" t="n">
        <v>2</v>
      </c>
      <c r="R1175" s="103" t="s">
        <v>140</v>
      </c>
      <c r="S1175" s="103" t="n">
        <v>989</v>
      </c>
      <c r="T1175" s="103" t="n">
        <v>789</v>
      </c>
      <c r="U1175" s="103" t="s">
        <v>714</v>
      </c>
      <c r="V1175" s="103" t="n">
        <v>2026</v>
      </c>
    </row>
    <row r="1176" customFormat="false" ht="14.25" hidden="false" customHeight="false" outlineLevel="0" collapsed="false">
      <c r="A1176" s="103" t="s">
        <v>1899</v>
      </c>
      <c r="B1176" s="103" t="s">
        <v>464</v>
      </c>
      <c r="C1176" s="104" t="n">
        <v>46049</v>
      </c>
      <c r="D1176" s="103" t="s">
        <v>103</v>
      </c>
      <c r="E1176" s="103" t="n">
        <v>59</v>
      </c>
      <c r="F1176" s="103" t="s">
        <v>171</v>
      </c>
      <c r="G1176" s="103" t="s">
        <v>81</v>
      </c>
      <c r="H1176" s="103" t="n">
        <v>3.7</v>
      </c>
      <c r="I1176" s="103" t="n">
        <v>127</v>
      </c>
      <c r="J1176" s="103" t="n">
        <v>30</v>
      </c>
      <c r="K1176" s="103" t="n">
        <v>150</v>
      </c>
      <c r="L1176" s="103" t="s">
        <v>94</v>
      </c>
      <c r="M1176" s="103" t="s">
        <v>65</v>
      </c>
      <c r="N1176" s="103" t="s">
        <v>77</v>
      </c>
      <c r="O1176" s="103" t="n">
        <v>59</v>
      </c>
      <c r="P1176" s="103" t="n">
        <v>14.2</v>
      </c>
      <c r="Q1176" s="103" t="n">
        <v>5</v>
      </c>
      <c r="R1176" s="103" t="s">
        <v>133</v>
      </c>
      <c r="S1176" s="103" t="n">
        <v>157</v>
      </c>
      <c r="T1176" s="103" t="n">
        <v>7</v>
      </c>
      <c r="U1176" s="103" t="s">
        <v>714</v>
      </c>
      <c r="V1176" s="103" t="n">
        <v>2026</v>
      </c>
    </row>
    <row r="1177" customFormat="false" ht="14.25" hidden="false" customHeight="false" outlineLevel="0" collapsed="false">
      <c r="A1177" s="103" t="s">
        <v>1900</v>
      </c>
      <c r="B1177" s="103" t="s">
        <v>465</v>
      </c>
      <c r="C1177" s="104" t="n">
        <v>46049</v>
      </c>
      <c r="D1177" s="103" t="s">
        <v>106</v>
      </c>
      <c r="E1177" s="103" t="n">
        <v>55</v>
      </c>
      <c r="F1177" s="103" t="s">
        <v>171</v>
      </c>
      <c r="G1177" s="103" t="s">
        <v>84</v>
      </c>
      <c r="H1177" s="103" t="n">
        <v>2.6</v>
      </c>
      <c r="I1177" s="103" t="n">
        <v>962</v>
      </c>
      <c r="J1177" s="103" t="n">
        <v>40</v>
      </c>
      <c r="K1177" s="103" t="n">
        <v>30</v>
      </c>
      <c r="L1177" s="103" t="s">
        <v>93</v>
      </c>
      <c r="M1177" s="103" t="s">
        <v>67</v>
      </c>
      <c r="N1177" s="103" t="s">
        <v>78</v>
      </c>
      <c r="O1177" s="103" t="n">
        <v>54</v>
      </c>
      <c r="P1177" s="103" t="n">
        <v>10.9</v>
      </c>
      <c r="Q1177" s="103" t="n">
        <v>5</v>
      </c>
      <c r="R1177" s="103" t="s">
        <v>133</v>
      </c>
      <c r="S1177" s="103" t="n">
        <v>1002</v>
      </c>
      <c r="T1177" s="103" t="n">
        <v>972</v>
      </c>
      <c r="U1177" s="103" t="s">
        <v>714</v>
      </c>
      <c r="V1177" s="103" t="n">
        <v>2026</v>
      </c>
    </row>
    <row r="1178" customFormat="false" ht="14.25" hidden="false" customHeight="false" outlineLevel="0" collapsed="false">
      <c r="A1178" s="103" t="s">
        <v>1901</v>
      </c>
      <c r="B1178" s="103" t="s">
        <v>466</v>
      </c>
      <c r="C1178" s="104" t="n">
        <v>46050</v>
      </c>
      <c r="D1178" s="103" t="s">
        <v>111</v>
      </c>
      <c r="E1178" s="103" t="n">
        <v>35</v>
      </c>
      <c r="F1178" s="103" t="s">
        <v>171</v>
      </c>
      <c r="G1178" s="103" t="s">
        <v>82</v>
      </c>
      <c r="H1178" s="103" t="n">
        <v>2.9</v>
      </c>
      <c r="I1178" s="103" t="n">
        <v>765</v>
      </c>
      <c r="J1178" s="103" t="n">
        <v>60</v>
      </c>
      <c r="K1178" s="103" t="n">
        <v>100</v>
      </c>
      <c r="L1178" s="103" t="s">
        <v>93</v>
      </c>
      <c r="M1178" s="103" t="s">
        <v>65</v>
      </c>
      <c r="N1178" s="103" t="s">
        <v>78</v>
      </c>
      <c r="O1178" s="103" t="n">
        <v>53</v>
      </c>
      <c r="P1178" s="103" t="n">
        <v>13.3</v>
      </c>
      <c r="Q1178" s="103" t="n">
        <v>4</v>
      </c>
      <c r="R1178" s="103" t="s">
        <v>136</v>
      </c>
      <c r="S1178" s="103" t="n">
        <v>825</v>
      </c>
      <c r="T1178" s="103" t="n">
        <v>725</v>
      </c>
      <c r="U1178" s="103" t="s">
        <v>714</v>
      </c>
      <c r="V1178" s="103" t="n">
        <v>2026</v>
      </c>
    </row>
    <row r="1179" customFormat="false" ht="14.25" hidden="false" customHeight="false" outlineLevel="0" collapsed="false">
      <c r="A1179" s="103" t="s">
        <v>1902</v>
      </c>
      <c r="B1179" s="103" t="s">
        <v>467</v>
      </c>
      <c r="C1179" s="104" t="n">
        <v>46050</v>
      </c>
      <c r="D1179" s="103" t="s">
        <v>104</v>
      </c>
      <c r="E1179" s="103" t="n">
        <v>52</v>
      </c>
      <c r="F1179" s="103" t="s">
        <v>171</v>
      </c>
      <c r="G1179" s="103" t="s">
        <v>86</v>
      </c>
      <c r="H1179" s="103" t="n">
        <v>4.3</v>
      </c>
      <c r="I1179" s="103" t="n">
        <v>1753</v>
      </c>
      <c r="J1179" s="103" t="n">
        <v>20</v>
      </c>
      <c r="K1179" s="103" t="n">
        <v>20</v>
      </c>
      <c r="L1179" s="103" t="s">
        <v>95</v>
      </c>
      <c r="M1179" s="103" t="s">
        <v>66</v>
      </c>
      <c r="N1179" s="103" t="s">
        <v>77</v>
      </c>
      <c r="O1179" s="103" t="n">
        <v>70</v>
      </c>
      <c r="P1179" s="103" t="n">
        <v>9.8</v>
      </c>
      <c r="Q1179" s="103" t="n">
        <v>4</v>
      </c>
      <c r="R1179" s="103" t="s">
        <v>135</v>
      </c>
      <c r="S1179" s="103" t="n">
        <v>1773</v>
      </c>
      <c r="T1179" s="103" t="n">
        <v>1753</v>
      </c>
      <c r="U1179" s="103" t="s">
        <v>714</v>
      </c>
      <c r="V1179" s="103" t="n">
        <v>2026</v>
      </c>
    </row>
    <row r="1180" customFormat="false" ht="14.25" hidden="false" customHeight="false" outlineLevel="0" collapsed="false">
      <c r="A1180" s="103" t="s">
        <v>1903</v>
      </c>
      <c r="B1180" s="103" t="s">
        <v>468</v>
      </c>
      <c r="C1180" s="104" t="n">
        <v>46050</v>
      </c>
      <c r="D1180" s="103" t="s">
        <v>105</v>
      </c>
      <c r="E1180" s="103" t="n">
        <v>47</v>
      </c>
      <c r="F1180" s="103" t="s">
        <v>170</v>
      </c>
      <c r="G1180" s="103" t="s">
        <v>88</v>
      </c>
      <c r="H1180" s="103" t="n">
        <v>4.3</v>
      </c>
      <c r="I1180" s="103" t="n">
        <v>387</v>
      </c>
      <c r="J1180" s="103" t="n">
        <v>60</v>
      </c>
      <c r="K1180" s="103" t="n">
        <v>200</v>
      </c>
      <c r="L1180" s="103" t="s">
        <v>93</v>
      </c>
      <c r="M1180" s="103" t="s">
        <v>65</v>
      </c>
      <c r="N1180" s="103" t="s">
        <v>77</v>
      </c>
      <c r="O1180" s="103" t="n">
        <v>22</v>
      </c>
      <c r="P1180" s="103" t="n">
        <v>6.1</v>
      </c>
      <c r="Q1180" s="103" t="n">
        <v>5</v>
      </c>
      <c r="R1180" s="103" t="s">
        <v>134</v>
      </c>
      <c r="S1180" s="103" t="n">
        <v>447</v>
      </c>
      <c r="T1180" s="103" t="n">
        <v>247</v>
      </c>
      <c r="U1180" s="103" t="s">
        <v>714</v>
      </c>
      <c r="V1180" s="103" t="n">
        <v>2026</v>
      </c>
    </row>
    <row r="1181" customFormat="false" ht="14.25" hidden="false" customHeight="false" outlineLevel="0" collapsed="false">
      <c r="A1181" s="103" t="s">
        <v>1904</v>
      </c>
      <c r="B1181" s="103" t="s">
        <v>469</v>
      </c>
      <c r="C1181" s="104" t="n">
        <v>46051</v>
      </c>
      <c r="D1181" s="103" t="s">
        <v>107</v>
      </c>
      <c r="E1181" s="103" t="n">
        <v>41</v>
      </c>
      <c r="F1181" s="103" t="s">
        <v>171</v>
      </c>
      <c r="G1181" s="103" t="s">
        <v>90</v>
      </c>
      <c r="H1181" s="103" t="n">
        <v>4.7</v>
      </c>
      <c r="I1181" s="103" t="n">
        <v>715</v>
      </c>
      <c r="J1181" s="103" t="n">
        <v>40</v>
      </c>
      <c r="K1181" s="103" t="n">
        <v>30</v>
      </c>
      <c r="L1181" s="103" t="s">
        <v>93</v>
      </c>
      <c r="M1181" s="103" t="s">
        <v>65</v>
      </c>
      <c r="N1181" s="103" t="s">
        <v>78</v>
      </c>
      <c r="O1181" s="103" t="n">
        <v>32</v>
      </c>
      <c r="P1181" s="103" t="n">
        <v>6.7</v>
      </c>
      <c r="Q1181" s="103" t="n">
        <v>5</v>
      </c>
      <c r="R1181" s="103" t="s">
        <v>139</v>
      </c>
      <c r="S1181" s="103" t="n">
        <v>755</v>
      </c>
      <c r="T1181" s="103" t="n">
        <v>725</v>
      </c>
      <c r="U1181" s="103" t="s">
        <v>714</v>
      </c>
      <c r="V1181" s="103" t="n">
        <v>2026</v>
      </c>
    </row>
    <row r="1182" customFormat="false" ht="14.25" hidden="false" customHeight="false" outlineLevel="0" collapsed="false">
      <c r="A1182" s="103" t="s">
        <v>1905</v>
      </c>
      <c r="B1182" s="103" t="s">
        <v>470</v>
      </c>
      <c r="C1182" s="104" t="n">
        <v>46051</v>
      </c>
      <c r="D1182" s="103" t="s">
        <v>107</v>
      </c>
      <c r="E1182" s="103" t="n">
        <v>59</v>
      </c>
      <c r="F1182" s="103" t="s">
        <v>170</v>
      </c>
      <c r="G1182" s="103" t="s">
        <v>84</v>
      </c>
      <c r="H1182" s="103" t="n">
        <v>4</v>
      </c>
      <c r="I1182" s="103" t="n">
        <v>825</v>
      </c>
      <c r="J1182" s="103" t="n">
        <v>50</v>
      </c>
      <c r="K1182" s="103" t="n">
        <v>10</v>
      </c>
      <c r="L1182" s="103" t="s">
        <v>93</v>
      </c>
      <c r="M1182" s="103" t="s">
        <v>66</v>
      </c>
      <c r="N1182" s="103" t="s">
        <v>77</v>
      </c>
      <c r="O1182" s="103" t="n">
        <v>55</v>
      </c>
      <c r="P1182" s="103" t="n">
        <v>1.6</v>
      </c>
      <c r="Q1182" s="103" t="n">
        <v>5</v>
      </c>
      <c r="R1182" s="103" t="s">
        <v>134</v>
      </c>
      <c r="S1182" s="103" t="n">
        <v>875</v>
      </c>
      <c r="T1182" s="103" t="n">
        <v>865</v>
      </c>
      <c r="U1182" s="103" t="s">
        <v>714</v>
      </c>
      <c r="V1182" s="103" t="n">
        <v>2026</v>
      </c>
    </row>
    <row r="1183" customFormat="false" ht="14.25" hidden="false" customHeight="false" outlineLevel="0" collapsed="false">
      <c r="A1183" s="103" t="s">
        <v>1906</v>
      </c>
      <c r="B1183" s="103" t="s">
        <v>471</v>
      </c>
      <c r="C1183" s="104" t="n">
        <v>46051</v>
      </c>
      <c r="D1183" s="103" t="s">
        <v>105</v>
      </c>
      <c r="E1183" s="103" t="n">
        <v>47</v>
      </c>
      <c r="F1183" s="103" t="s">
        <v>170</v>
      </c>
      <c r="G1183" s="103" t="s">
        <v>89</v>
      </c>
      <c r="H1183" s="103" t="n">
        <v>2.8</v>
      </c>
      <c r="I1183" s="103" t="n">
        <v>776</v>
      </c>
      <c r="J1183" s="103" t="n">
        <v>40</v>
      </c>
      <c r="K1183" s="103" t="n">
        <v>50</v>
      </c>
      <c r="L1183" s="103" t="s">
        <v>93</v>
      </c>
      <c r="M1183" s="103" t="s">
        <v>65</v>
      </c>
      <c r="N1183" s="103" t="s">
        <v>77</v>
      </c>
      <c r="O1183" s="103" t="n">
        <v>20</v>
      </c>
      <c r="P1183" s="103" t="n">
        <v>1</v>
      </c>
      <c r="Q1183" s="103" t="n">
        <v>5</v>
      </c>
      <c r="R1183" s="103" t="s">
        <v>134</v>
      </c>
      <c r="S1183" s="103" t="n">
        <v>816</v>
      </c>
      <c r="T1183" s="103" t="n">
        <v>766</v>
      </c>
      <c r="U1183" s="103" t="s">
        <v>714</v>
      </c>
      <c r="V1183" s="103" t="n">
        <v>2026</v>
      </c>
    </row>
    <row r="1184" customFormat="false" ht="14.25" hidden="false" customHeight="false" outlineLevel="0" collapsed="false">
      <c r="A1184" s="103" t="s">
        <v>1907</v>
      </c>
      <c r="B1184" s="103" t="s">
        <v>472</v>
      </c>
      <c r="C1184" s="104" t="n">
        <v>46052</v>
      </c>
      <c r="D1184" s="103" t="s">
        <v>108</v>
      </c>
      <c r="E1184" s="103" t="n">
        <v>31</v>
      </c>
      <c r="F1184" s="103" t="s">
        <v>171</v>
      </c>
      <c r="G1184" s="103" t="s">
        <v>84</v>
      </c>
      <c r="H1184" s="103" t="n">
        <v>2.8</v>
      </c>
      <c r="I1184" s="103" t="n">
        <v>1239</v>
      </c>
      <c r="J1184" s="103" t="n">
        <v>0</v>
      </c>
      <c r="K1184" s="103" t="n">
        <v>10</v>
      </c>
      <c r="L1184" s="103" t="s">
        <v>95</v>
      </c>
      <c r="M1184" s="103" t="s">
        <v>65</v>
      </c>
      <c r="N1184" s="103" t="s">
        <v>77</v>
      </c>
      <c r="O1184" s="103" t="n">
        <v>41</v>
      </c>
      <c r="P1184" s="103" t="n">
        <v>10.6</v>
      </c>
      <c r="Q1184" s="103" t="n">
        <v>5</v>
      </c>
      <c r="R1184" s="103" t="s">
        <v>132</v>
      </c>
      <c r="S1184" s="103" t="n">
        <v>1239</v>
      </c>
      <c r="T1184" s="103" t="n">
        <v>1229</v>
      </c>
      <c r="U1184" s="103" t="s">
        <v>714</v>
      </c>
      <c r="V1184" s="103" t="n">
        <v>2026</v>
      </c>
    </row>
    <row r="1185" customFormat="false" ht="14.25" hidden="false" customHeight="false" outlineLevel="0" collapsed="false">
      <c r="A1185" s="103" t="s">
        <v>1908</v>
      </c>
      <c r="B1185" s="103" t="s">
        <v>473</v>
      </c>
      <c r="C1185" s="104" t="n">
        <v>46052</v>
      </c>
      <c r="D1185" s="103" t="s">
        <v>104</v>
      </c>
      <c r="E1185" s="103" t="n">
        <v>23</v>
      </c>
      <c r="F1185" s="103" t="s">
        <v>170</v>
      </c>
      <c r="G1185" s="103" t="s">
        <v>87</v>
      </c>
      <c r="H1185" s="103" t="n">
        <v>4.3</v>
      </c>
      <c r="I1185" s="103" t="n">
        <v>482</v>
      </c>
      <c r="J1185" s="103" t="n">
        <v>40</v>
      </c>
      <c r="K1185" s="103" t="n">
        <v>75</v>
      </c>
      <c r="L1185" s="103" t="s">
        <v>94</v>
      </c>
      <c r="M1185" s="103" t="s">
        <v>65</v>
      </c>
      <c r="N1185" s="103" t="s">
        <v>77</v>
      </c>
      <c r="O1185" s="103" t="n">
        <v>50</v>
      </c>
      <c r="P1185" s="103" t="n">
        <v>6.9</v>
      </c>
      <c r="Q1185" s="103" t="n">
        <v>5</v>
      </c>
      <c r="R1185" s="103" t="s">
        <v>132</v>
      </c>
      <c r="S1185" s="103" t="n">
        <v>522</v>
      </c>
      <c r="T1185" s="103" t="n">
        <v>447</v>
      </c>
      <c r="U1185" s="103" t="s">
        <v>714</v>
      </c>
      <c r="V1185" s="103" t="n">
        <v>2026</v>
      </c>
    </row>
    <row r="1186" customFormat="false" ht="14.25" hidden="false" customHeight="false" outlineLevel="0" collapsed="false">
      <c r="A1186" s="103" t="s">
        <v>1909</v>
      </c>
      <c r="B1186" s="103" t="s">
        <v>474</v>
      </c>
      <c r="C1186" s="104" t="n">
        <v>46052</v>
      </c>
      <c r="D1186" s="103" t="s">
        <v>111</v>
      </c>
      <c r="E1186" s="103" t="n">
        <v>20</v>
      </c>
      <c r="F1186" s="103" t="s">
        <v>170</v>
      </c>
      <c r="G1186" s="103" t="s">
        <v>81</v>
      </c>
      <c r="H1186" s="103" t="n">
        <v>3</v>
      </c>
      <c r="I1186" s="103" t="n">
        <v>491</v>
      </c>
      <c r="J1186" s="103" t="n">
        <v>50</v>
      </c>
      <c r="K1186" s="103" t="n">
        <v>0</v>
      </c>
      <c r="L1186" s="103" t="s">
        <v>96</v>
      </c>
      <c r="M1186" s="103" t="s">
        <v>66</v>
      </c>
      <c r="N1186" s="103" t="s">
        <v>77</v>
      </c>
      <c r="O1186" s="103" t="n">
        <v>29</v>
      </c>
      <c r="P1186" s="103" t="n">
        <v>8.5</v>
      </c>
      <c r="Q1186" s="103" t="n">
        <v>5</v>
      </c>
      <c r="R1186" s="103" t="s">
        <v>138</v>
      </c>
      <c r="S1186" s="103" t="n">
        <v>541</v>
      </c>
      <c r="T1186" s="103" t="n">
        <v>541</v>
      </c>
      <c r="U1186" s="103" t="s">
        <v>714</v>
      </c>
      <c r="V1186" s="103" t="n">
        <v>2026</v>
      </c>
    </row>
    <row r="1187" customFormat="false" ht="14.25" hidden="false" customHeight="false" outlineLevel="0" collapsed="false">
      <c r="A1187" s="103" t="s">
        <v>1910</v>
      </c>
      <c r="B1187" s="103" t="s">
        <v>475</v>
      </c>
      <c r="C1187" s="104" t="n">
        <v>46053</v>
      </c>
      <c r="D1187" s="103" t="s">
        <v>101</v>
      </c>
      <c r="E1187" s="103" t="n">
        <v>33</v>
      </c>
      <c r="F1187" s="103" t="s">
        <v>170</v>
      </c>
      <c r="G1187" s="103" t="s">
        <v>81</v>
      </c>
      <c r="H1187" s="103" t="n">
        <v>3.3</v>
      </c>
      <c r="I1187" s="103" t="n">
        <v>1345</v>
      </c>
      <c r="J1187" s="103" t="n">
        <v>0</v>
      </c>
      <c r="K1187" s="103" t="n">
        <v>75</v>
      </c>
      <c r="L1187" s="103" t="s">
        <v>93</v>
      </c>
      <c r="M1187" s="103" t="s">
        <v>65</v>
      </c>
      <c r="N1187" s="103" t="s">
        <v>77</v>
      </c>
      <c r="O1187" s="103" t="n">
        <v>51</v>
      </c>
      <c r="P1187" s="103" t="n">
        <v>8.6</v>
      </c>
      <c r="Q1187" s="103" t="n">
        <v>5</v>
      </c>
      <c r="R1187" s="103" t="s">
        <v>135</v>
      </c>
      <c r="S1187" s="103" t="n">
        <v>1345</v>
      </c>
      <c r="T1187" s="103" t="n">
        <v>1270</v>
      </c>
      <c r="U1187" s="103" t="s">
        <v>714</v>
      </c>
      <c r="V1187" s="103" t="n">
        <v>2026</v>
      </c>
    </row>
    <row r="1188" customFormat="false" ht="14.25" hidden="false" customHeight="false" outlineLevel="0" collapsed="false">
      <c r="A1188" s="103" t="s">
        <v>1911</v>
      </c>
      <c r="B1188" s="103" t="s">
        <v>476</v>
      </c>
      <c r="C1188" s="104" t="n">
        <v>46053</v>
      </c>
      <c r="D1188" s="103" t="s">
        <v>104</v>
      </c>
      <c r="E1188" s="103" t="n">
        <v>24</v>
      </c>
      <c r="F1188" s="103" t="s">
        <v>171</v>
      </c>
      <c r="G1188" s="103" t="s">
        <v>90</v>
      </c>
      <c r="H1188" s="103" t="n">
        <v>3.7</v>
      </c>
      <c r="I1188" s="103" t="n">
        <v>960</v>
      </c>
      <c r="J1188" s="103" t="n">
        <v>30</v>
      </c>
      <c r="K1188" s="103" t="n">
        <v>30</v>
      </c>
      <c r="L1188" s="103" t="s">
        <v>93</v>
      </c>
      <c r="M1188" s="103" t="s">
        <v>67</v>
      </c>
      <c r="N1188" s="103" t="s">
        <v>78</v>
      </c>
      <c r="O1188" s="103" t="n">
        <v>19</v>
      </c>
      <c r="P1188" s="103" t="n">
        <v>4.5</v>
      </c>
      <c r="Q1188" s="103" t="n">
        <v>5</v>
      </c>
      <c r="R1188" s="103" t="s">
        <v>141</v>
      </c>
      <c r="S1188" s="103" t="n">
        <v>990</v>
      </c>
      <c r="T1188" s="103" t="n">
        <v>960</v>
      </c>
      <c r="U1188" s="103" t="s">
        <v>714</v>
      </c>
      <c r="V1188" s="103" t="n">
        <v>2026</v>
      </c>
    </row>
    <row r="1189" customFormat="false" ht="14.25" hidden="false" customHeight="false" outlineLevel="0" collapsed="false">
      <c r="A1189" s="103" t="s">
        <v>1912</v>
      </c>
      <c r="B1189" s="103" t="s">
        <v>477</v>
      </c>
      <c r="C1189" s="104" t="n">
        <v>46053</v>
      </c>
      <c r="D1189" s="103" t="s">
        <v>105</v>
      </c>
      <c r="E1189" s="103" t="n">
        <v>31</v>
      </c>
      <c r="F1189" s="103" t="s">
        <v>171</v>
      </c>
      <c r="G1189" s="103" t="s">
        <v>90</v>
      </c>
      <c r="H1189" s="103" t="n">
        <v>2.6</v>
      </c>
      <c r="I1189" s="103" t="n">
        <v>817</v>
      </c>
      <c r="J1189" s="103" t="n">
        <v>0</v>
      </c>
      <c r="K1189" s="103" t="n">
        <v>20</v>
      </c>
      <c r="L1189" s="103" t="s">
        <v>93</v>
      </c>
      <c r="M1189" s="103" t="s">
        <v>65</v>
      </c>
      <c r="N1189" s="103" t="s">
        <v>77</v>
      </c>
      <c r="O1189" s="103" t="n">
        <v>53</v>
      </c>
      <c r="P1189" s="103" t="n">
        <v>7.4</v>
      </c>
      <c r="Q1189" s="103" t="n">
        <v>1</v>
      </c>
      <c r="R1189" s="103" t="s">
        <v>142</v>
      </c>
      <c r="S1189" s="103" t="n">
        <v>817</v>
      </c>
      <c r="T1189" s="103" t="n">
        <v>797</v>
      </c>
      <c r="U1189" s="103" t="s">
        <v>714</v>
      </c>
      <c r="V1189" s="103" t="n">
        <v>2026</v>
      </c>
    </row>
    <row r="1190" customFormat="false" ht="14.25" hidden="false" customHeight="false" outlineLevel="0" collapsed="false">
      <c r="A1190" s="103" t="s">
        <v>1913</v>
      </c>
      <c r="B1190" s="103" t="s">
        <v>478</v>
      </c>
      <c r="C1190" s="104" t="n">
        <v>46054</v>
      </c>
      <c r="D1190" s="103" t="s">
        <v>110</v>
      </c>
      <c r="E1190" s="103" t="n">
        <v>26</v>
      </c>
      <c r="F1190" s="103" t="s">
        <v>170</v>
      </c>
      <c r="G1190" s="103" t="s">
        <v>87</v>
      </c>
      <c r="H1190" s="103" t="n">
        <v>3.1</v>
      </c>
      <c r="I1190" s="103" t="n">
        <v>404</v>
      </c>
      <c r="J1190" s="103" t="n">
        <v>60</v>
      </c>
      <c r="K1190" s="103" t="n">
        <v>10</v>
      </c>
      <c r="L1190" s="103" t="s">
        <v>95</v>
      </c>
      <c r="M1190" s="103" t="s">
        <v>65</v>
      </c>
      <c r="N1190" s="103" t="s">
        <v>77</v>
      </c>
      <c r="O1190" s="103" t="n">
        <v>23</v>
      </c>
      <c r="P1190" s="103" t="n">
        <v>7.3</v>
      </c>
      <c r="Q1190" s="103" t="n">
        <v>5</v>
      </c>
      <c r="R1190" s="103" t="s">
        <v>142</v>
      </c>
      <c r="S1190" s="103" t="n">
        <v>464</v>
      </c>
      <c r="T1190" s="103" t="n">
        <v>454</v>
      </c>
      <c r="U1190" s="103" t="s">
        <v>808</v>
      </c>
      <c r="V1190" s="103" t="n">
        <v>2026</v>
      </c>
    </row>
    <row r="1191" customFormat="false" ht="14.25" hidden="false" customHeight="false" outlineLevel="0" collapsed="false">
      <c r="A1191" s="103" t="s">
        <v>1914</v>
      </c>
      <c r="B1191" s="103" t="s">
        <v>479</v>
      </c>
      <c r="C1191" s="104" t="n">
        <v>46054</v>
      </c>
      <c r="D1191" s="103" t="s">
        <v>109</v>
      </c>
      <c r="E1191" s="103" t="n">
        <v>32</v>
      </c>
      <c r="F1191" s="103" t="s">
        <v>170</v>
      </c>
      <c r="G1191" s="103" t="s">
        <v>82</v>
      </c>
      <c r="H1191" s="103" t="n">
        <v>3.5</v>
      </c>
      <c r="I1191" s="103" t="n">
        <v>435</v>
      </c>
      <c r="J1191" s="103" t="n">
        <v>20</v>
      </c>
      <c r="K1191" s="103" t="n">
        <v>100</v>
      </c>
      <c r="L1191" s="103" t="s">
        <v>94</v>
      </c>
      <c r="M1191" s="103" t="s">
        <v>65</v>
      </c>
      <c r="N1191" s="103" t="s">
        <v>77</v>
      </c>
      <c r="O1191" s="103" t="n">
        <v>21</v>
      </c>
      <c r="P1191" s="103" t="n">
        <v>6.1</v>
      </c>
      <c r="Q1191" s="103" t="n">
        <v>4</v>
      </c>
      <c r="R1191" s="103" t="s">
        <v>142</v>
      </c>
      <c r="S1191" s="103" t="n">
        <v>455</v>
      </c>
      <c r="T1191" s="103" t="n">
        <v>355</v>
      </c>
      <c r="U1191" s="103" t="s">
        <v>808</v>
      </c>
      <c r="V1191" s="103" t="n">
        <v>2026</v>
      </c>
    </row>
    <row r="1192" customFormat="false" ht="14.25" hidden="false" customHeight="false" outlineLevel="0" collapsed="false">
      <c r="A1192" s="103" t="s">
        <v>1915</v>
      </c>
      <c r="B1192" s="103" t="s">
        <v>480</v>
      </c>
      <c r="C1192" s="104" t="n">
        <v>46054</v>
      </c>
      <c r="D1192" s="103" t="s">
        <v>100</v>
      </c>
      <c r="E1192" s="103" t="n">
        <v>38</v>
      </c>
      <c r="F1192" s="103" t="s">
        <v>170</v>
      </c>
      <c r="G1192" s="103" t="s">
        <v>88</v>
      </c>
      <c r="H1192" s="103" t="n">
        <v>3.2</v>
      </c>
      <c r="I1192" s="103" t="n">
        <v>138</v>
      </c>
      <c r="J1192" s="103" t="n">
        <v>60</v>
      </c>
      <c r="K1192" s="103" t="n">
        <v>200</v>
      </c>
      <c r="L1192" s="103" t="s">
        <v>96</v>
      </c>
      <c r="M1192" s="103" t="s">
        <v>65</v>
      </c>
      <c r="N1192" s="103" t="s">
        <v>78</v>
      </c>
      <c r="O1192" s="103" t="n">
        <v>55</v>
      </c>
      <c r="P1192" s="103" t="n">
        <v>12.4</v>
      </c>
      <c r="Q1192" s="103" t="n">
        <v>5</v>
      </c>
      <c r="R1192" s="103" t="s">
        <v>140</v>
      </c>
      <c r="S1192" s="103" t="n">
        <v>198</v>
      </c>
      <c r="T1192" s="103" t="n">
        <v>0</v>
      </c>
      <c r="U1192" s="103" t="s">
        <v>808</v>
      </c>
      <c r="V1192" s="103" t="n">
        <v>2026</v>
      </c>
    </row>
    <row r="1193" customFormat="false" ht="14.25" hidden="false" customHeight="false" outlineLevel="0" collapsed="false">
      <c r="A1193" s="103" t="s">
        <v>1916</v>
      </c>
      <c r="B1193" s="103" t="s">
        <v>481</v>
      </c>
      <c r="C1193" s="104" t="n">
        <v>46055</v>
      </c>
      <c r="D1193" s="103" t="s">
        <v>105</v>
      </c>
      <c r="E1193" s="103" t="n">
        <v>52</v>
      </c>
      <c r="F1193" s="103" t="s">
        <v>171</v>
      </c>
      <c r="G1193" s="103" t="s">
        <v>86</v>
      </c>
      <c r="H1193" s="103" t="n">
        <v>2.8</v>
      </c>
      <c r="I1193" s="103" t="n">
        <v>274</v>
      </c>
      <c r="J1193" s="103" t="n">
        <v>0</v>
      </c>
      <c r="K1193" s="103" t="n">
        <v>20</v>
      </c>
      <c r="L1193" s="103" t="s">
        <v>94</v>
      </c>
      <c r="M1193" s="103" t="s">
        <v>66</v>
      </c>
      <c r="N1193" s="103" t="s">
        <v>77</v>
      </c>
      <c r="O1193" s="103" t="n">
        <v>34</v>
      </c>
      <c r="P1193" s="103" t="n">
        <v>7</v>
      </c>
      <c r="Q1193" s="103" t="n">
        <v>3</v>
      </c>
      <c r="R1193" s="103" t="s">
        <v>140</v>
      </c>
      <c r="S1193" s="103" t="n">
        <v>274</v>
      </c>
      <c r="T1193" s="103" t="n">
        <v>254</v>
      </c>
      <c r="U1193" s="103" t="s">
        <v>808</v>
      </c>
      <c r="V1193" s="103" t="n">
        <v>2026</v>
      </c>
    </row>
    <row r="1194" customFormat="false" ht="14.25" hidden="false" customHeight="false" outlineLevel="0" collapsed="false">
      <c r="A1194" s="103" t="s">
        <v>1917</v>
      </c>
      <c r="B1194" s="103" t="s">
        <v>482</v>
      </c>
      <c r="C1194" s="104" t="n">
        <v>46055</v>
      </c>
      <c r="D1194" s="103" t="s">
        <v>101</v>
      </c>
      <c r="E1194" s="103" t="n">
        <v>19</v>
      </c>
      <c r="F1194" s="103" t="s">
        <v>170</v>
      </c>
      <c r="G1194" s="103" t="s">
        <v>86</v>
      </c>
      <c r="H1194" s="103" t="n">
        <v>4.3</v>
      </c>
      <c r="I1194" s="103" t="n">
        <v>1055</v>
      </c>
      <c r="J1194" s="103" t="n">
        <v>30</v>
      </c>
      <c r="K1194" s="103" t="n">
        <v>75</v>
      </c>
      <c r="L1194" s="103" t="s">
        <v>94</v>
      </c>
      <c r="M1194" s="103" t="s">
        <v>65</v>
      </c>
      <c r="N1194" s="103" t="s">
        <v>77</v>
      </c>
      <c r="O1194" s="103" t="n">
        <v>24</v>
      </c>
      <c r="P1194" s="103" t="n">
        <v>9.3</v>
      </c>
      <c r="Q1194" s="103" t="n">
        <v>4</v>
      </c>
      <c r="R1194" s="103" t="s">
        <v>135</v>
      </c>
      <c r="S1194" s="103" t="n">
        <v>1085</v>
      </c>
      <c r="T1194" s="103" t="n">
        <v>1010</v>
      </c>
      <c r="U1194" s="103" t="s">
        <v>808</v>
      </c>
      <c r="V1194" s="103" t="n">
        <v>2026</v>
      </c>
    </row>
    <row r="1195" customFormat="false" ht="14.25" hidden="false" customHeight="false" outlineLevel="0" collapsed="false">
      <c r="A1195" s="103" t="s">
        <v>1918</v>
      </c>
      <c r="B1195" s="103" t="s">
        <v>483</v>
      </c>
      <c r="C1195" s="104" t="n">
        <v>46055</v>
      </c>
      <c r="D1195" s="103" t="s">
        <v>111</v>
      </c>
      <c r="E1195" s="103" t="n">
        <v>44</v>
      </c>
      <c r="F1195" s="103" t="s">
        <v>171</v>
      </c>
      <c r="G1195" s="103" t="s">
        <v>85</v>
      </c>
      <c r="H1195" s="103" t="n">
        <v>4.5</v>
      </c>
      <c r="I1195" s="103" t="n">
        <v>1618</v>
      </c>
      <c r="J1195" s="103" t="n">
        <v>40</v>
      </c>
      <c r="K1195" s="103" t="n">
        <v>200</v>
      </c>
      <c r="L1195" s="103" t="s">
        <v>95</v>
      </c>
      <c r="M1195" s="103" t="s">
        <v>67</v>
      </c>
      <c r="N1195" s="103" t="s">
        <v>78</v>
      </c>
      <c r="O1195" s="103" t="n">
        <v>40</v>
      </c>
      <c r="P1195" s="103" t="n">
        <v>13.5</v>
      </c>
      <c r="Q1195" s="103" t="n">
        <v>4</v>
      </c>
      <c r="R1195" s="103" t="s">
        <v>138</v>
      </c>
      <c r="S1195" s="103" t="n">
        <v>1658</v>
      </c>
      <c r="T1195" s="103" t="n">
        <v>1458</v>
      </c>
      <c r="U1195" s="103" t="s">
        <v>808</v>
      </c>
      <c r="V1195" s="103" t="n">
        <v>2026</v>
      </c>
    </row>
    <row r="1196" customFormat="false" ht="14.25" hidden="false" customHeight="false" outlineLevel="0" collapsed="false">
      <c r="A1196" s="103" t="s">
        <v>1919</v>
      </c>
      <c r="B1196" s="103" t="s">
        <v>484</v>
      </c>
      <c r="C1196" s="104" t="n">
        <v>46056</v>
      </c>
      <c r="D1196" s="103" t="s">
        <v>101</v>
      </c>
      <c r="E1196" s="103" t="n">
        <v>19</v>
      </c>
      <c r="F1196" s="103" t="s">
        <v>170</v>
      </c>
      <c r="G1196" s="103" t="s">
        <v>85</v>
      </c>
      <c r="H1196" s="103" t="n">
        <v>3.1</v>
      </c>
      <c r="I1196" s="103" t="n">
        <v>602</v>
      </c>
      <c r="J1196" s="103" t="n">
        <v>0</v>
      </c>
      <c r="K1196" s="103" t="n">
        <v>10</v>
      </c>
      <c r="L1196" s="103" t="s">
        <v>97</v>
      </c>
      <c r="M1196" s="103" t="s">
        <v>66</v>
      </c>
      <c r="N1196" s="103" t="s">
        <v>77</v>
      </c>
      <c r="O1196" s="103" t="n">
        <v>18</v>
      </c>
      <c r="P1196" s="103" t="n">
        <v>13.1</v>
      </c>
      <c r="Q1196" s="103" t="n">
        <v>4</v>
      </c>
      <c r="R1196" s="103" t="s">
        <v>142</v>
      </c>
      <c r="S1196" s="103" t="n">
        <v>602</v>
      </c>
      <c r="T1196" s="103" t="n">
        <v>592</v>
      </c>
      <c r="U1196" s="103" t="s">
        <v>808</v>
      </c>
      <c r="V1196" s="103" t="n">
        <v>2026</v>
      </c>
    </row>
    <row r="1197" customFormat="false" ht="14.25" hidden="false" customHeight="false" outlineLevel="0" collapsed="false">
      <c r="A1197" s="103" t="s">
        <v>1920</v>
      </c>
      <c r="B1197" s="103" t="s">
        <v>485</v>
      </c>
      <c r="C1197" s="104" t="n">
        <v>46056</v>
      </c>
      <c r="D1197" s="103" t="s">
        <v>101</v>
      </c>
      <c r="E1197" s="103" t="n">
        <v>52</v>
      </c>
      <c r="F1197" s="103" t="s">
        <v>171</v>
      </c>
      <c r="G1197" s="103" t="s">
        <v>82</v>
      </c>
      <c r="H1197" s="103" t="n">
        <v>4.4</v>
      </c>
      <c r="I1197" s="103" t="n">
        <v>671</v>
      </c>
      <c r="J1197" s="103" t="n">
        <v>60</v>
      </c>
      <c r="K1197" s="103" t="n">
        <v>100</v>
      </c>
      <c r="L1197" s="103" t="s">
        <v>93</v>
      </c>
      <c r="M1197" s="103" t="s">
        <v>65</v>
      </c>
      <c r="N1197" s="103" t="s">
        <v>78</v>
      </c>
      <c r="O1197" s="103" t="n">
        <v>52</v>
      </c>
      <c r="P1197" s="103" t="n">
        <v>13.4</v>
      </c>
      <c r="Q1197" s="103" t="n">
        <v>3</v>
      </c>
      <c r="R1197" s="103" t="s">
        <v>132</v>
      </c>
      <c r="S1197" s="103" t="n">
        <v>731</v>
      </c>
      <c r="T1197" s="103" t="n">
        <v>631</v>
      </c>
      <c r="U1197" s="103" t="s">
        <v>808</v>
      </c>
      <c r="V1197" s="103" t="n">
        <v>2026</v>
      </c>
    </row>
    <row r="1198" customFormat="false" ht="14.25" hidden="false" customHeight="false" outlineLevel="0" collapsed="false">
      <c r="A1198" s="103" t="s">
        <v>1921</v>
      </c>
      <c r="B1198" s="103" t="s">
        <v>486</v>
      </c>
      <c r="C1198" s="104" t="n">
        <v>46056</v>
      </c>
      <c r="D1198" s="103" t="s">
        <v>106</v>
      </c>
      <c r="E1198" s="103" t="n">
        <v>35</v>
      </c>
      <c r="F1198" s="103" t="s">
        <v>170</v>
      </c>
      <c r="G1198" s="103" t="s">
        <v>85</v>
      </c>
      <c r="H1198" s="103" t="n">
        <v>3.5</v>
      </c>
      <c r="I1198" s="103" t="n">
        <v>314</v>
      </c>
      <c r="J1198" s="103" t="n">
        <v>0</v>
      </c>
      <c r="K1198" s="103" t="n">
        <v>50</v>
      </c>
      <c r="L1198" s="103" t="s">
        <v>93</v>
      </c>
      <c r="M1198" s="103" t="s">
        <v>66</v>
      </c>
      <c r="N1198" s="103" t="s">
        <v>77</v>
      </c>
      <c r="O1198" s="103" t="n">
        <v>38</v>
      </c>
      <c r="P1198" s="103" t="n">
        <v>4.4</v>
      </c>
      <c r="Q1198" s="103" t="n">
        <v>5</v>
      </c>
      <c r="R1198" s="103" t="s">
        <v>131</v>
      </c>
      <c r="S1198" s="103" t="n">
        <v>314</v>
      </c>
      <c r="T1198" s="103" t="n">
        <v>264</v>
      </c>
      <c r="U1198" s="103" t="s">
        <v>808</v>
      </c>
      <c r="V1198" s="103" t="n">
        <v>2026</v>
      </c>
    </row>
    <row r="1199" customFormat="false" ht="14.25" hidden="false" customHeight="false" outlineLevel="0" collapsed="false">
      <c r="A1199" s="103" t="s">
        <v>1922</v>
      </c>
      <c r="B1199" s="103" t="s">
        <v>487</v>
      </c>
      <c r="C1199" s="104" t="n">
        <v>46057</v>
      </c>
      <c r="D1199" s="103" t="s">
        <v>106</v>
      </c>
      <c r="E1199" s="103" t="n">
        <v>31</v>
      </c>
      <c r="F1199" s="103" t="s">
        <v>171</v>
      </c>
      <c r="G1199" s="103" t="s">
        <v>85</v>
      </c>
      <c r="H1199" s="103" t="n">
        <v>3.8</v>
      </c>
      <c r="I1199" s="103" t="n">
        <v>773</v>
      </c>
      <c r="J1199" s="103" t="n">
        <v>0</v>
      </c>
      <c r="K1199" s="103" t="n">
        <v>50</v>
      </c>
      <c r="L1199" s="103" t="s">
        <v>94</v>
      </c>
      <c r="M1199" s="103" t="s">
        <v>66</v>
      </c>
      <c r="N1199" s="103" t="s">
        <v>77</v>
      </c>
      <c r="O1199" s="103" t="n">
        <v>28</v>
      </c>
      <c r="P1199" s="103" t="n">
        <v>1</v>
      </c>
      <c r="Q1199" s="103" t="n">
        <v>1</v>
      </c>
      <c r="R1199" s="103" t="s">
        <v>142</v>
      </c>
      <c r="S1199" s="103" t="n">
        <v>773</v>
      </c>
      <c r="T1199" s="103" t="n">
        <v>723</v>
      </c>
      <c r="U1199" s="103" t="s">
        <v>808</v>
      </c>
      <c r="V1199" s="103" t="n">
        <v>2026</v>
      </c>
    </row>
    <row r="1200" customFormat="false" ht="14.25" hidden="false" customHeight="false" outlineLevel="0" collapsed="false">
      <c r="A1200" s="103" t="s">
        <v>1923</v>
      </c>
      <c r="B1200" s="103" t="s">
        <v>488</v>
      </c>
      <c r="C1200" s="104" t="n">
        <v>46057</v>
      </c>
      <c r="D1200" s="103" t="s">
        <v>103</v>
      </c>
      <c r="E1200" s="103" t="n">
        <v>37</v>
      </c>
      <c r="F1200" s="103" t="s">
        <v>171</v>
      </c>
      <c r="G1200" s="103" t="s">
        <v>87</v>
      </c>
      <c r="H1200" s="103" t="n">
        <v>4.6</v>
      </c>
      <c r="I1200" s="103" t="n">
        <v>183</v>
      </c>
      <c r="J1200" s="103" t="n">
        <v>0</v>
      </c>
      <c r="K1200" s="103" t="n">
        <v>100</v>
      </c>
      <c r="L1200" s="103" t="s">
        <v>94</v>
      </c>
      <c r="M1200" s="103" t="s">
        <v>65</v>
      </c>
      <c r="N1200" s="103" t="s">
        <v>77</v>
      </c>
      <c r="O1200" s="103" t="n">
        <v>55</v>
      </c>
      <c r="P1200" s="103" t="n">
        <v>4.3</v>
      </c>
      <c r="Q1200" s="103" t="n">
        <v>4</v>
      </c>
      <c r="R1200" s="103" t="s">
        <v>142</v>
      </c>
      <c r="S1200" s="103" t="n">
        <v>183</v>
      </c>
      <c r="T1200" s="103" t="n">
        <v>83</v>
      </c>
      <c r="U1200" s="103" t="s">
        <v>808</v>
      </c>
      <c r="V1200" s="103" t="n">
        <v>2026</v>
      </c>
    </row>
    <row r="1201" customFormat="false" ht="14.25" hidden="false" customHeight="false" outlineLevel="0" collapsed="false">
      <c r="A1201" s="103" t="s">
        <v>1924</v>
      </c>
      <c r="B1201" s="103" t="s">
        <v>489</v>
      </c>
      <c r="C1201" s="104" t="n">
        <v>46057</v>
      </c>
      <c r="D1201" s="103" t="s">
        <v>105</v>
      </c>
      <c r="E1201" s="103" t="n">
        <v>35</v>
      </c>
      <c r="F1201" s="103" t="s">
        <v>170</v>
      </c>
      <c r="G1201" s="103" t="s">
        <v>87</v>
      </c>
      <c r="H1201" s="103" t="n">
        <v>4.4</v>
      </c>
      <c r="I1201" s="103" t="n">
        <v>1662</v>
      </c>
      <c r="J1201" s="103" t="n">
        <v>30</v>
      </c>
      <c r="K1201" s="103" t="n">
        <v>200</v>
      </c>
      <c r="L1201" s="103" t="s">
        <v>97</v>
      </c>
      <c r="M1201" s="103" t="s">
        <v>65</v>
      </c>
      <c r="N1201" s="103" t="s">
        <v>78</v>
      </c>
      <c r="O1201" s="103" t="n">
        <v>15</v>
      </c>
      <c r="P1201" s="103" t="n">
        <v>4.5</v>
      </c>
      <c r="Q1201" s="103" t="n">
        <v>3</v>
      </c>
      <c r="R1201" s="103" t="s">
        <v>131</v>
      </c>
      <c r="S1201" s="103" t="n">
        <v>1692</v>
      </c>
      <c r="T1201" s="103" t="n">
        <v>1492</v>
      </c>
      <c r="U1201" s="103" t="s">
        <v>808</v>
      </c>
      <c r="V1201" s="103" t="n">
        <v>2026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2026-09-22T16:47:56Z</dcterms:created>
  <dc:creator>monty</dc:creator>
  <dc:description/>
  <dc:language>en-US</dc:language>
  <cp:lastModifiedBy/>
  <dcterms:modified xsi:type="dcterms:W3CDTF">2026-10-02T09:04:29Z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